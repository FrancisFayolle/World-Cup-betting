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undp-my.sharepoint.com/personal/francis_fayolle_undp_org/Documents/Documents/World Cup Betting/World-Cup-betting/"/>
    </mc:Choice>
  </mc:AlternateContent>
  <xr:revisionPtr revIDLastSave="370" documentId="13_ncr:1_{AD0E7F59-3B0E-407E-93E9-FE21F83F93C7}" xr6:coauthVersionLast="47" xr6:coauthVersionMax="47" xr10:uidLastSave="{821E26A0-61F5-4460-99BC-A9ACB36DF1AD}"/>
  <bookViews>
    <workbookView xWindow="28680" yWindow="-120" windowWidth="29040" windowHeight="15720" xr2:uid="{00000000-000D-0000-FFFF-FFFF00000000}"/>
  </bookViews>
  <sheets>
    <sheet name="FIFA World Cup 2026" sheetId="1" r:id="rId1"/>
    <sheet name="Squad Lists" sheetId="2" r:id="rId2"/>
  </sheets>
  <definedNames>
    <definedName name="_xlnm._FilterDatabase" localSheetId="0" hidden="1">'FIFA World Cup 2026'!$A$1:$E$105</definedName>
    <definedName name="_xlnm._FilterDatabase" localSheetId="1" hidden="1">'Squad Lists'!$B$1:$F$1249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49" i="2" l="1"/>
  <c r="G1249" i="2"/>
  <c r="H1248" i="2"/>
  <c r="G1248" i="2"/>
  <c r="H1247" i="2"/>
  <c r="G1247" i="2"/>
  <c r="H1246" i="2"/>
  <c r="G1246" i="2"/>
  <c r="H1245" i="2"/>
  <c r="G1245" i="2"/>
  <c r="H1244" i="2"/>
  <c r="G1244" i="2"/>
  <c r="H1243" i="2"/>
  <c r="G1243" i="2"/>
  <c r="H1242" i="2"/>
  <c r="G1242" i="2"/>
  <c r="H1241" i="2"/>
  <c r="G1241" i="2"/>
  <c r="H1240" i="2"/>
  <c r="G1240" i="2"/>
  <c r="H1239" i="2"/>
  <c r="G1239" i="2"/>
  <c r="H1238" i="2"/>
  <c r="G1238" i="2"/>
  <c r="H1237" i="2"/>
  <c r="G1237" i="2"/>
  <c r="H1236" i="2"/>
  <c r="G1236" i="2"/>
  <c r="H1235" i="2"/>
  <c r="G1235" i="2"/>
  <c r="H1234" i="2"/>
  <c r="G1234" i="2"/>
  <c r="H1233" i="2"/>
  <c r="G1233" i="2"/>
  <c r="H1232" i="2"/>
  <c r="G1232" i="2"/>
  <c r="H1231" i="2"/>
  <c r="G1231" i="2"/>
  <c r="H1230" i="2"/>
  <c r="G1230" i="2"/>
  <c r="H1229" i="2"/>
  <c r="G1229" i="2"/>
  <c r="H1228" i="2"/>
  <c r="G1228" i="2"/>
  <c r="H1227" i="2"/>
  <c r="G1227" i="2"/>
  <c r="H1226" i="2"/>
  <c r="G1226" i="2"/>
  <c r="H1225" i="2"/>
  <c r="G1225" i="2"/>
  <c r="H1224" i="2"/>
  <c r="G1224" i="2"/>
  <c r="H1223" i="2"/>
  <c r="G1223" i="2"/>
  <c r="H1222" i="2"/>
  <c r="G1222" i="2"/>
  <c r="H1221" i="2"/>
  <c r="G1221" i="2"/>
  <c r="H1220" i="2"/>
  <c r="G1220" i="2"/>
  <c r="H1219" i="2"/>
  <c r="G1219" i="2"/>
  <c r="H1218" i="2"/>
  <c r="G1218" i="2"/>
  <c r="H1217" i="2"/>
  <c r="G1217" i="2"/>
  <c r="H1216" i="2"/>
  <c r="G1216" i="2"/>
  <c r="H1215" i="2"/>
  <c r="G1215" i="2"/>
  <c r="H1214" i="2"/>
  <c r="G1214" i="2"/>
  <c r="H1213" i="2"/>
  <c r="G1213" i="2"/>
  <c r="H1212" i="2"/>
  <c r="G1212" i="2"/>
  <c r="H1211" i="2"/>
  <c r="G1211" i="2"/>
  <c r="H1210" i="2"/>
  <c r="G1210" i="2"/>
  <c r="H1209" i="2"/>
  <c r="G1209" i="2"/>
  <c r="H1208" i="2"/>
  <c r="G1208" i="2"/>
  <c r="H1207" i="2"/>
  <c r="G1207" i="2"/>
  <c r="H1206" i="2"/>
  <c r="G1206" i="2"/>
  <c r="H1205" i="2"/>
  <c r="G1205" i="2"/>
  <c r="H1204" i="2"/>
  <c r="G1204" i="2"/>
  <c r="H1203" i="2"/>
  <c r="G1203" i="2"/>
  <c r="H1202" i="2"/>
  <c r="G1202" i="2"/>
  <c r="H1201" i="2"/>
  <c r="G1201" i="2"/>
  <c r="H1200" i="2"/>
  <c r="G1200" i="2"/>
  <c r="H1199" i="2"/>
  <c r="G1199" i="2"/>
  <c r="H1198" i="2"/>
  <c r="G1198" i="2"/>
  <c r="H1197" i="2"/>
  <c r="G1197" i="2"/>
  <c r="H1196" i="2"/>
  <c r="G1196" i="2"/>
  <c r="H1195" i="2"/>
  <c r="G1195" i="2"/>
  <c r="H1194" i="2"/>
  <c r="G1194" i="2"/>
  <c r="H1193" i="2"/>
  <c r="G1193" i="2"/>
  <c r="H1192" i="2"/>
  <c r="G1192" i="2"/>
  <c r="H1191" i="2"/>
  <c r="G1191" i="2"/>
  <c r="H1190" i="2"/>
  <c r="G1190" i="2"/>
  <c r="H1189" i="2"/>
  <c r="G1189" i="2"/>
  <c r="H1188" i="2"/>
  <c r="G1188" i="2"/>
  <c r="H1187" i="2"/>
  <c r="G1187" i="2"/>
  <c r="H1186" i="2"/>
  <c r="G1186" i="2"/>
  <c r="H1185" i="2"/>
  <c r="G1185" i="2"/>
  <c r="H1184" i="2"/>
  <c r="G1184" i="2"/>
  <c r="H1183" i="2"/>
  <c r="G1183" i="2"/>
  <c r="H1182" i="2"/>
  <c r="G1182" i="2"/>
  <c r="H1181" i="2"/>
  <c r="G1181" i="2"/>
  <c r="H1180" i="2"/>
  <c r="G1180" i="2"/>
  <c r="H1179" i="2"/>
  <c r="G1179" i="2"/>
  <c r="H1178" i="2"/>
  <c r="G1178" i="2"/>
  <c r="H1177" i="2"/>
  <c r="G1177" i="2"/>
  <c r="H1176" i="2"/>
  <c r="G1176" i="2"/>
  <c r="H1175" i="2"/>
  <c r="G1175" i="2"/>
  <c r="H1174" i="2"/>
  <c r="G1174" i="2"/>
  <c r="H1173" i="2"/>
  <c r="G1173" i="2"/>
  <c r="H1172" i="2"/>
  <c r="G1172" i="2"/>
  <c r="H1171" i="2"/>
  <c r="G1171" i="2"/>
  <c r="H1170" i="2"/>
  <c r="G1170" i="2"/>
  <c r="H1169" i="2"/>
  <c r="G1169" i="2"/>
  <c r="H1168" i="2"/>
  <c r="G1168" i="2"/>
  <c r="H1167" i="2"/>
  <c r="G1167" i="2"/>
  <c r="H1166" i="2"/>
  <c r="G1166" i="2"/>
  <c r="H1165" i="2"/>
  <c r="G1165" i="2"/>
  <c r="H1164" i="2"/>
  <c r="G1164" i="2"/>
  <c r="H1163" i="2"/>
  <c r="G1163" i="2"/>
  <c r="H1162" i="2"/>
  <c r="G1162" i="2"/>
  <c r="H1161" i="2"/>
  <c r="G1161" i="2"/>
  <c r="H1160" i="2"/>
  <c r="G1160" i="2"/>
  <c r="H1159" i="2"/>
  <c r="G1159" i="2"/>
  <c r="H1158" i="2"/>
  <c r="G1158" i="2"/>
  <c r="H1157" i="2"/>
  <c r="G1157" i="2"/>
  <c r="H1156" i="2"/>
  <c r="G1156" i="2"/>
  <c r="H1155" i="2"/>
  <c r="G1155" i="2"/>
  <c r="H1154" i="2"/>
  <c r="G1154" i="2"/>
  <c r="H1153" i="2"/>
  <c r="G1153" i="2"/>
  <c r="H1152" i="2"/>
  <c r="G1152" i="2"/>
  <c r="H1151" i="2"/>
  <c r="G1151" i="2"/>
  <c r="H1150" i="2"/>
  <c r="G1150" i="2"/>
  <c r="H1149" i="2"/>
  <c r="G1149" i="2"/>
  <c r="H1148" i="2"/>
  <c r="G1148" i="2"/>
  <c r="H1147" i="2"/>
  <c r="G1147" i="2"/>
  <c r="H1146" i="2"/>
  <c r="G1146" i="2"/>
  <c r="H1145" i="2"/>
  <c r="G1145" i="2"/>
  <c r="H1144" i="2"/>
  <c r="G1144" i="2"/>
  <c r="H1143" i="2"/>
  <c r="G1143" i="2"/>
  <c r="H1142" i="2"/>
  <c r="G1142" i="2"/>
  <c r="H1141" i="2"/>
  <c r="G1141" i="2"/>
  <c r="H1140" i="2"/>
  <c r="G1140" i="2"/>
  <c r="H1139" i="2"/>
  <c r="G1139" i="2"/>
  <c r="H1138" i="2"/>
  <c r="G1138" i="2"/>
  <c r="H1137" i="2"/>
  <c r="G1137" i="2"/>
  <c r="H1136" i="2"/>
  <c r="G1136" i="2"/>
  <c r="H1135" i="2"/>
  <c r="G1135" i="2"/>
  <c r="H1134" i="2"/>
  <c r="G1134" i="2"/>
  <c r="H1133" i="2"/>
  <c r="G1133" i="2"/>
  <c r="H1132" i="2"/>
  <c r="G1132" i="2"/>
  <c r="H1131" i="2"/>
  <c r="G1131" i="2"/>
  <c r="H1130" i="2"/>
  <c r="G1130" i="2"/>
  <c r="H1129" i="2"/>
  <c r="G1129" i="2"/>
  <c r="H1128" i="2"/>
  <c r="G1128" i="2"/>
  <c r="H1127" i="2"/>
  <c r="G1127" i="2"/>
  <c r="H1126" i="2"/>
  <c r="G1126" i="2"/>
  <c r="H1125" i="2"/>
  <c r="G1125" i="2"/>
  <c r="H1124" i="2"/>
  <c r="G1124" i="2"/>
  <c r="H1123" i="2"/>
  <c r="G1123" i="2"/>
  <c r="H1122" i="2"/>
  <c r="G1122" i="2"/>
  <c r="H1121" i="2"/>
  <c r="G1121" i="2"/>
  <c r="H1120" i="2"/>
  <c r="G1120" i="2"/>
  <c r="H1119" i="2"/>
  <c r="G1119" i="2"/>
  <c r="H1118" i="2"/>
  <c r="G1118" i="2"/>
  <c r="H1117" i="2"/>
  <c r="G1117" i="2"/>
  <c r="H1116" i="2"/>
  <c r="G1116" i="2"/>
  <c r="H1115" i="2"/>
  <c r="G1115" i="2"/>
  <c r="H1114" i="2"/>
  <c r="G1114" i="2"/>
  <c r="H1113" i="2"/>
  <c r="G1113" i="2"/>
  <c r="H1112" i="2"/>
  <c r="G1112" i="2"/>
  <c r="H1111" i="2"/>
  <c r="G1111" i="2"/>
  <c r="H1110" i="2"/>
  <c r="G1110" i="2"/>
  <c r="H1109" i="2"/>
  <c r="G1109" i="2"/>
  <c r="H1108" i="2"/>
  <c r="G1108" i="2"/>
  <c r="H1107" i="2"/>
  <c r="G1107" i="2"/>
  <c r="H1106" i="2"/>
  <c r="G1106" i="2"/>
  <c r="H1105" i="2"/>
  <c r="G1105" i="2"/>
  <c r="H1104" i="2"/>
  <c r="G1104" i="2"/>
  <c r="H1103" i="2"/>
  <c r="G1103" i="2"/>
  <c r="H1102" i="2"/>
  <c r="G1102" i="2"/>
  <c r="H1101" i="2"/>
  <c r="G1101" i="2"/>
  <c r="H1100" i="2"/>
  <c r="G1100" i="2"/>
  <c r="H1099" i="2"/>
  <c r="G1099" i="2"/>
  <c r="H1098" i="2"/>
  <c r="G1098" i="2"/>
  <c r="H1097" i="2"/>
  <c r="G1097" i="2"/>
  <c r="H1096" i="2"/>
  <c r="G1096" i="2"/>
  <c r="H1095" i="2"/>
  <c r="G1095" i="2"/>
  <c r="H1094" i="2"/>
  <c r="G1094" i="2"/>
  <c r="H1093" i="2"/>
  <c r="G1093" i="2"/>
  <c r="H1092" i="2"/>
  <c r="G1092" i="2"/>
  <c r="H1091" i="2"/>
  <c r="G1091" i="2"/>
  <c r="H1090" i="2"/>
  <c r="G1090" i="2"/>
  <c r="H1089" i="2"/>
  <c r="G1089" i="2"/>
  <c r="H1088" i="2"/>
  <c r="G1088" i="2"/>
  <c r="H1087" i="2"/>
  <c r="G1087" i="2"/>
  <c r="H1086" i="2"/>
  <c r="G1086" i="2"/>
  <c r="H1085" i="2"/>
  <c r="G1085" i="2"/>
  <c r="H1084" i="2"/>
  <c r="G1084" i="2"/>
  <c r="H1083" i="2"/>
  <c r="G1083" i="2"/>
  <c r="H1082" i="2"/>
  <c r="G1082" i="2"/>
  <c r="H1081" i="2"/>
  <c r="G1081" i="2"/>
  <c r="H1080" i="2"/>
  <c r="G1080" i="2"/>
  <c r="H1079" i="2"/>
  <c r="G1079" i="2"/>
  <c r="H1078" i="2"/>
  <c r="G1078" i="2"/>
  <c r="H1077" i="2"/>
  <c r="G1077" i="2"/>
  <c r="H1076" i="2"/>
  <c r="G1076" i="2"/>
  <c r="H1075" i="2"/>
  <c r="G1075" i="2"/>
  <c r="H1074" i="2"/>
  <c r="G1074" i="2"/>
  <c r="H1073" i="2"/>
  <c r="G1073" i="2"/>
  <c r="H1072" i="2"/>
  <c r="G1072" i="2"/>
  <c r="H1071" i="2"/>
  <c r="G1071" i="2"/>
  <c r="H1070" i="2"/>
  <c r="G1070" i="2"/>
  <c r="H1069" i="2"/>
  <c r="G1069" i="2"/>
  <c r="H1068" i="2"/>
  <c r="G1068" i="2"/>
  <c r="H1067" i="2"/>
  <c r="G1067" i="2"/>
  <c r="H1066" i="2"/>
  <c r="G1066" i="2"/>
  <c r="H1065" i="2"/>
  <c r="G1065" i="2"/>
  <c r="H1064" i="2"/>
  <c r="G1064" i="2"/>
  <c r="H1063" i="2"/>
  <c r="G1063" i="2"/>
  <c r="H1062" i="2"/>
  <c r="G1062" i="2"/>
  <c r="H1061" i="2"/>
  <c r="G1061" i="2"/>
  <c r="H1060" i="2"/>
  <c r="G1060" i="2"/>
  <c r="H1059" i="2"/>
  <c r="G1059" i="2"/>
  <c r="H1058" i="2"/>
  <c r="G1058" i="2"/>
  <c r="H1057" i="2"/>
  <c r="G1057" i="2"/>
  <c r="H1056" i="2"/>
  <c r="G1056" i="2"/>
  <c r="H1055" i="2"/>
  <c r="G1055" i="2"/>
  <c r="H1054" i="2"/>
  <c r="G1054" i="2"/>
  <c r="H1053" i="2"/>
  <c r="G1053" i="2"/>
  <c r="H1052" i="2"/>
  <c r="G1052" i="2"/>
  <c r="H1051" i="2"/>
  <c r="G1051" i="2"/>
  <c r="H1050" i="2"/>
  <c r="G1050" i="2"/>
  <c r="H1049" i="2"/>
  <c r="G1049" i="2"/>
  <c r="H1048" i="2"/>
  <c r="G1048" i="2"/>
  <c r="H1047" i="2"/>
  <c r="G1047" i="2"/>
  <c r="H1046" i="2"/>
  <c r="G1046" i="2"/>
  <c r="H1045" i="2"/>
  <c r="G1045" i="2"/>
  <c r="H1044" i="2"/>
  <c r="G1044" i="2"/>
  <c r="H1043" i="2"/>
  <c r="G1043" i="2"/>
  <c r="H1042" i="2"/>
  <c r="G1042" i="2"/>
  <c r="H1041" i="2"/>
  <c r="G1041" i="2"/>
  <c r="H1040" i="2"/>
  <c r="G1040" i="2"/>
  <c r="H1039" i="2"/>
  <c r="G1039" i="2"/>
  <c r="H1038" i="2"/>
  <c r="G1038" i="2"/>
  <c r="H1037" i="2"/>
  <c r="G1037" i="2"/>
  <c r="H1036" i="2"/>
  <c r="G1036" i="2"/>
  <c r="H1035" i="2"/>
  <c r="G1035" i="2"/>
  <c r="H1034" i="2"/>
  <c r="G1034" i="2"/>
  <c r="H1033" i="2"/>
  <c r="G1033" i="2"/>
  <c r="H1032" i="2"/>
  <c r="G1032" i="2"/>
  <c r="H1031" i="2"/>
  <c r="G1031" i="2"/>
  <c r="H1030" i="2"/>
  <c r="G1030" i="2"/>
  <c r="H1029" i="2"/>
  <c r="G1029" i="2"/>
  <c r="H1028" i="2"/>
  <c r="G1028" i="2"/>
  <c r="H1027" i="2"/>
  <c r="G1027" i="2"/>
  <c r="H1026" i="2"/>
  <c r="G1026" i="2"/>
  <c r="H1025" i="2"/>
  <c r="G1025" i="2"/>
  <c r="H1024" i="2"/>
  <c r="G1024" i="2"/>
  <c r="H1023" i="2"/>
  <c r="G1023" i="2"/>
  <c r="H1022" i="2"/>
  <c r="G1022" i="2"/>
  <c r="H1021" i="2"/>
  <c r="G1021" i="2"/>
  <c r="H1020" i="2"/>
  <c r="G1020" i="2"/>
  <c r="H1019" i="2"/>
  <c r="G1019" i="2"/>
  <c r="H1018" i="2"/>
  <c r="G1018" i="2"/>
  <c r="H1017" i="2"/>
  <c r="G1017" i="2"/>
  <c r="H1016" i="2"/>
  <c r="G1016" i="2"/>
  <c r="H1015" i="2"/>
  <c r="G1015" i="2"/>
  <c r="H1014" i="2"/>
  <c r="G1014" i="2"/>
  <c r="H1013" i="2"/>
  <c r="G1013" i="2"/>
  <c r="H1012" i="2"/>
  <c r="G1012" i="2"/>
  <c r="H1011" i="2"/>
  <c r="G1011" i="2"/>
  <c r="H1010" i="2"/>
  <c r="G1010" i="2"/>
  <c r="H1009" i="2"/>
  <c r="G1009" i="2"/>
  <c r="H1008" i="2"/>
  <c r="G1008" i="2"/>
  <c r="H1007" i="2"/>
  <c r="G1007" i="2"/>
  <c r="H1006" i="2"/>
  <c r="G1006" i="2"/>
  <c r="H1005" i="2"/>
  <c r="G1005" i="2"/>
  <c r="H1004" i="2"/>
  <c r="G1004" i="2"/>
  <c r="H1003" i="2"/>
  <c r="G1003" i="2"/>
  <c r="H1002" i="2"/>
  <c r="G1002" i="2"/>
  <c r="H1001" i="2"/>
  <c r="G1001" i="2"/>
  <c r="H1000" i="2"/>
  <c r="G1000" i="2"/>
  <c r="H999" i="2"/>
  <c r="G999" i="2"/>
  <c r="H998" i="2"/>
  <c r="G998" i="2"/>
  <c r="H997" i="2"/>
  <c r="G997" i="2"/>
  <c r="H996" i="2"/>
  <c r="G996" i="2"/>
  <c r="H995" i="2"/>
  <c r="G995" i="2"/>
  <c r="H994" i="2"/>
  <c r="G994" i="2"/>
  <c r="H993" i="2"/>
  <c r="G993" i="2"/>
  <c r="H992" i="2"/>
  <c r="G992" i="2"/>
  <c r="H991" i="2"/>
  <c r="G991" i="2"/>
  <c r="H990" i="2"/>
  <c r="G990" i="2"/>
  <c r="H989" i="2"/>
  <c r="G989" i="2"/>
  <c r="H988" i="2"/>
  <c r="G988" i="2"/>
  <c r="H987" i="2"/>
  <c r="G987" i="2"/>
  <c r="H986" i="2"/>
  <c r="G986" i="2"/>
  <c r="H985" i="2"/>
  <c r="G985" i="2"/>
  <c r="H984" i="2"/>
  <c r="G984" i="2"/>
  <c r="H983" i="2"/>
  <c r="G983" i="2"/>
  <c r="H982" i="2"/>
  <c r="G982" i="2"/>
  <c r="H981" i="2"/>
  <c r="G981" i="2"/>
  <c r="H980" i="2"/>
  <c r="G980" i="2"/>
  <c r="H979" i="2"/>
  <c r="G979" i="2"/>
  <c r="H978" i="2"/>
  <c r="G978" i="2"/>
  <c r="H977" i="2"/>
  <c r="G977" i="2"/>
  <c r="H976" i="2"/>
  <c r="G976" i="2"/>
  <c r="H975" i="2"/>
  <c r="G975" i="2"/>
  <c r="H974" i="2"/>
  <c r="G974" i="2"/>
  <c r="H973" i="2"/>
  <c r="G973" i="2"/>
  <c r="H972" i="2"/>
  <c r="G972" i="2"/>
  <c r="H971" i="2"/>
  <c r="G971" i="2"/>
  <c r="H970" i="2"/>
  <c r="G970" i="2"/>
  <c r="H969" i="2"/>
  <c r="G969" i="2"/>
  <c r="H968" i="2"/>
  <c r="G968" i="2"/>
  <c r="H967" i="2"/>
  <c r="G967" i="2"/>
  <c r="H966" i="2"/>
  <c r="G966" i="2"/>
  <c r="H965" i="2"/>
  <c r="G965" i="2"/>
  <c r="H964" i="2"/>
  <c r="G964" i="2"/>
  <c r="H963" i="2"/>
  <c r="G963" i="2"/>
  <c r="H962" i="2"/>
  <c r="G962" i="2"/>
  <c r="H961" i="2"/>
  <c r="G961" i="2"/>
  <c r="H960" i="2"/>
  <c r="G960" i="2"/>
  <c r="H959" i="2"/>
  <c r="G959" i="2"/>
  <c r="H958" i="2"/>
  <c r="G958" i="2"/>
  <c r="H957" i="2"/>
  <c r="G957" i="2"/>
  <c r="H956" i="2"/>
  <c r="G956" i="2"/>
  <c r="H955" i="2"/>
  <c r="G955" i="2"/>
  <c r="H954" i="2"/>
  <c r="G954" i="2"/>
  <c r="H953" i="2"/>
  <c r="G953" i="2"/>
  <c r="H952" i="2"/>
  <c r="G952" i="2"/>
  <c r="H951" i="2"/>
  <c r="G951" i="2"/>
  <c r="H950" i="2"/>
  <c r="G950" i="2"/>
  <c r="H949" i="2"/>
  <c r="G949" i="2"/>
  <c r="H948" i="2"/>
  <c r="G948" i="2"/>
  <c r="H947" i="2"/>
  <c r="G947" i="2"/>
  <c r="H946" i="2"/>
  <c r="G946" i="2"/>
  <c r="H945" i="2"/>
  <c r="G945" i="2"/>
  <c r="H944" i="2"/>
  <c r="G944" i="2"/>
  <c r="H943" i="2"/>
  <c r="G943" i="2"/>
  <c r="H942" i="2"/>
  <c r="G942" i="2"/>
  <c r="H941" i="2"/>
  <c r="G941" i="2"/>
  <c r="H940" i="2"/>
  <c r="G940" i="2"/>
  <c r="H939" i="2"/>
  <c r="G939" i="2"/>
  <c r="H938" i="2"/>
  <c r="G938" i="2"/>
  <c r="H937" i="2"/>
  <c r="G937" i="2"/>
  <c r="H936" i="2"/>
  <c r="G936" i="2"/>
  <c r="H935" i="2"/>
  <c r="G935" i="2"/>
  <c r="H934" i="2"/>
  <c r="G934" i="2"/>
  <c r="H933" i="2"/>
  <c r="G933" i="2"/>
  <c r="H932" i="2"/>
  <c r="G932" i="2"/>
  <c r="H931" i="2"/>
  <c r="G931" i="2"/>
  <c r="H930" i="2"/>
  <c r="G930" i="2"/>
  <c r="H929" i="2"/>
  <c r="G929" i="2"/>
  <c r="H928" i="2"/>
  <c r="G928" i="2"/>
  <c r="H927" i="2"/>
  <c r="G927" i="2"/>
  <c r="H926" i="2"/>
  <c r="G926" i="2"/>
  <c r="H925" i="2"/>
  <c r="G925" i="2"/>
  <c r="H924" i="2"/>
  <c r="G924" i="2"/>
  <c r="H923" i="2"/>
  <c r="G923" i="2"/>
  <c r="H922" i="2"/>
  <c r="G922" i="2"/>
  <c r="H921" i="2"/>
  <c r="G921" i="2"/>
  <c r="H920" i="2"/>
  <c r="G920" i="2"/>
  <c r="H919" i="2"/>
  <c r="G919" i="2"/>
  <c r="H918" i="2"/>
  <c r="G918" i="2"/>
  <c r="H917" i="2"/>
  <c r="G917" i="2"/>
  <c r="H916" i="2"/>
  <c r="G916" i="2"/>
  <c r="H915" i="2"/>
  <c r="G915" i="2"/>
  <c r="H914" i="2"/>
  <c r="G914" i="2"/>
  <c r="H913" i="2"/>
  <c r="G913" i="2"/>
  <c r="H912" i="2"/>
  <c r="G912" i="2"/>
  <c r="H911" i="2"/>
  <c r="G911" i="2"/>
  <c r="H910" i="2"/>
  <c r="G910" i="2"/>
  <c r="H909" i="2"/>
  <c r="G909" i="2"/>
  <c r="H908" i="2"/>
  <c r="G908" i="2"/>
  <c r="H907" i="2"/>
  <c r="G907" i="2"/>
  <c r="H906" i="2"/>
  <c r="G906" i="2"/>
  <c r="H905" i="2"/>
  <c r="G905" i="2"/>
  <c r="H904" i="2"/>
  <c r="G904" i="2"/>
  <c r="H903" i="2"/>
  <c r="G903" i="2"/>
  <c r="H902" i="2"/>
  <c r="G902" i="2"/>
  <c r="H901" i="2"/>
  <c r="G901" i="2"/>
  <c r="H900" i="2"/>
  <c r="G900" i="2"/>
  <c r="H899" i="2"/>
  <c r="G899" i="2"/>
  <c r="H898" i="2"/>
  <c r="G898" i="2"/>
  <c r="H897" i="2"/>
  <c r="G897" i="2"/>
  <c r="H896" i="2"/>
  <c r="G896" i="2"/>
  <c r="H895" i="2"/>
  <c r="G895" i="2"/>
  <c r="H894" i="2"/>
  <c r="G894" i="2"/>
  <c r="H893" i="2"/>
  <c r="G893" i="2"/>
  <c r="H892" i="2"/>
  <c r="G892" i="2"/>
  <c r="H891" i="2"/>
  <c r="G891" i="2"/>
  <c r="H890" i="2"/>
  <c r="G890" i="2"/>
  <c r="H889" i="2"/>
  <c r="G889" i="2"/>
  <c r="H888" i="2"/>
  <c r="G888" i="2"/>
  <c r="H887" i="2"/>
  <c r="G887" i="2"/>
  <c r="H886" i="2"/>
  <c r="G886" i="2"/>
  <c r="H885" i="2"/>
  <c r="G885" i="2"/>
  <c r="H884" i="2"/>
  <c r="G884" i="2"/>
  <c r="H883" i="2"/>
  <c r="G883" i="2"/>
  <c r="H882" i="2"/>
  <c r="G882" i="2"/>
  <c r="H881" i="2"/>
  <c r="G881" i="2"/>
  <c r="H880" i="2"/>
  <c r="G880" i="2"/>
  <c r="H879" i="2"/>
  <c r="G879" i="2"/>
  <c r="H878" i="2"/>
  <c r="G878" i="2"/>
  <c r="H877" i="2"/>
  <c r="G877" i="2"/>
  <c r="H876" i="2"/>
  <c r="G876" i="2"/>
  <c r="H875" i="2"/>
  <c r="G875" i="2"/>
  <c r="H874" i="2"/>
  <c r="G874" i="2"/>
  <c r="H873" i="2"/>
  <c r="G873" i="2"/>
  <c r="H872" i="2"/>
  <c r="G872" i="2"/>
  <c r="H871" i="2"/>
  <c r="G871" i="2"/>
  <c r="H870" i="2"/>
  <c r="G870" i="2"/>
  <c r="H869" i="2"/>
  <c r="G869" i="2"/>
  <c r="H868" i="2"/>
  <c r="G868" i="2"/>
  <c r="H867" i="2"/>
  <c r="G867" i="2"/>
  <c r="H866" i="2"/>
  <c r="G866" i="2"/>
  <c r="H865" i="2"/>
  <c r="G865" i="2"/>
  <c r="H864" i="2"/>
  <c r="G864" i="2"/>
  <c r="H863" i="2"/>
  <c r="G863" i="2"/>
  <c r="H862" i="2"/>
  <c r="G862" i="2"/>
  <c r="H861" i="2"/>
  <c r="G861" i="2"/>
  <c r="H860" i="2"/>
  <c r="G860" i="2"/>
  <c r="H859" i="2"/>
  <c r="G859" i="2"/>
  <c r="H858" i="2"/>
  <c r="G858" i="2"/>
  <c r="H857" i="2"/>
  <c r="G857" i="2"/>
  <c r="H856" i="2"/>
  <c r="G856" i="2"/>
  <c r="H855" i="2"/>
  <c r="G855" i="2"/>
  <c r="H854" i="2"/>
  <c r="G854" i="2"/>
  <c r="H853" i="2"/>
  <c r="G853" i="2"/>
  <c r="H852" i="2"/>
  <c r="G852" i="2"/>
  <c r="H851" i="2"/>
  <c r="G851" i="2"/>
  <c r="H850" i="2"/>
  <c r="G850" i="2"/>
  <c r="H849" i="2"/>
  <c r="G849" i="2"/>
  <c r="H848" i="2"/>
  <c r="G848" i="2"/>
  <c r="H847" i="2"/>
  <c r="G847" i="2"/>
  <c r="H846" i="2"/>
  <c r="G846" i="2"/>
  <c r="H845" i="2"/>
  <c r="G845" i="2"/>
  <c r="H844" i="2"/>
  <c r="G844" i="2"/>
  <c r="H843" i="2"/>
  <c r="G843" i="2"/>
  <c r="H842" i="2"/>
  <c r="G842" i="2"/>
  <c r="H841" i="2"/>
  <c r="G841" i="2"/>
  <c r="H840" i="2"/>
  <c r="G840" i="2"/>
  <c r="H839" i="2"/>
  <c r="G839" i="2"/>
  <c r="H838" i="2"/>
  <c r="G838" i="2"/>
  <c r="H837" i="2"/>
  <c r="G837" i="2"/>
  <c r="H836" i="2"/>
  <c r="G836" i="2"/>
  <c r="H835" i="2"/>
  <c r="G835" i="2"/>
  <c r="H834" i="2"/>
  <c r="G834" i="2"/>
  <c r="H833" i="2"/>
  <c r="G833" i="2"/>
  <c r="H832" i="2"/>
  <c r="G832" i="2"/>
  <c r="H831" i="2"/>
  <c r="G831" i="2"/>
  <c r="H830" i="2"/>
  <c r="G830" i="2"/>
  <c r="H829" i="2"/>
  <c r="G829" i="2"/>
  <c r="H828" i="2"/>
  <c r="G828" i="2"/>
  <c r="H827" i="2"/>
  <c r="G827" i="2"/>
  <c r="H826" i="2"/>
  <c r="G826" i="2"/>
  <c r="H825" i="2"/>
  <c r="G825" i="2"/>
  <c r="H824" i="2"/>
  <c r="G824" i="2"/>
  <c r="H823" i="2"/>
  <c r="G823" i="2"/>
  <c r="H822" i="2"/>
  <c r="G822" i="2"/>
  <c r="H821" i="2"/>
  <c r="G821" i="2"/>
  <c r="H820" i="2"/>
  <c r="G820" i="2"/>
  <c r="H819" i="2"/>
  <c r="G819" i="2"/>
  <c r="H818" i="2"/>
  <c r="G818" i="2"/>
  <c r="H817" i="2"/>
  <c r="G817" i="2"/>
  <c r="H816" i="2"/>
  <c r="G816" i="2"/>
  <c r="H815" i="2"/>
  <c r="G815" i="2"/>
  <c r="H814" i="2"/>
  <c r="G814" i="2"/>
  <c r="H813" i="2"/>
  <c r="G813" i="2"/>
  <c r="H812" i="2"/>
  <c r="G812" i="2"/>
  <c r="H811" i="2"/>
  <c r="G811" i="2"/>
  <c r="H810" i="2"/>
  <c r="G810" i="2"/>
  <c r="H809" i="2"/>
  <c r="G809" i="2"/>
  <c r="H808" i="2"/>
  <c r="G808" i="2"/>
  <c r="H807" i="2"/>
  <c r="G807" i="2"/>
  <c r="H806" i="2"/>
  <c r="G806" i="2"/>
  <c r="H805" i="2"/>
  <c r="G805" i="2"/>
  <c r="H804" i="2"/>
  <c r="G804" i="2"/>
  <c r="H803" i="2"/>
  <c r="G803" i="2"/>
  <c r="H802" i="2"/>
  <c r="G802" i="2"/>
  <c r="H801" i="2"/>
  <c r="G801" i="2"/>
  <c r="H800" i="2"/>
  <c r="G800" i="2"/>
  <c r="H799" i="2"/>
  <c r="G799" i="2"/>
  <c r="H798" i="2"/>
  <c r="G798" i="2"/>
  <c r="H797" i="2"/>
  <c r="G797" i="2"/>
  <c r="H796" i="2"/>
  <c r="G796" i="2"/>
  <c r="H795" i="2"/>
  <c r="G795" i="2"/>
  <c r="H794" i="2"/>
  <c r="G794" i="2"/>
  <c r="H793" i="2"/>
  <c r="G793" i="2"/>
  <c r="H792" i="2"/>
  <c r="G792" i="2"/>
  <c r="H791" i="2"/>
  <c r="G791" i="2"/>
  <c r="H790" i="2"/>
  <c r="G790" i="2"/>
  <c r="H789" i="2"/>
  <c r="G789" i="2"/>
  <c r="H788" i="2"/>
  <c r="G788" i="2"/>
  <c r="H787" i="2"/>
  <c r="G787" i="2"/>
  <c r="H786" i="2"/>
  <c r="G786" i="2"/>
  <c r="H785" i="2"/>
  <c r="G785" i="2"/>
  <c r="H784" i="2"/>
  <c r="G784" i="2"/>
  <c r="H783" i="2"/>
  <c r="G783" i="2"/>
  <c r="H782" i="2"/>
  <c r="G782" i="2"/>
  <c r="H781" i="2"/>
  <c r="G781" i="2"/>
  <c r="H780" i="2"/>
  <c r="G780" i="2"/>
  <c r="H779" i="2"/>
  <c r="G779" i="2"/>
  <c r="H778" i="2"/>
  <c r="G778" i="2"/>
  <c r="H777" i="2"/>
  <c r="G777" i="2"/>
  <c r="H776" i="2"/>
  <c r="G776" i="2"/>
  <c r="H775" i="2"/>
  <c r="G775" i="2"/>
  <c r="H774" i="2"/>
  <c r="G774" i="2"/>
  <c r="H773" i="2"/>
  <c r="G773" i="2"/>
  <c r="H772" i="2"/>
  <c r="G772" i="2"/>
  <c r="H771" i="2"/>
  <c r="G771" i="2"/>
  <c r="H770" i="2"/>
  <c r="G770" i="2"/>
  <c r="H769" i="2"/>
  <c r="G769" i="2"/>
  <c r="H768" i="2"/>
  <c r="G768" i="2"/>
  <c r="H767" i="2"/>
  <c r="G767" i="2"/>
  <c r="H766" i="2"/>
  <c r="G766" i="2"/>
  <c r="H765" i="2"/>
  <c r="G765" i="2"/>
  <c r="H764" i="2"/>
  <c r="G764" i="2"/>
  <c r="H763" i="2"/>
  <c r="G763" i="2"/>
  <c r="H762" i="2"/>
  <c r="G762" i="2"/>
  <c r="H761" i="2"/>
  <c r="G761" i="2"/>
  <c r="H760" i="2"/>
  <c r="G760" i="2"/>
  <c r="H759" i="2"/>
  <c r="G759" i="2"/>
  <c r="H758" i="2"/>
  <c r="G758" i="2"/>
  <c r="H757" i="2"/>
  <c r="G757" i="2"/>
  <c r="H756" i="2"/>
  <c r="G756" i="2"/>
  <c r="H755" i="2"/>
  <c r="G755" i="2"/>
  <c r="H754" i="2"/>
  <c r="G754" i="2"/>
  <c r="H753" i="2"/>
  <c r="G753" i="2"/>
  <c r="H752" i="2"/>
  <c r="G752" i="2"/>
  <c r="H751" i="2"/>
  <c r="G751" i="2"/>
  <c r="H750" i="2"/>
  <c r="G750" i="2"/>
  <c r="H749" i="2"/>
  <c r="G749" i="2"/>
  <c r="H748" i="2"/>
  <c r="G748" i="2"/>
  <c r="H747" i="2"/>
  <c r="G747" i="2"/>
  <c r="H746" i="2"/>
  <c r="G746" i="2"/>
  <c r="H745" i="2"/>
  <c r="G745" i="2"/>
  <c r="H744" i="2"/>
  <c r="G744" i="2"/>
  <c r="H743" i="2"/>
  <c r="G743" i="2"/>
  <c r="H742" i="2"/>
  <c r="G742" i="2"/>
  <c r="H741" i="2"/>
  <c r="G741" i="2"/>
  <c r="H740" i="2"/>
  <c r="G740" i="2"/>
  <c r="H739" i="2"/>
  <c r="G739" i="2"/>
  <c r="H738" i="2"/>
  <c r="G738" i="2"/>
  <c r="H737" i="2"/>
  <c r="G737" i="2"/>
  <c r="H736" i="2"/>
  <c r="G736" i="2"/>
  <c r="H735" i="2"/>
  <c r="G735" i="2"/>
  <c r="H734" i="2"/>
  <c r="G734" i="2"/>
  <c r="H733" i="2"/>
  <c r="G733" i="2"/>
  <c r="H732" i="2"/>
  <c r="G732" i="2"/>
  <c r="H731" i="2"/>
  <c r="G731" i="2"/>
  <c r="H730" i="2"/>
  <c r="G730" i="2"/>
  <c r="H729" i="2"/>
  <c r="G729" i="2"/>
  <c r="H728" i="2"/>
  <c r="G728" i="2"/>
  <c r="H727" i="2"/>
  <c r="G727" i="2"/>
  <c r="H726" i="2"/>
  <c r="G726" i="2"/>
  <c r="H725" i="2"/>
  <c r="G725" i="2"/>
  <c r="H724" i="2"/>
  <c r="G724" i="2"/>
  <c r="H723" i="2"/>
  <c r="G723" i="2"/>
  <c r="H722" i="2"/>
  <c r="G722" i="2"/>
  <c r="H721" i="2"/>
  <c r="G721" i="2"/>
  <c r="H720" i="2"/>
  <c r="G720" i="2"/>
  <c r="H719" i="2"/>
  <c r="G719" i="2"/>
  <c r="H718" i="2"/>
  <c r="G718" i="2"/>
  <c r="H717" i="2"/>
  <c r="G717" i="2"/>
  <c r="H716" i="2"/>
  <c r="G716" i="2"/>
  <c r="H715" i="2"/>
  <c r="G715" i="2"/>
  <c r="H714" i="2"/>
  <c r="G714" i="2"/>
  <c r="H713" i="2"/>
  <c r="G713" i="2"/>
  <c r="H712" i="2"/>
  <c r="G712" i="2"/>
  <c r="H711" i="2"/>
  <c r="G711" i="2"/>
  <c r="H710" i="2"/>
  <c r="G710" i="2"/>
  <c r="H709" i="2"/>
  <c r="G709" i="2"/>
  <c r="H708" i="2"/>
  <c r="G708" i="2"/>
  <c r="H707" i="2"/>
  <c r="G707" i="2"/>
  <c r="H706" i="2"/>
  <c r="G706" i="2"/>
  <c r="H705" i="2"/>
  <c r="G705" i="2"/>
  <c r="H704" i="2"/>
  <c r="G704" i="2"/>
  <c r="H703" i="2"/>
  <c r="G703" i="2"/>
  <c r="H702" i="2"/>
  <c r="G702" i="2"/>
  <c r="H701" i="2"/>
  <c r="G701" i="2"/>
  <c r="H700" i="2"/>
  <c r="G700" i="2"/>
  <c r="H699" i="2"/>
  <c r="G699" i="2"/>
  <c r="H698" i="2"/>
  <c r="G698" i="2"/>
  <c r="H697" i="2"/>
  <c r="G697" i="2"/>
  <c r="H696" i="2"/>
  <c r="G696" i="2"/>
  <c r="H695" i="2"/>
  <c r="G695" i="2"/>
  <c r="H694" i="2"/>
  <c r="G694" i="2"/>
  <c r="H693" i="2"/>
  <c r="G693" i="2"/>
  <c r="H692" i="2"/>
  <c r="G692" i="2"/>
  <c r="H691" i="2"/>
  <c r="G691" i="2"/>
  <c r="H690" i="2"/>
  <c r="G690" i="2"/>
  <c r="H689" i="2"/>
  <c r="G689" i="2"/>
  <c r="H688" i="2"/>
  <c r="G688" i="2"/>
  <c r="H687" i="2"/>
  <c r="G687" i="2"/>
  <c r="H686" i="2"/>
  <c r="G686" i="2"/>
  <c r="H685" i="2"/>
  <c r="G685" i="2"/>
  <c r="H684" i="2"/>
  <c r="G684" i="2"/>
  <c r="H683" i="2"/>
  <c r="G683" i="2"/>
  <c r="H682" i="2"/>
  <c r="G682" i="2"/>
  <c r="H681" i="2"/>
  <c r="G681" i="2"/>
  <c r="H680" i="2"/>
  <c r="G680" i="2"/>
  <c r="H679" i="2"/>
  <c r="G679" i="2"/>
  <c r="H678" i="2"/>
  <c r="G678" i="2"/>
  <c r="H677" i="2"/>
  <c r="G677" i="2"/>
  <c r="H676" i="2"/>
  <c r="G676" i="2"/>
  <c r="H675" i="2"/>
  <c r="G675" i="2"/>
  <c r="H674" i="2"/>
  <c r="G674" i="2"/>
  <c r="H673" i="2"/>
  <c r="G673" i="2"/>
  <c r="H672" i="2"/>
  <c r="G672" i="2"/>
  <c r="H671" i="2"/>
  <c r="G671" i="2"/>
  <c r="H670" i="2"/>
  <c r="G670" i="2"/>
  <c r="H669" i="2"/>
  <c r="G669" i="2"/>
  <c r="H668" i="2"/>
  <c r="G668" i="2"/>
  <c r="H667" i="2"/>
  <c r="G667" i="2"/>
  <c r="H666" i="2"/>
  <c r="G666" i="2"/>
  <c r="H665" i="2"/>
  <c r="G665" i="2"/>
  <c r="H664" i="2"/>
  <c r="G664" i="2"/>
  <c r="H663" i="2"/>
  <c r="G663" i="2"/>
  <c r="H662" i="2"/>
  <c r="G662" i="2"/>
  <c r="H661" i="2"/>
  <c r="G661" i="2"/>
  <c r="H660" i="2"/>
  <c r="G660" i="2"/>
  <c r="H659" i="2"/>
  <c r="G659" i="2"/>
  <c r="H658" i="2"/>
  <c r="G658" i="2"/>
  <c r="H657" i="2"/>
  <c r="G657" i="2"/>
  <c r="H656" i="2"/>
  <c r="G656" i="2"/>
  <c r="H655" i="2"/>
  <c r="G655" i="2"/>
  <c r="H654" i="2"/>
  <c r="G654" i="2"/>
  <c r="H653" i="2"/>
  <c r="G653" i="2"/>
  <c r="H652" i="2"/>
  <c r="G652" i="2"/>
  <c r="H651" i="2"/>
  <c r="G651" i="2"/>
  <c r="H650" i="2"/>
  <c r="G650" i="2"/>
  <c r="H649" i="2"/>
  <c r="G649" i="2"/>
  <c r="H648" i="2"/>
  <c r="G648" i="2"/>
  <c r="H647" i="2"/>
  <c r="G647" i="2"/>
  <c r="H646" i="2"/>
  <c r="G646" i="2"/>
  <c r="H645" i="2"/>
  <c r="G645" i="2"/>
  <c r="H644" i="2"/>
  <c r="G644" i="2"/>
  <c r="H643" i="2"/>
  <c r="G643" i="2"/>
  <c r="H642" i="2"/>
  <c r="G642" i="2"/>
  <c r="H641" i="2"/>
  <c r="G641" i="2"/>
  <c r="H640" i="2"/>
  <c r="G640" i="2"/>
  <c r="H639" i="2"/>
  <c r="G639" i="2"/>
  <c r="H638" i="2"/>
  <c r="G638" i="2"/>
  <c r="H637" i="2"/>
  <c r="G637" i="2"/>
  <c r="H636" i="2"/>
  <c r="G636" i="2"/>
  <c r="H635" i="2"/>
  <c r="G635" i="2"/>
  <c r="H634" i="2"/>
  <c r="G634" i="2"/>
  <c r="H633" i="2"/>
  <c r="G633" i="2"/>
  <c r="H632" i="2"/>
  <c r="G632" i="2"/>
  <c r="H631" i="2"/>
  <c r="G631" i="2"/>
  <c r="H630" i="2"/>
  <c r="G630" i="2"/>
  <c r="H629" i="2"/>
  <c r="G629" i="2"/>
  <c r="H628" i="2"/>
  <c r="G628" i="2"/>
  <c r="H627" i="2"/>
  <c r="G627" i="2"/>
  <c r="H626" i="2"/>
  <c r="G626" i="2"/>
  <c r="H625" i="2"/>
  <c r="G625" i="2"/>
  <c r="H624" i="2"/>
  <c r="G624" i="2"/>
  <c r="H623" i="2"/>
  <c r="G623" i="2"/>
  <c r="H622" i="2"/>
  <c r="G622" i="2"/>
  <c r="H621" i="2"/>
  <c r="G621" i="2"/>
  <c r="H620" i="2"/>
  <c r="G620" i="2"/>
  <c r="H619" i="2"/>
  <c r="G619" i="2"/>
  <c r="H618" i="2"/>
  <c r="G618" i="2"/>
  <c r="H617" i="2"/>
  <c r="G617" i="2"/>
  <c r="H616" i="2"/>
  <c r="G616" i="2"/>
  <c r="H615" i="2"/>
  <c r="G615" i="2"/>
  <c r="H614" i="2"/>
  <c r="G614" i="2"/>
  <c r="H613" i="2"/>
  <c r="G613" i="2"/>
  <c r="H612" i="2"/>
  <c r="G612" i="2"/>
  <c r="H611" i="2"/>
  <c r="G611" i="2"/>
  <c r="H610" i="2"/>
  <c r="G610" i="2"/>
  <c r="H609" i="2"/>
  <c r="G609" i="2"/>
  <c r="H608" i="2"/>
  <c r="G608" i="2"/>
  <c r="H607" i="2"/>
  <c r="G607" i="2"/>
  <c r="H606" i="2"/>
  <c r="G606" i="2"/>
  <c r="H605" i="2"/>
  <c r="G605" i="2"/>
  <c r="H604" i="2"/>
  <c r="G604" i="2"/>
  <c r="H603" i="2"/>
  <c r="G603" i="2"/>
  <c r="H602" i="2"/>
  <c r="G602" i="2"/>
  <c r="H601" i="2"/>
  <c r="G601" i="2"/>
  <c r="H600" i="2"/>
  <c r="G600" i="2"/>
  <c r="H599" i="2"/>
  <c r="G599" i="2"/>
  <c r="H598" i="2"/>
  <c r="G598" i="2"/>
  <c r="H597" i="2"/>
  <c r="G597" i="2"/>
  <c r="H596" i="2"/>
  <c r="G596" i="2"/>
  <c r="H595" i="2"/>
  <c r="G595" i="2"/>
  <c r="H594" i="2"/>
  <c r="G594" i="2"/>
  <c r="H593" i="2"/>
  <c r="G593" i="2"/>
  <c r="H592" i="2"/>
  <c r="G592" i="2"/>
  <c r="H591" i="2"/>
  <c r="G591" i="2"/>
  <c r="H590" i="2"/>
  <c r="G590" i="2"/>
  <c r="H589" i="2"/>
  <c r="G589" i="2"/>
  <c r="H588" i="2"/>
  <c r="G588" i="2"/>
  <c r="H587" i="2"/>
  <c r="G587" i="2"/>
  <c r="H586" i="2"/>
  <c r="G586" i="2"/>
  <c r="H585" i="2"/>
  <c r="G585" i="2"/>
  <c r="H584" i="2"/>
  <c r="G584" i="2"/>
  <c r="H583" i="2"/>
  <c r="G583" i="2"/>
  <c r="H582" i="2"/>
  <c r="G582" i="2"/>
  <c r="H581" i="2"/>
  <c r="G581" i="2"/>
  <c r="H580" i="2"/>
  <c r="G580" i="2"/>
  <c r="H579" i="2"/>
  <c r="G579" i="2"/>
  <c r="H578" i="2"/>
  <c r="G578" i="2"/>
  <c r="H577" i="2"/>
  <c r="G577" i="2"/>
  <c r="H576" i="2"/>
  <c r="G576" i="2"/>
  <c r="H575" i="2"/>
  <c r="G575" i="2"/>
  <c r="H574" i="2"/>
  <c r="G574" i="2"/>
  <c r="H573" i="2"/>
  <c r="G573" i="2"/>
  <c r="H572" i="2"/>
  <c r="G572" i="2"/>
  <c r="H571" i="2"/>
  <c r="G571" i="2"/>
  <c r="H570" i="2"/>
  <c r="G570" i="2"/>
  <c r="H569" i="2"/>
  <c r="G569" i="2"/>
  <c r="H568" i="2"/>
  <c r="G568" i="2"/>
  <c r="H567" i="2"/>
  <c r="G567" i="2"/>
  <c r="H566" i="2"/>
  <c r="G566" i="2"/>
  <c r="H565" i="2"/>
  <c r="G565" i="2"/>
  <c r="H564" i="2"/>
  <c r="G564" i="2"/>
  <c r="H563" i="2"/>
  <c r="G563" i="2"/>
  <c r="H562" i="2"/>
  <c r="G562" i="2"/>
  <c r="H561" i="2"/>
  <c r="G561" i="2"/>
  <c r="H560" i="2"/>
  <c r="G560" i="2"/>
  <c r="H559" i="2"/>
  <c r="G559" i="2"/>
  <c r="H558" i="2"/>
  <c r="G558" i="2"/>
  <c r="H557" i="2"/>
  <c r="G557" i="2"/>
  <c r="H556" i="2"/>
  <c r="G556" i="2"/>
  <c r="H555" i="2"/>
  <c r="G555" i="2"/>
  <c r="H554" i="2"/>
  <c r="G554" i="2"/>
  <c r="H553" i="2"/>
  <c r="G553" i="2"/>
  <c r="H552" i="2"/>
  <c r="G552" i="2"/>
  <c r="H551" i="2"/>
  <c r="G551" i="2"/>
  <c r="H550" i="2"/>
  <c r="G550" i="2"/>
  <c r="H549" i="2"/>
  <c r="G549" i="2"/>
  <c r="H548" i="2"/>
  <c r="G548" i="2"/>
  <c r="H547" i="2"/>
  <c r="G547" i="2"/>
  <c r="H546" i="2"/>
  <c r="G546" i="2"/>
  <c r="H545" i="2"/>
  <c r="G545" i="2"/>
  <c r="H544" i="2"/>
  <c r="G544" i="2"/>
  <c r="H543" i="2"/>
  <c r="G543" i="2"/>
  <c r="H542" i="2"/>
  <c r="G542" i="2"/>
  <c r="H541" i="2"/>
  <c r="G541" i="2"/>
  <c r="H540" i="2"/>
  <c r="G540" i="2"/>
  <c r="H539" i="2"/>
  <c r="G539" i="2"/>
  <c r="H538" i="2"/>
  <c r="G538" i="2"/>
  <c r="H537" i="2"/>
  <c r="G537" i="2"/>
  <c r="H536" i="2"/>
  <c r="G536" i="2"/>
  <c r="H535" i="2"/>
  <c r="G535" i="2"/>
  <c r="H534" i="2"/>
  <c r="G534" i="2"/>
  <c r="H533" i="2"/>
  <c r="G533" i="2"/>
  <c r="H532" i="2"/>
  <c r="G532" i="2"/>
  <c r="H531" i="2"/>
  <c r="G531" i="2"/>
  <c r="H530" i="2"/>
  <c r="G530" i="2"/>
  <c r="H529" i="2"/>
  <c r="G529" i="2"/>
  <c r="H528" i="2"/>
  <c r="G528" i="2"/>
  <c r="H527" i="2"/>
  <c r="G527" i="2"/>
  <c r="H526" i="2"/>
  <c r="G526" i="2"/>
  <c r="H525" i="2"/>
  <c r="G525" i="2"/>
  <c r="H524" i="2"/>
  <c r="G524" i="2"/>
  <c r="H523" i="2"/>
  <c r="G523" i="2"/>
  <c r="H522" i="2"/>
  <c r="G522" i="2"/>
  <c r="H521" i="2"/>
  <c r="G521" i="2"/>
  <c r="H520" i="2"/>
  <c r="G520" i="2"/>
  <c r="H519" i="2"/>
  <c r="G519" i="2"/>
  <c r="H518" i="2"/>
  <c r="G518" i="2"/>
  <c r="H517" i="2"/>
  <c r="G517" i="2"/>
  <c r="H516" i="2"/>
  <c r="G516" i="2"/>
  <c r="H515" i="2"/>
  <c r="G515" i="2"/>
  <c r="H514" i="2"/>
  <c r="G514" i="2"/>
  <c r="H513" i="2"/>
  <c r="G513" i="2"/>
  <c r="H512" i="2"/>
  <c r="G512" i="2"/>
  <c r="H511" i="2"/>
  <c r="G511" i="2"/>
  <c r="H510" i="2"/>
  <c r="G510" i="2"/>
  <c r="H509" i="2"/>
  <c r="G509" i="2"/>
  <c r="H508" i="2"/>
  <c r="G508" i="2"/>
  <c r="H507" i="2"/>
  <c r="G507" i="2"/>
  <c r="H506" i="2"/>
  <c r="G506" i="2"/>
  <c r="H505" i="2"/>
  <c r="G505" i="2"/>
  <c r="H504" i="2"/>
  <c r="G504" i="2"/>
  <c r="H503" i="2"/>
  <c r="G503" i="2"/>
  <c r="H502" i="2"/>
  <c r="G502" i="2"/>
  <c r="H501" i="2"/>
  <c r="G501" i="2"/>
  <c r="H500" i="2"/>
  <c r="G500" i="2"/>
  <c r="H499" i="2"/>
  <c r="G499" i="2"/>
  <c r="H498" i="2"/>
  <c r="G498" i="2"/>
  <c r="H497" i="2"/>
  <c r="G497" i="2"/>
  <c r="H496" i="2"/>
  <c r="G496" i="2"/>
  <c r="H495" i="2"/>
  <c r="G495" i="2"/>
  <c r="H494" i="2"/>
  <c r="G494" i="2"/>
  <c r="H493" i="2"/>
  <c r="G493" i="2"/>
  <c r="H492" i="2"/>
  <c r="G492" i="2"/>
  <c r="H491" i="2"/>
  <c r="G491" i="2"/>
  <c r="H490" i="2"/>
  <c r="G490" i="2"/>
  <c r="H489" i="2"/>
  <c r="G489" i="2"/>
  <c r="H488" i="2"/>
  <c r="G488" i="2"/>
  <c r="H487" i="2"/>
  <c r="G487" i="2"/>
  <c r="H486" i="2"/>
  <c r="G486" i="2"/>
  <c r="H485" i="2"/>
  <c r="G485" i="2"/>
  <c r="H484" i="2"/>
  <c r="G484" i="2"/>
  <c r="H483" i="2"/>
  <c r="G483" i="2"/>
  <c r="H482" i="2"/>
  <c r="G482" i="2"/>
  <c r="H481" i="2"/>
  <c r="G481" i="2"/>
  <c r="H480" i="2"/>
  <c r="G480" i="2"/>
  <c r="H479" i="2"/>
  <c r="G479" i="2"/>
  <c r="H478" i="2"/>
  <c r="G478" i="2"/>
  <c r="H477" i="2"/>
  <c r="G477" i="2"/>
  <c r="H476" i="2"/>
  <c r="G476" i="2"/>
  <c r="H475" i="2"/>
  <c r="G475" i="2"/>
  <c r="H474" i="2"/>
  <c r="G474" i="2"/>
  <c r="H473" i="2"/>
  <c r="G473" i="2"/>
  <c r="H472" i="2"/>
  <c r="G472" i="2"/>
  <c r="H471" i="2"/>
  <c r="G471" i="2"/>
  <c r="H470" i="2"/>
  <c r="G470" i="2"/>
  <c r="H469" i="2"/>
  <c r="G469" i="2"/>
  <c r="H468" i="2"/>
  <c r="G468" i="2"/>
  <c r="H467" i="2"/>
  <c r="G467" i="2"/>
  <c r="H466" i="2"/>
  <c r="G466" i="2"/>
  <c r="H465" i="2"/>
  <c r="G465" i="2"/>
  <c r="H464" i="2"/>
  <c r="G464" i="2"/>
  <c r="H463" i="2"/>
  <c r="G463" i="2"/>
  <c r="H462" i="2"/>
  <c r="G462" i="2"/>
  <c r="H461" i="2"/>
  <c r="G461" i="2"/>
  <c r="H460" i="2"/>
  <c r="G460" i="2"/>
  <c r="H459" i="2"/>
  <c r="G459" i="2"/>
  <c r="H458" i="2"/>
  <c r="G458" i="2"/>
  <c r="H457" i="2"/>
  <c r="G457" i="2"/>
  <c r="H456" i="2"/>
  <c r="G456" i="2"/>
  <c r="H455" i="2"/>
  <c r="G455" i="2"/>
  <c r="H454" i="2"/>
  <c r="G454" i="2"/>
  <c r="H453" i="2"/>
  <c r="G453" i="2"/>
  <c r="H452" i="2"/>
  <c r="G452" i="2"/>
  <c r="H451" i="2"/>
  <c r="G451" i="2"/>
  <c r="H450" i="2"/>
  <c r="G450" i="2"/>
  <c r="H449" i="2"/>
  <c r="G449" i="2"/>
  <c r="H448" i="2"/>
  <c r="G448" i="2"/>
  <c r="H447" i="2"/>
  <c r="G447" i="2"/>
  <c r="H446" i="2"/>
  <c r="G446" i="2"/>
  <c r="H445" i="2"/>
  <c r="G445" i="2"/>
  <c r="H444" i="2"/>
  <c r="G444" i="2"/>
  <c r="H443" i="2"/>
  <c r="G443" i="2"/>
  <c r="H442" i="2"/>
  <c r="G442" i="2"/>
  <c r="H441" i="2"/>
  <c r="G441" i="2"/>
  <c r="H440" i="2"/>
  <c r="G440" i="2"/>
  <c r="H439" i="2"/>
  <c r="G439" i="2"/>
  <c r="H438" i="2"/>
  <c r="G438" i="2"/>
  <c r="H437" i="2"/>
  <c r="G437" i="2"/>
  <c r="H436" i="2"/>
  <c r="G436" i="2"/>
  <c r="H435" i="2"/>
  <c r="G435" i="2"/>
  <c r="H434" i="2"/>
  <c r="G434" i="2"/>
  <c r="H433" i="2"/>
  <c r="G433" i="2"/>
  <c r="H432" i="2"/>
  <c r="G432" i="2"/>
  <c r="H431" i="2"/>
  <c r="G431" i="2"/>
  <c r="H430" i="2"/>
  <c r="G430" i="2"/>
  <c r="H429" i="2"/>
  <c r="G429" i="2"/>
  <c r="H428" i="2"/>
  <c r="G428" i="2"/>
  <c r="H427" i="2"/>
  <c r="G427" i="2"/>
  <c r="H426" i="2"/>
  <c r="G426" i="2"/>
  <c r="H425" i="2"/>
  <c r="G425" i="2"/>
  <c r="H424" i="2"/>
  <c r="G424" i="2"/>
  <c r="H423" i="2"/>
  <c r="G423" i="2"/>
  <c r="H422" i="2"/>
  <c r="G422" i="2"/>
  <c r="H421" i="2"/>
  <c r="G421" i="2"/>
  <c r="H420" i="2"/>
  <c r="G420" i="2"/>
  <c r="H419" i="2"/>
  <c r="G419" i="2"/>
  <c r="H418" i="2"/>
  <c r="G418" i="2"/>
  <c r="H417" i="2"/>
  <c r="G417" i="2"/>
  <c r="H416" i="2"/>
  <c r="G416" i="2"/>
  <c r="H415" i="2"/>
  <c r="G415" i="2"/>
  <c r="H414" i="2"/>
  <c r="G414" i="2"/>
  <c r="H413" i="2"/>
  <c r="G413" i="2"/>
  <c r="H412" i="2"/>
  <c r="G412" i="2"/>
  <c r="H411" i="2"/>
  <c r="G411" i="2"/>
  <c r="H410" i="2"/>
  <c r="G410" i="2"/>
  <c r="H409" i="2"/>
  <c r="G409" i="2"/>
  <c r="H408" i="2"/>
  <c r="G408" i="2"/>
  <c r="H407" i="2"/>
  <c r="G407" i="2"/>
  <c r="H406" i="2"/>
  <c r="G406" i="2"/>
  <c r="H405" i="2"/>
  <c r="G405" i="2"/>
  <c r="H404" i="2"/>
  <c r="G404" i="2"/>
  <c r="H403" i="2"/>
  <c r="G403" i="2"/>
  <c r="H402" i="2"/>
  <c r="G402" i="2"/>
  <c r="H401" i="2"/>
  <c r="G401" i="2"/>
  <c r="H400" i="2"/>
  <c r="G400" i="2"/>
  <c r="H399" i="2"/>
  <c r="G399" i="2"/>
  <c r="H398" i="2"/>
  <c r="G398" i="2"/>
  <c r="H397" i="2"/>
  <c r="G397" i="2"/>
  <c r="H396" i="2"/>
  <c r="G396" i="2"/>
  <c r="H395" i="2"/>
  <c r="G395" i="2"/>
  <c r="H394" i="2"/>
  <c r="G394" i="2"/>
  <c r="H393" i="2"/>
  <c r="G393" i="2"/>
  <c r="H392" i="2"/>
  <c r="G392" i="2"/>
  <c r="H391" i="2"/>
  <c r="G391" i="2"/>
  <c r="H390" i="2"/>
  <c r="G390" i="2"/>
  <c r="H389" i="2"/>
  <c r="G389" i="2"/>
  <c r="H388" i="2"/>
  <c r="G388" i="2"/>
  <c r="H387" i="2"/>
  <c r="G387" i="2"/>
  <c r="H386" i="2"/>
  <c r="G386" i="2"/>
  <c r="H385" i="2"/>
  <c r="G385" i="2"/>
  <c r="H384" i="2"/>
  <c r="G384" i="2"/>
  <c r="H383" i="2"/>
  <c r="G383" i="2"/>
  <c r="H382" i="2"/>
  <c r="G382" i="2"/>
  <c r="H381" i="2"/>
  <c r="G381" i="2"/>
  <c r="H380" i="2"/>
  <c r="G380" i="2"/>
  <c r="H379" i="2"/>
  <c r="G379" i="2"/>
  <c r="H378" i="2"/>
  <c r="G378" i="2"/>
  <c r="H377" i="2"/>
  <c r="G377" i="2"/>
  <c r="H376" i="2"/>
  <c r="G376" i="2"/>
  <c r="H375" i="2"/>
  <c r="G375" i="2"/>
  <c r="H374" i="2"/>
  <c r="G374" i="2"/>
  <c r="H373" i="2"/>
  <c r="G373" i="2"/>
  <c r="H372" i="2"/>
  <c r="G372" i="2"/>
  <c r="H371" i="2"/>
  <c r="G371" i="2"/>
  <c r="H370" i="2"/>
  <c r="G370" i="2"/>
  <c r="H369" i="2"/>
  <c r="G369" i="2"/>
  <c r="H368" i="2"/>
  <c r="G368" i="2"/>
  <c r="H367" i="2"/>
  <c r="G367" i="2"/>
  <c r="H366" i="2"/>
  <c r="G366" i="2"/>
  <c r="H365" i="2"/>
  <c r="G365" i="2"/>
  <c r="H364" i="2"/>
  <c r="G364" i="2"/>
  <c r="H363" i="2"/>
  <c r="G363" i="2"/>
  <c r="H362" i="2"/>
  <c r="G362" i="2"/>
  <c r="H361" i="2"/>
  <c r="G361" i="2"/>
  <c r="H360" i="2"/>
  <c r="G360" i="2"/>
  <c r="H359" i="2"/>
  <c r="G359" i="2"/>
  <c r="H358" i="2"/>
  <c r="G358" i="2"/>
  <c r="H357" i="2"/>
  <c r="G357" i="2"/>
  <c r="H356" i="2"/>
  <c r="G356" i="2"/>
  <c r="H355" i="2"/>
  <c r="G355" i="2"/>
  <c r="H354" i="2"/>
  <c r="G354" i="2"/>
  <c r="H353" i="2"/>
  <c r="G353" i="2"/>
  <c r="H352" i="2"/>
  <c r="G352" i="2"/>
  <c r="H351" i="2"/>
  <c r="G351" i="2"/>
  <c r="H350" i="2"/>
  <c r="G350" i="2"/>
  <c r="H349" i="2"/>
  <c r="G349" i="2"/>
  <c r="H348" i="2"/>
  <c r="G348" i="2"/>
  <c r="H347" i="2"/>
  <c r="G347" i="2"/>
  <c r="H346" i="2"/>
  <c r="G346" i="2"/>
  <c r="H345" i="2"/>
  <c r="G345" i="2"/>
  <c r="H344" i="2"/>
  <c r="G344" i="2"/>
  <c r="H343" i="2"/>
  <c r="G343" i="2"/>
  <c r="H342" i="2"/>
  <c r="G342" i="2"/>
  <c r="H341" i="2"/>
  <c r="G341" i="2"/>
  <c r="H340" i="2"/>
  <c r="G340" i="2"/>
  <c r="H339" i="2"/>
  <c r="G339" i="2"/>
  <c r="H338" i="2"/>
  <c r="G338" i="2"/>
  <c r="H337" i="2"/>
  <c r="G337" i="2"/>
  <c r="H336" i="2"/>
  <c r="G336" i="2"/>
  <c r="H335" i="2"/>
  <c r="G335" i="2"/>
  <c r="H334" i="2"/>
  <c r="G334" i="2"/>
  <c r="H333" i="2"/>
  <c r="G333" i="2"/>
  <c r="H332" i="2"/>
  <c r="G332" i="2"/>
  <c r="H331" i="2"/>
  <c r="G331" i="2"/>
  <c r="H330" i="2"/>
  <c r="G330" i="2"/>
  <c r="H329" i="2"/>
  <c r="G329" i="2"/>
  <c r="H328" i="2"/>
  <c r="G328" i="2"/>
  <c r="H327" i="2"/>
  <c r="G327" i="2"/>
  <c r="H326" i="2"/>
  <c r="G326" i="2"/>
  <c r="H325" i="2"/>
  <c r="G325" i="2"/>
  <c r="H324" i="2"/>
  <c r="G324" i="2"/>
  <c r="H323" i="2"/>
  <c r="G323" i="2"/>
  <c r="H322" i="2"/>
  <c r="G322" i="2"/>
  <c r="H321" i="2"/>
  <c r="G321" i="2"/>
  <c r="H320" i="2"/>
  <c r="G320" i="2"/>
  <c r="H319" i="2"/>
  <c r="G319" i="2"/>
  <c r="H318" i="2"/>
  <c r="G318" i="2"/>
  <c r="H317" i="2"/>
  <c r="G317" i="2"/>
  <c r="H316" i="2"/>
  <c r="G316" i="2"/>
  <c r="H315" i="2"/>
  <c r="G315" i="2"/>
  <c r="H314" i="2"/>
  <c r="G314" i="2"/>
  <c r="H313" i="2"/>
  <c r="G313" i="2"/>
  <c r="H312" i="2"/>
  <c r="G312" i="2"/>
  <c r="H311" i="2"/>
  <c r="G311" i="2"/>
  <c r="H310" i="2"/>
  <c r="G310" i="2"/>
  <c r="H309" i="2"/>
  <c r="G309" i="2"/>
  <c r="H308" i="2"/>
  <c r="G308" i="2"/>
  <c r="H307" i="2"/>
  <c r="G307" i="2"/>
  <c r="H306" i="2"/>
  <c r="G306" i="2"/>
  <c r="H305" i="2"/>
  <c r="G305" i="2"/>
  <c r="H304" i="2"/>
  <c r="G304" i="2"/>
  <c r="H303" i="2"/>
  <c r="G303" i="2"/>
  <c r="H302" i="2"/>
  <c r="G302" i="2"/>
  <c r="H301" i="2"/>
  <c r="G301" i="2"/>
  <c r="H300" i="2"/>
  <c r="G300" i="2"/>
  <c r="H299" i="2"/>
  <c r="G299" i="2"/>
  <c r="H298" i="2"/>
  <c r="G298" i="2"/>
  <c r="H297" i="2"/>
  <c r="G297" i="2"/>
  <c r="H296" i="2"/>
  <c r="G296" i="2"/>
  <c r="H295" i="2"/>
  <c r="G295" i="2"/>
  <c r="H294" i="2"/>
  <c r="G294" i="2"/>
  <c r="H293" i="2"/>
  <c r="G293" i="2"/>
  <c r="H292" i="2"/>
  <c r="G292" i="2"/>
  <c r="H291" i="2"/>
  <c r="G291" i="2"/>
  <c r="H290" i="2"/>
  <c r="G290" i="2"/>
  <c r="H289" i="2"/>
  <c r="G289" i="2"/>
  <c r="H288" i="2"/>
  <c r="G288" i="2"/>
  <c r="H287" i="2"/>
  <c r="G287" i="2"/>
  <c r="H286" i="2"/>
  <c r="G286" i="2"/>
  <c r="H285" i="2"/>
  <c r="G285" i="2"/>
  <c r="H284" i="2"/>
  <c r="G284" i="2"/>
  <c r="H283" i="2"/>
  <c r="G283" i="2"/>
  <c r="H282" i="2"/>
  <c r="G282" i="2"/>
  <c r="H281" i="2"/>
  <c r="G281" i="2"/>
  <c r="H280" i="2"/>
  <c r="G280" i="2"/>
  <c r="H279" i="2"/>
  <c r="G279" i="2"/>
  <c r="H278" i="2"/>
  <c r="G278" i="2"/>
  <c r="H277" i="2"/>
  <c r="G277" i="2"/>
  <c r="H276" i="2"/>
  <c r="G276" i="2"/>
  <c r="H275" i="2"/>
  <c r="G275" i="2"/>
  <c r="H274" i="2"/>
  <c r="G274" i="2"/>
  <c r="H273" i="2"/>
  <c r="G273" i="2"/>
  <c r="H272" i="2"/>
  <c r="G272" i="2"/>
  <c r="H271" i="2"/>
  <c r="G271" i="2"/>
  <c r="H270" i="2"/>
  <c r="G270" i="2"/>
  <c r="H269" i="2"/>
  <c r="G269" i="2"/>
  <c r="H268" i="2"/>
  <c r="G268" i="2"/>
  <c r="H267" i="2"/>
  <c r="G267" i="2"/>
  <c r="H266" i="2"/>
  <c r="G266" i="2"/>
  <c r="H265" i="2"/>
  <c r="G265" i="2"/>
  <c r="H264" i="2"/>
  <c r="G264" i="2"/>
  <c r="H263" i="2"/>
  <c r="G263" i="2"/>
  <c r="H262" i="2"/>
  <c r="G262" i="2"/>
  <c r="H261" i="2"/>
  <c r="G261" i="2"/>
  <c r="H260" i="2"/>
  <c r="G260" i="2"/>
  <c r="H259" i="2"/>
  <c r="G259" i="2"/>
  <c r="H258" i="2"/>
  <c r="G258" i="2"/>
  <c r="H257" i="2"/>
  <c r="G257" i="2"/>
  <c r="H256" i="2"/>
  <c r="G256" i="2"/>
  <c r="H255" i="2"/>
  <c r="G255" i="2"/>
  <c r="H254" i="2"/>
  <c r="G254" i="2"/>
  <c r="H253" i="2"/>
  <c r="G253" i="2"/>
  <c r="H252" i="2"/>
  <c r="G252" i="2"/>
  <c r="H251" i="2"/>
  <c r="G251" i="2"/>
  <c r="H250" i="2"/>
  <c r="G250" i="2"/>
  <c r="H249" i="2"/>
  <c r="G249" i="2"/>
  <c r="H248" i="2"/>
  <c r="G248" i="2"/>
  <c r="H247" i="2"/>
  <c r="G247" i="2"/>
  <c r="H246" i="2"/>
  <c r="G246" i="2"/>
  <c r="H245" i="2"/>
  <c r="G245" i="2"/>
  <c r="H244" i="2"/>
  <c r="G244" i="2"/>
  <c r="H243" i="2"/>
  <c r="G243" i="2"/>
  <c r="H242" i="2"/>
  <c r="G242" i="2"/>
  <c r="H241" i="2"/>
  <c r="G241" i="2"/>
  <c r="H240" i="2"/>
  <c r="G240" i="2"/>
  <c r="H239" i="2"/>
  <c r="G239" i="2"/>
  <c r="H238" i="2"/>
  <c r="G238" i="2"/>
  <c r="H237" i="2"/>
  <c r="G237" i="2"/>
  <c r="H236" i="2"/>
  <c r="G236" i="2"/>
  <c r="H235" i="2"/>
  <c r="G235" i="2"/>
  <c r="H234" i="2"/>
  <c r="G234" i="2"/>
  <c r="H233" i="2"/>
  <c r="G233" i="2"/>
  <c r="H232" i="2"/>
  <c r="G232" i="2"/>
  <c r="H231" i="2"/>
  <c r="G231" i="2"/>
  <c r="H230" i="2"/>
  <c r="G230" i="2"/>
  <c r="H229" i="2"/>
  <c r="G229" i="2"/>
  <c r="H228" i="2"/>
  <c r="G228" i="2"/>
  <c r="H227" i="2"/>
  <c r="G227" i="2"/>
  <c r="H226" i="2"/>
  <c r="G226" i="2"/>
  <c r="H225" i="2"/>
  <c r="G225" i="2"/>
  <c r="H224" i="2"/>
  <c r="G224" i="2"/>
  <c r="H223" i="2"/>
  <c r="G223" i="2"/>
  <c r="H222" i="2"/>
  <c r="G222" i="2"/>
  <c r="H221" i="2"/>
  <c r="G221" i="2"/>
  <c r="H220" i="2"/>
  <c r="G220" i="2"/>
  <c r="H219" i="2"/>
  <c r="G219" i="2"/>
  <c r="H218" i="2"/>
  <c r="G218" i="2"/>
  <c r="H217" i="2"/>
  <c r="G217" i="2"/>
  <c r="H216" i="2"/>
  <c r="G216" i="2"/>
  <c r="H215" i="2"/>
  <c r="G215" i="2"/>
  <c r="H214" i="2"/>
  <c r="G214" i="2"/>
  <c r="H213" i="2"/>
  <c r="G213" i="2"/>
  <c r="H212" i="2"/>
  <c r="G212" i="2"/>
  <c r="H211" i="2"/>
  <c r="G211" i="2"/>
  <c r="H210" i="2"/>
  <c r="G210" i="2"/>
  <c r="H209" i="2"/>
  <c r="G209" i="2"/>
  <c r="H208" i="2"/>
  <c r="G208" i="2"/>
  <c r="H207" i="2"/>
  <c r="G207" i="2"/>
  <c r="H206" i="2"/>
  <c r="G206" i="2"/>
  <c r="H205" i="2"/>
  <c r="G205" i="2"/>
  <c r="H204" i="2"/>
  <c r="G204" i="2"/>
  <c r="H203" i="2"/>
  <c r="G203" i="2"/>
  <c r="H202" i="2"/>
  <c r="G202" i="2"/>
  <c r="H201" i="2"/>
  <c r="G201" i="2"/>
  <c r="H200" i="2"/>
  <c r="G200" i="2"/>
  <c r="H199" i="2"/>
  <c r="G199" i="2"/>
  <c r="H198" i="2"/>
  <c r="G198" i="2"/>
  <c r="H197" i="2"/>
  <c r="G197" i="2"/>
  <c r="H196" i="2"/>
  <c r="G196" i="2"/>
  <c r="H195" i="2"/>
  <c r="G195" i="2"/>
  <c r="H194" i="2"/>
  <c r="G194" i="2"/>
  <c r="H193" i="2"/>
  <c r="G193" i="2"/>
  <c r="H192" i="2"/>
  <c r="G192" i="2"/>
  <c r="H191" i="2"/>
  <c r="G191" i="2"/>
  <c r="H190" i="2"/>
  <c r="G190" i="2"/>
  <c r="H189" i="2"/>
  <c r="G189" i="2"/>
  <c r="H188" i="2"/>
  <c r="G188" i="2"/>
  <c r="H187" i="2"/>
  <c r="G187" i="2"/>
  <c r="H186" i="2"/>
  <c r="G186" i="2"/>
  <c r="H185" i="2"/>
  <c r="G185" i="2"/>
  <c r="H184" i="2"/>
  <c r="G184" i="2"/>
  <c r="H183" i="2"/>
  <c r="G183" i="2"/>
  <c r="H182" i="2"/>
  <c r="G182" i="2"/>
  <c r="H181" i="2"/>
  <c r="G181" i="2"/>
  <c r="H180" i="2"/>
  <c r="G180" i="2"/>
  <c r="H179" i="2"/>
  <c r="G179" i="2"/>
  <c r="H178" i="2"/>
  <c r="G178" i="2"/>
  <c r="H177" i="2"/>
  <c r="G177" i="2"/>
  <c r="H176" i="2"/>
  <c r="G176" i="2"/>
  <c r="H175" i="2"/>
  <c r="G175" i="2"/>
  <c r="H174" i="2"/>
  <c r="G174" i="2"/>
  <c r="H173" i="2"/>
  <c r="G173" i="2"/>
  <c r="H172" i="2"/>
  <c r="G172" i="2"/>
  <c r="H171" i="2"/>
  <c r="G171" i="2"/>
  <c r="H170" i="2"/>
  <c r="G170" i="2"/>
  <c r="H169" i="2"/>
  <c r="G169" i="2"/>
  <c r="H168" i="2"/>
  <c r="G168" i="2"/>
  <c r="H167" i="2"/>
  <c r="G167" i="2"/>
  <c r="H166" i="2"/>
  <c r="G166" i="2"/>
  <c r="H165" i="2"/>
  <c r="G165" i="2"/>
  <c r="H164" i="2"/>
  <c r="G164" i="2"/>
  <c r="H163" i="2"/>
  <c r="G163" i="2"/>
  <c r="H162" i="2"/>
  <c r="G162" i="2"/>
  <c r="H161" i="2"/>
  <c r="G161" i="2"/>
  <c r="H160" i="2"/>
  <c r="G160" i="2"/>
  <c r="H159" i="2"/>
  <c r="G159" i="2"/>
  <c r="H158" i="2"/>
  <c r="G158" i="2"/>
  <c r="H157" i="2"/>
  <c r="G157" i="2"/>
  <c r="H156" i="2"/>
  <c r="G156" i="2"/>
  <c r="H155" i="2"/>
  <c r="G155" i="2"/>
  <c r="H154" i="2"/>
  <c r="G154" i="2"/>
  <c r="H153" i="2"/>
  <c r="G153" i="2"/>
  <c r="H152" i="2"/>
  <c r="G152" i="2"/>
  <c r="H151" i="2"/>
  <c r="G151" i="2"/>
  <c r="H150" i="2"/>
  <c r="G150" i="2"/>
  <c r="H149" i="2"/>
  <c r="G149" i="2"/>
  <c r="H148" i="2"/>
  <c r="G148" i="2"/>
  <c r="H147" i="2"/>
  <c r="G147" i="2"/>
  <c r="H146" i="2"/>
  <c r="G146" i="2"/>
  <c r="H145" i="2"/>
  <c r="G145" i="2"/>
  <c r="H144" i="2"/>
  <c r="G144" i="2"/>
  <c r="H143" i="2"/>
  <c r="G143" i="2"/>
  <c r="H142" i="2"/>
  <c r="G142" i="2"/>
  <c r="H141" i="2"/>
  <c r="G141" i="2"/>
  <c r="H140" i="2"/>
  <c r="G140" i="2"/>
  <c r="H139" i="2"/>
  <c r="G139" i="2"/>
  <c r="H138" i="2"/>
  <c r="G138" i="2"/>
  <c r="H137" i="2"/>
  <c r="G137" i="2"/>
  <c r="H136" i="2"/>
  <c r="G136" i="2"/>
  <c r="H135" i="2"/>
  <c r="G135" i="2"/>
  <c r="H134" i="2"/>
  <c r="G134" i="2"/>
  <c r="H133" i="2"/>
  <c r="G133" i="2"/>
  <c r="H132" i="2"/>
  <c r="G132" i="2"/>
  <c r="H131" i="2"/>
  <c r="G131" i="2"/>
  <c r="H130" i="2"/>
  <c r="G130" i="2"/>
  <c r="H129" i="2"/>
  <c r="G129" i="2"/>
  <c r="H128" i="2"/>
  <c r="G128" i="2"/>
  <c r="H127" i="2"/>
  <c r="G127" i="2"/>
  <c r="H126" i="2"/>
  <c r="G126" i="2"/>
  <c r="H125" i="2"/>
  <c r="G125" i="2"/>
  <c r="H124" i="2"/>
  <c r="G124" i="2"/>
  <c r="H123" i="2"/>
  <c r="G123" i="2"/>
  <c r="H122" i="2"/>
  <c r="G122" i="2"/>
  <c r="H121" i="2"/>
  <c r="G121" i="2"/>
  <c r="H120" i="2"/>
  <c r="G120" i="2"/>
  <c r="H119" i="2"/>
  <c r="G119" i="2"/>
  <c r="H118" i="2"/>
  <c r="G118" i="2"/>
  <c r="H117" i="2"/>
  <c r="G117" i="2"/>
  <c r="H116" i="2"/>
  <c r="G116" i="2"/>
  <c r="H115" i="2"/>
  <c r="G115" i="2"/>
  <c r="H114" i="2"/>
  <c r="G114" i="2"/>
  <c r="H113" i="2"/>
  <c r="G113" i="2"/>
  <c r="H112" i="2"/>
  <c r="G112" i="2"/>
  <c r="H111" i="2"/>
  <c r="G111" i="2"/>
  <c r="H110" i="2"/>
  <c r="G110" i="2"/>
  <c r="H109" i="2"/>
  <c r="G109" i="2"/>
  <c r="H108" i="2"/>
  <c r="G108" i="2"/>
  <c r="H107" i="2"/>
  <c r="G107" i="2"/>
  <c r="H106" i="2"/>
  <c r="G106" i="2"/>
  <c r="H105" i="2"/>
  <c r="G105" i="2"/>
  <c r="H104" i="2"/>
  <c r="G104" i="2"/>
  <c r="H103" i="2"/>
  <c r="G103" i="2"/>
  <c r="H102" i="2"/>
  <c r="G102" i="2"/>
  <c r="H101" i="2"/>
  <c r="G101" i="2"/>
  <c r="H100" i="2"/>
  <c r="G100" i="2"/>
  <c r="H99" i="2"/>
  <c r="G99" i="2"/>
  <c r="H98" i="2"/>
  <c r="G98" i="2"/>
  <c r="H97" i="2"/>
  <c r="G97" i="2"/>
  <c r="H96" i="2"/>
  <c r="G96" i="2"/>
  <c r="H95" i="2"/>
  <c r="G95" i="2"/>
  <c r="H94" i="2"/>
  <c r="G94" i="2"/>
  <c r="H93" i="2"/>
  <c r="G93" i="2"/>
  <c r="H92" i="2"/>
  <c r="G92" i="2"/>
  <c r="H91" i="2"/>
  <c r="G91" i="2"/>
  <c r="H90" i="2"/>
  <c r="G90" i="2"/>
  <c r="H89" i="2"/>
  <c r="G89" i="2"/>
  <c r="H88" i="2"/>
  <c r="G88" i="2"/>
  <c r="H87" i="2"/>
  <c r="G87" i="2"/>
  <c r="H86" i="2"/>
  <c r="G86" i="2"/>
  <c r="H85" i="2"/>
  <c r="G85" i="2"/>
  <c r="H84" i="2"/>
  <c r="G84" i="2"/>
  <c r="H83" i="2"/>
  <c r="G83" i="2"/>
  <c r="H82" i="2"/>
  <c r="G82" i="2"/>
  <c r="H81" i="2"/>
  <c r="G81" i="2"/>
  <c r="H80" i="2"/>
  <c r="G80" i="2"/>
  <c r="H79" i="2"/>
  <c r="G79" i="2"/>
  <c r="H78" i="2"/>
  <c r="G78" i="2"/>
  <c r="H77" i="2"/>
  <c r="G77" i="2"/>
  <c r="H76" i="2"/>
  <c r="G76" i="2"/>
  <c r="H75" i="2"/>
  <c r="G75" i="2"/>
  <c r="H74" i="2"/>
  <c r="G74" i="2"/>
  <c r="H73" i="2"/>
  <c r="G73" i="2"/>
  <c r="H72" i="2"/>
  <c r="G72" i="2"/>
  <c r="H71" i="2"/>
  <c r="G71" i="2"/>
  <c r="H70" i="2"/>
  <c r="G70" i="2"/>
  <c r="H69" i="2"/>
  <c r="G69" i="2"/>
  <c r="H68" i="2"/>
  <c r="G68" i="2"/>
  <c r="H67" i="2"/>
  <c r="G67" i="2"/>
  <c r="H66" i="2"/>
  <c r="G66" i="2"/>
  <c r="H65" i="2"/>
  <c r="G65" i="2"/>
  <c r="H64" i="2"/>
  <c r="G64" i="2"/>
  <c r="H63" i="2"/>
  <c r="G63" i="2"/>
  <c r="H62" i="2"/>
  <c r="G62" i="2"/>
  <c r="H61" i="2"/>
  <c r="G61" i="2"/>
  <c r="H60" i="2"/>
  <c r="G60" i="2"/>
  <c r="H59" i="2"/>
  <c r="G59" i="2"/>
  <c r="H58" i="2"/>
  <c r="G58" i="2"/>
  <c r="H57" i="2"/>
  <c r="G57" i="2"/>
  <c r="H56" i="2"/>
  <c r="G56" i="2"/>
  <c r="H55" i="2"/>
  <c r="G55" i="2"/>
  <c r="H54" i="2"/>
  <c r="G54" i="2"/>
  <c r="H53" i="2"/>
  <c r="G53" i="2"/>
  <c r="H52" i="2"/>
  <c r="G52" i="2"/>
  <c r="H51" i="2"/>
  <c r="G51" i="2"/>
  <c r="H50" i="2"/>
  <c r="G50" i="2"/>
  <c r="H49" i="2"/>
  <c r="G49" i="2"/>
  <c r="H48" i="2"/>
  <c r="G48" i="2"/>
  <c r="H47" i="2"/>
  <c r="G47" i="2"/>
  <c r="H46" i="2"/>
  <c r="G46" i="2"/>
  <c r="H45" i="2"/>
  <c r="G45" i="2"/>
  <c r="H44" i="2"/>
  <c r="G44" i="2"/>
  <c r="H43" i="2"/>
  <c r="G43" i="2"/>
  <c r="H42" i="2"/>
  <c r="G42" i="2"/>
  <c r="H41" i="2"/>
  <c r="G41" i="2"/>
  <c r="H40" i="2"/>
  <c r="G40" i="2"/>
  <c r="H39" i="2"/>
  <c r="G39" i="2"/>
  <c r="H38" i="2"/>
  <c r="G38" i="2"/>
  <c r="H37" i="2"/>
  <c r="G37" i="2"/>
  <c r="H36" i="2"/>
  <c r="G36" i="2"/>
  <c r="H35" i="2"/>
  <c r="G35" i="2"/>
  <c r="H34" i="2"/>
  <c r="G34" i="2"/>
  <c r="H33" i="2"/>
  <c r="G33" i="2"/>
  <c r="H32" i="2"/>
  <c r="G32" i="2"/>
  <c r="H31" i="2"/>
  <c r="G31" i="2"/>
  <c r="H30" i="2"/>
  <c r="G30" i="2"/>
  <c r="H29" i="2"/>
  <c r="G29" i="2"/>
  <c r="H28" i="2"/>
  <c r="G28" i="2"/>
  <c r="H27" i="2"/>
  <c r="G27" i="2"/>
  <c r="H26" i="2"/>
  <c r="G26" i="2"/>
  <c r="H25" i="2"/>
  <c r="G25" i="2"/>
  <c r="H24" i="2"/>
  <c r="G24" i="2"/>
  <c r="H23" i="2"/>
  <c r="G23" i="2"/>
  <c r="H22" i="2"/>
  <c r="G22" i="2"/>
  <c r="H21" i="2"/>
  <c r="G21" i="2"/>
  <c r="H20" i="2"/>
  <c r="G20" i="2"/>
  <c r="H19" i="2"/>
  <c r="G19" i="2"/>
  <c r="H18" i="2"/>
  <c r="G18" i="2"/>
  <c r="H17" i="2"/>
  <c r="G17" i="2"/>
  <c r="H16" i="2"/>
  <c r="G16" i="2"/>
  <c r="H15" i="2"/>
  <c r="G15" i="2"/>
  <c r="H14" i="2"/>
  <c r="G14" i="2"/>
  <c r="H13" i="2"/>
  <c r="G13" i="2"/>
  <c r="H12" i="2"/>
  <c r="G12" i="2"/>
  <c r="H11" i="2"/>
  <c r="G11" i="2"/>
  <c r="H10" i="2"/>
  <c r="G10" i="2"/>
  <c r="H9" i="2"/>
  <c r="G9" i="2"/>
  <c r="H8" i="2"/>
  <c r="G8" i="2"/>
  <c r="H7" i="2"/>
  <c r="G7" i="2"/>
  <c r="H6" i="2"/>
  <c r="G6" i="2"/>
  <c r="H5" i="2"/>
  <c r="G5" i="2"/>
  <c r="H4" i="2"/>
  <c r="G4" i="2"/>
  <c r="H3" i="2"/>
  <c r="G3" i="2"/>
  <c r="H2" i="2"/>
  <c r="G2" i="2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I26" i="1" a="1"/>
  <c r="I26" i="1" s="1"/>
  <c r="I27" i="1" a="1"/>
  <c r="I27" i="1" s="1"/>
  <c r="I28" i="1" a="1"/>
  <c r="I28" i="1" s="1"/>
  <c r="I29" i="1" a="1"/>
  <c r="I29" i="1" s="1"/>
  <c r="I30" i="1" a="1"/>
  <c r="I30" i="1"/>
  <c r="I31" i="1" a="1"/>
  <c r="I31" i="1" s="1"/>
  <c r="I32" i="1" a="1"/>
  <c r="I32" i="1" s="1"/>
  <c r="I33" i="1" a="1"/>
  <c r="I33" i="1" s="1"/>
  <c r="I34" i="1" a="1"/>
  <c r="I34" i="1"/>
  <c r="I35" i="1" a="1"/>
  <c r="I35" i="1" s="1"/>
  <c r="I36" i="1" a="1"/>
  <c r="I36" i="1"/>
  <c r="I37" i="1" a="1"/>
  <c r="I37" i="1"/>
  <c r="I38" i="1" a="1"/>
  <c r="I38" i="1" s="1"/>
  <c r="I39" i="1" a="1"/>
  <c r="I39" i="1" s="1"/>
  <c r="I40" i="1" a="1"/>
  <c r="I40" i="1" s="1"/>
  <c r="I41" i="1" a="1"/>
  <c r="I41" i="1"/>
  <c r="I42" i="1" a="1"/>
  <c r="I42" i="1" s="1"/>
  <c r="I43" i="1" a="1"/>
  <c r="I43" i="1"/>
  <c r="I44" i="1" a="1"/>
  <c r="I44" i="1" s="1"/>
  <c r="I45" i="1" a="1"/>
  <c r="I45" i="1" s="1"/>
  <c r="I46" i="1" a="1"/>
  <c r="I46" i="1"/>
  <c r="I47" i="1" a="1"/>
  <c r="I47" i="1" s="1"/>
  <c r="I48" i="1" a="1"/>
  <c r="I48" i="1" s="1"/>
  <c r="I49" i="1" a="1"/>
  <c r="I49" i="1" s="1"/>
  <c r="I50" i="1" a="1"/>
  <c r="I50" i="1" s="1"/>
  <c r="I51" i="1" a="1"/>
  <c r="I51" i="1" s="1"/>
  <c r="I52" i="1" a="1"/>
  <c r="I52" i="1" s="1"/>
  <c r="I53" i="1" a="1"/>
  <c r="I53" i="1"/>
  <c r="I54" i="1" a="1"/>
  <c r="I54" i="1" s="1"/>
  <c r="I55" i="1" a="1"/>
  <c r="I55" i="1"/>
  <c r="I56" i="1" a="1"/>
  <c r="I56" i="1" s="1"/>
  <c r="I57" i="1" a="1"/>
  <c r="I57" i="1" s="1"/>
  <c r="I58" i="1" a="1"/>
  <c r="I58" i="1" s="1"/>
  <c r="I59" i="1" a="1"/>
  <c r="I59" i="1" s="1"/>
  <c r="I60" i="1" a="1"/>
  <c r="I60" i="1"/>
  <c r="I61" i="1" a="1"/>
  <c r="I61" i="1" s="1"/>
  <c r="I62" i="1" a="1"/>
  <c r="I62" i="1"/>
  <c r="I63" i="1" a="1"/>
  <c r="I63" i="1" s="1"/>
  <c r="I64" i="1" a="1"/>
  <c r="I64" i="1"/>
  <c r="I65" i="1" a="1"/>
  <c r="I65" i="1"/>
  <c r="I66" i="1" a="1"/>
  <c r="I66" i="1" s="1"/>
  <c r="I67" i="1" a="1"/>
  <c r="I67" i="1" s="1"/>
  <c r="I68" i="1" a="1"/>
  <c r="I68" i="1" s="1"/>
  <c r="I69" i="1" a="1"/>
  <c r="I69" i="1"/>
  <c r="I70" i="1" a="1"/>
  <c r="I70" i="1" s="1"/>
  <c r="I71" i="1" a="1"/>
  <c r="I71" i="1"/>
  <c r="I72" i="1" a="1"/>
  <c r="I72" i="1"/>
  <c r="I73" i="1" a="1"/>
  <c r="I73" i="1" s="1"/>
  <c r="I74" i="1" a="1"/>
  <c r="I74" i="1"/>
  <c r="I75" i="1" a="1"/>
  <c r="I75" i="1" s="1"/>
  <c r="I76" i="1" a="1"/>
  <c r="I76" i="1" s="1"/>
  <c r="I77" i="1" a="1"/>
  <c r="I77" i="1" s="1"/>
  <c r="I78" i="1" a="1"/>
  <c r="I78" i="1"/>
  <c r="I79" i="1" a="1"/>
  <c r="I79" i="1"/>
  <c r="I80" i="1" a="1"/>
  <c r="I80" i="1" s="1"/>
  <c r="I81" i="1" a="1"/>
  <c r="I81" i="1"/>
  <c r="I82" i="1" a="1"/>
  <c r="I82" i="1" s="1"/>
  <c r="I83" i="1" a="1"/>
  <c r="I83" i="1"/>
  <c r="I84" i="1" a="1"/>
  <c r="I84" i="1" s="1"/>
  <c r="I85" i="1" a="1"/>
  <c r="I85" i="1" s="1"/>
  <c r="I86" i="1" a="1"/>
  <c r="I86" i="1"/>
  <c r="I87" i="1" a="1"/>
  <c r="I87" i="1" s="1"/>
  <c r="I88" i="1" a="1"/>
  <c r="I88" i="1"/>
  <c r="I89" i="1" a="1"/>
  <c r="I89" i="1" s="1"/>
  <c r="I90" i="1" a="1"/>
  <c r="I90" i="1"/>
  <c r="I91" i="1" a="1"/>
  <c r="I91" i="1" s="1"/>
  <c r="I92" i="1" a="1"/>
  <c r="I92" i="1" s="1"/>
  <c r="I93" i="1" a="1"/>
  <c r="I93" i="1" s="1"/>
  <c r="I94" i="1" a="1"/>
  <c r="I94" i="1" s="1"/>
  <c r="I95" i="1" a="1"/>
  <c r="I95" i="1"/>
  <c r="I96" i="1" a="1"/>
  <c r="I96" i="1" s="1"/>
  <c r="I97" i="1" a="1"/>
  <c r="I97" i="1"/>
  <c r="I98" i="1" a="1"/>
  <c r="I98" i="1" s="1"/>
  <c r="I99" i="1" a="1"/>
  <c r="I99" i="1"/>
  <c r="I100" i="1" a="1"/>
  <c r="I100" i="1"/>
  <c r="I101" i="1" a="1"/>
  <c r="I101" i="1" s="1"/>
  <c r="I102" i="1" a="1"/>
  <c r="I102" i="1" s="1"/>
  <c r="I103" i="1" a="1"/>
  <c r="I103" i="1" s="1"/>
  <c r="I104" i="1" a="1"/>
  <c r="I104" i="1"/>
  <c r="I105" i="1" a="1"/>
  <c r="I105" i="1" s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3" i="1"/>
  <c r="J2" i="1"/>
  <c r="I4" i="1" a="1"/>
  <c r="I4" i="1" s="1"/>
  <c r="I3" i="1" a="1"/>
  <c r="I3" i="1" s="1"/>
  <c r="I5" i="1" a="1"/>
  <c r="I5" i="1" s="1"/>
  <c r="I6" i="1" a="1"/>
  <c r="I6" i="1" s="1"/>
  <c r="I7" i="1" a="1"/>
  <c r="I7" i="1" s="1"/>
  <c r="I8" i="1" a="1"/>
  <c r="I8" i="1" s="1"/>
  <c r="I9" i="1" a="1"/>
  <c r="I9" i="1" s="1"/>
  <c r="I10" i="1" a="1"/>
  <c r="I10" i="1" s="1"/>
  <c r="I11" i="1" a="1"/>
  <c r="I11" i="1" s="1"/>
  <c r="I12" i="1" a="1"/>
  <c r="I12" i="1"/>
  <c r="I13" i="1" a="1"/>
  <c r="I13" i="1" s="1"/>
  <c r="I14" i="1" a="1"/>
  <c r="I14" i="1" s="1"/>
  <c r="I15" i="1" a="1"/>
  <c r="I15" i="1" s="1"/>
  <c r="I16" i="1" a="1"/>
  <c r="I16" i="1" s="1"/>
  <c r="I17" i="1" a="1"/>
  <c r="I17" i="1"/>
  <c r="I18" i="1" a="1"/>
  <c r="I18" i="1" s="1"/>
  <c r="I19" i="1" a="1"/>
  <c r="I19" i="1" s="1"/>
  <c r="I20" i="1" a="1"/>
  <c r="I20" i="1" s="1"/>
  <c r="I21" i="1" a="1"/>
  <c r="I21" i="1" s="1"/>
  <c r="I22" i="1" a="1"/>
  <c r="I22" i="1" s="1"/>
  <c r="I23" i="1" a="1"/>
  <c r="I23" i="1" s="1"/>
  <c r="I24" i="1" a="1"/>
  <c r="I24" i="1" s="1"/>
  <c r="I25" i="1" a="1"/>
  <c r="I25" i="1" s="1"/>
  <c r="I2" i="1" a="1"/>
  <c r="I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G29" authorId="0" shapeId="0" xr:uid="{A986EB0E-DAE2-4ADB-94DB-B6F475493E12}">
      <text>
        <r>
          <rPr>
            <sz val="11"/>
            <color theme="1"/>
            <rFont val="Calibri"/>
            <family val="2"/>
            <scheme val="minor"/>
          </rPr>
          <t>Muscle injury (soleus) — ruled out 06/06/2026</t>
        </r>
      </text>
    </comment>
    <comment ref="G159" authorId="0" shapeId="0" xr:uid="{0F4BE7FA-BEE9-4C19-933D-7F42DAC9EE6E}">
      <text>
        <r>
          <rPr>
            <sz val="11"/>
            <color theme="1"/>
            <rFont val="Calibri"/>
            <family val="2"/>
            <scheme val="minor"/>
          </rPr>
          <t>Adductor injury — ruled out 07/06/2026</t>
        </r>
      </text>
    </comment>
    <comment ref="G520" authorId="0" shapeId="0" xr:uid="{C2CC7599-9501-432A-BD9F-80756AAAC85A}">
      <text>
        <r>
          <rPr>
            <sz val="11"/>
            <color theme="1"/>
            <rFont val="Calibri"/>
            <family val="2"/>
            <scheme val="minor"/>
          </rPr>
          <t>Thigh muscle tear — ruled out 06/06/2026</t>
        </r>
      </text>
    </comment>
    <comment ref="G757" authorId="0" shapeId="0" xr:uid="{85427A19-77BC-4C11-A818-04D6CB315494}">
      <text>
        <r>
          <rPr>
            <sz val="11"/>
            <color theme="1"/>
            <rFont val="Calibri"/>
            <family val="2"/>
            <scheme val="minor"/>
          </rPr>
          <t>Injury — ruled out 08/06/2026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<sst xmlns="http://schemas.openxmlformats.org/spreadsheetml/2006/main" count="8170" uniqueCount="3814">
  <si>
    <t>Match</t>
  </si>
  <si>
    <t>ISO Code</t>
  </si>
  <si>
    <t>Date</t>
  </si>
  <si>
    <t>Phase</t>
  </si>
  <si>
    <t>Mexico vs South Africa</t>
  </si>
  <si>
    <t>MEX ZAF</t>
  </si>
  <si>
    <t>11/06/2026</t>
  </si>
  <si>
    <t>Group A - Group Stage 1st Game</t>
  </si>
  <si>
    <t>South Korea vs Czechia</t>
  </si>
  <si>
    <t>KOR CZE</t>
  </si>
  <si>
    <t>Czechia vs South Africa</t>
  </si>
  <si>
    <t>CZE ZAF</t>
  </si>
  <si>
    <t>18/06/2026</t>
  </si>
  <si>
    <t>Group A - Group Stage 2nd Game</t>
  </si>
  <si>
    <t>Mexico vs South Korea</t>
  </si>
  <si>
    <t>MEX KOR</t>
  </si>
  <si>
    <t>Czechia vs Mexico</t>
  </si>
  <si>
    <t>CZE MEX</t>
  </si>
  <si>
    <t>24/06/2026</t>
  </si>
  <si>
    <t>Group A - Group Stage 3rd Game</t>
  </si>
  <si>
    <t>South Africa vs South Korea</t>
  </si>
  <si>
    <t>ZAF KOR</t>
  </si>
  <si>
    <t>Canada vs Bosnia and Herzegovina</t>
  </si>
  <si>
    <t>CAN BIH</t>
  </si>
  <si>
    <t>12/06/2026</t>
  </si>
  <si>
    <t>Group B - Group Stage 1st Game</t>
  </si>
  <si>
    <t>Qatar vs Switzerland</t>
  </si>
  <si>
    <t>QAT CHE</t>
  </si>
  <si>
    <t>13/06/2026</t>
  </si>
  <si>
    <t>Switzerland vs Bosnia and Herzegovina</t>
  </si>
  <si>
    <t>CHE BIH</t>
  </si>
  <si>
    <t>Group B - Group Stage 2nd Game</t>
  </si>
  <si>
    <t>Canada vs Qatar</t>
  </si>
  <si>
    <t>CAN QAT</t>
  </si>
  <si>
    <t>Switzerland vs Canada</t>
  </si>
  <si>
    <t>CHE CAN</t>
  </si>
  <si>
    <t>Group B - Group Stage 3rd Game</t>
  </si>
  <si>
    <t>Bosnia and Herzegovina vs Qatar</t>
  </si>
  <si>
    <t>BIH QAT</t>
  </si>
  <si>
    <t>Brazil vs Morocco</t>
  </si>
  <si>
    <t>BRA MAR</t>
  </si>
  <si>
    <t>Group C - Group Stage 1st Game</t>
  </si>
  <si>
    <t>Haiti vs Scotland</t>
  </si>
  <si>
    <t>HTI SCO</t>
  </si>
  <si>
    <t>Scotland vs Morocco</t>
  </si>
  <si>
    <t>SCO MAR</t>
  </si>
  <si>
    <t>19/06/2026</t>
  </si>
  <si>
    <t>Group C - Group Stage 2nd Game</t>
  </si>
  <si>
    <t>Brazil vs Haiti</t>
  </si>
  <si>
    <t>BRA HTI</t>
  </si>
  <si>
    <t>Scotland vs Brazil</t>
  </si>
  <si>
    <t>SCO BRA</t>
  </si>
  <si>
    <t>Group C - Group Stage 3rd Game</t>
  </si>
  <si>
    <t>Morocco vs Haiti</t>
  </si>
  <si>
    <t>MAR HTI</t>
  </si>
  <si>
    <t>USA vs Paraguay</t>
  </si>
  <si>
    <t>USA PRY</t>
  </si>
  <si>
    <t>Group D - Group Stage 1st Game</t>
  </si>
  <si>
    <t>Australia vs Türkiye</t>
  </si>
  <si>
    <t>AUS TUR</t>
  </si>
  <si>
    <t>Türkiye vs Paraguay</t>
  </si>
  <si>
    <t>TUR PRY</t>
  </si>
  <si>
    <t>Group D - Group Stage 2nd Game</t>
  </si>
  <si>
    <t>USA vs Australia</t>
  </si>
  <si>
    <t>USA AUS</t>
  </si>
  <si>
    <t>Türkiye vs USA</t>
  </si>
  <si>
    <t>TUR USA</t>
  </si>
  <si>
    <t>25/06/2026</t>
  </si>
  <si>
    <t>Group D - Group Stage 3rd Game</t>
  </si>
  <si>
    <t>Paraguay vs Australia</t>
  </si>
  <si>
    <t>PRY AUS</t>
  </si>
  <si>
    <t>Germany vs Curaçao</t>
  </si>
  <si>
    <t>DEU CUW</t>
  </si>
  <si>
    <t>14/06/2026</t>
  </si>
  <si>
    <t>Group E - Group Stage 1st Game</t>
  </si>
  <si>
    <t>CIV ECU</t>
  </si>
  <si>
    <t>DEU CIV</t>
  </si>
  <si>
    <t>20/06/2026</t>
  </si>
  <si>
    <t>Group E - Group Stage 2nd Game</t>
  </si>
  <si>
    <t>Ecuador vs Curaçao</t>
  </si>
  <si>
    <t>ECU CUW</t>
  </si>
  <si>
    <t>Ecuador vs Germany</t>
  </si>
  <si>
    <t>ECU DEU</t>
  </si>
  <si>
    <t>Group E - Group Stage 3rd Game</t>
  </si>
  <si>
    <t>CUW CIV</t>
  </si>
  <si>
    <t>Netherlands vs Japan</t>
  </si>
  <si>
    <t>NLD JPN</t>
  </si>
  <si>
    <t>Group F - Group Stage 1st Game</t>
  </si>
  <si>
    <t>Sweden vs Tunisia</t>
  </si>
  <si>
    <t>SWE TUN</t>
  </si>
  <si>
    <t>Netherlands vs Sweden</t>
  </si>
  <si>
    <t>NLD SWE</t>
  </si>
  <si>
    <t>Group F - Group Stage 2nd Game</t>
  </si>
  <si>
    <t>Tunisia vs Japan</t>
  </si>
  <si>
    <t>TUN JPN</t>
  </si>
  <si>
    <t>Tunisia vs Netherlands</t>
  </si>
  <si>
    <t>TUN NLD</t>
  </si>
  <si>
    <t>Group F - Group Stage 3rd Game</t>
  </si>
  <si>
    <t>Japan vs Sweden</t>
  </si>
  <si>
    <t>JPN SWE</t>
  </si>
  <si>
    <t>Belgium vs Egypt</t>
  </si>
  <si>
    <t>BEL EGY</t>
  </si>
  <si>
    <t>15/06/2026</t>
  </si>
  <si>
    <t>Group G - Group Stage 1st Game</t>
  </si>
  <si>
    <t>Iran vs New Zealand</t>
  </si>
  <si>
    <t>IRN NZL</t>
  </si>
  <si>
    <t>Belgium vs Iran</t>
  </si>
  <si>
    <t>BEL IRN</t>
  </si>
  <si>
    <t>21/06/2026</t>
  </si>
  <si>
    <t>Group G - Group Stage 2nd Game</t>
  </si>
  <si>
    <t>New Zealand vs Egypt</t>
  </si>
  <si>
    <t>NZL EGY</t>
  </si>
  <si>
    <t>New Zealand vs Belgium</t>
  </si>
  <si>
    <t>NZL BEL</t>
  </si>
  <si>
    <t>26/06/2026</t>
  </si>
  <si>
    <t>Group G - Group Stage 3rd Game</t>
  </si>
  <si>
    <t>Egypt vs Iran</t>
  </si>
  <si>
    <t>EGY IRN</t>
  </si>
  <si>
    <t>Spain vs Cabo Verde</t>
  </si>
  <si>
    <t>ESP CPV</t>
  </si>
  <si>
    <t>Group H - Group Stage 1st Game</t>
  </si>
  <si>
    <t>Saudi Arabia vs Uruguay</t>
  </si>
  <si>
    <t>SAU URY</t>
  </si>
  <si>
    <t>Spain vs Saudi Arabia</t>
  </si>
  <si>
    <t>ESP SAU</t>
  </si>
  <si>
    <t>Group H - Group Stage 2nd Game</t>
  </si>
  <si>
    <t>Uruguay vs Cabo Verde</t>
  </si>
  <si>
    <t>URY CPV</t>
  </si>
  <si>
    <t>Uruguay vs Spain</t>
  </si>
  <si>
    <t>URY ESP</t>
  </si>
  <si>
    <t>Group H - Group Stage 3rd Game</t>
  </si>
  <si>
    <t>Cabo Verde vs Saudi Arabia</t>
  </si>
  <si>
    <t>CPV SAU</t>
  </si>
  <si>
    <t>France vs Senegal</t>
  </si>
  <si>
    <t>FRA SEN</t>
  </si>
  <si>
    <t>16/06/2026</t>
  </si>
  <si>
    <t>Group I - Group Stage 1st Game</t>
  </si>
  <si>
    <t>Iraq vs Norway</t>
  </si>
  <si>
    <t>IRQ NOR</t>
  </si>
  <si>
    <t>France vs Iraq</t>
  </si>
  <si>
    <t>FRA IRQ</t>
  </si>
  <si>
    <t>22/06/2026</t>
  </si>
  <si>
    <t>Group I - Group Stage 2nd Game</t>
  </si>
  <si>
    <t>Norway vs Senegal</t>
  </si>
  <si>
    <t>NOR SEN</t>
  </si>
  <si>
    <t>Norway vs France</t>
  </si>
  <si>
    <t>NOR FRA</t>
  </si>
  <si>
    <t>Group I - Group Stage 3rd Game</t>
  </si>
  <si>
    <t>Senegal vs Iraq</t>
  </si>
  <si>
    <t>SEN IRQ</t>
  </si>
  <si>
    <t>Argentina vs Algeria</t>
  </si>
  <si>
    <t>ARG DZA</t>
  </si>
  <si>
    <t>Group J - Group Stage 1st Game</t>
  </si>
  <si>
    <t>Austria vs Jordan</t>
  </si>
  <si>
    <t>AUT JOR</t>
  </si>
  <si>
    <t>Argentina vs Austria</t>
  </si>
  <si>
    <t>ARG AUT</t>
  </si>
  <si>
    <t>Group J - Group Stage 2nd Game</t>
  </si>
  <si>
    <t>Jordan vs Algeria</t>
  </si>
  <si>
    <t>JOR DZA</t>
  </si>
  <si>
    <t>Jordan vs Argentina</t>
  </si>
  <si>
    <t>JOR ARG</t>
  </si>
  <si>
    <t>27/06/2026</t>
  </si>
  <si>
    <t>Group J - Group Stage 3rd Game</t>
  </si>
  <si>
    <t>Algeria vs Austria</t>
  </si>
  <si>
    <t>DZA AUT</t>
  </si>
  <si>
    <t>Portugal vs DR Congo</t>
  </si>
  <si>
    <t>PRT COD</t>
  </si>
  <si>
    <t>17/06/2026</t>
  </si>
  <si>
    <t>Group K - Group Stage 1st Game</t>
  </si>
  <si>
    <t>Uzbekistan vs Colombia</t>
  </si>
  <si>
    <t>UZB COL</t>
  </si>
  <si>
    <t>Portugal vs Uzbekistan</t>
  </si>
  <si>
    <t>PRT UZB</t>
  </si>
  <si>
    <t>23/06/2026</t>
  </si>
  <si>
    <t>Group K - Group Stage 2nd Game</t>
  </si>
  <si>
    <t>Colombia vs DR Congo</t>
  </si>
  <si>
    <t>COL COD</t>
  </si>
  <si>
    <t>Colombia vs Portugal</t>
  </si>
  <si>
    <t>COL PRT</t>
  </si>
  <si>
    <t>Group K - Group Stage 3rd Game</t>
  </si>
  <si>
    <t>DR Congo vs Uzbekistan</t>
  </si>
  <si>
    <t>COD UZB</t>
  </si>
  <si>
    <t>England vs Croatia</t>
  </si>
  <si>
    <t>ENG HRV</t>
  </si>
  <si>
    <t>Group L - Group Stage 1st Game</t>
  </si>
  <si>
    <t>Ghana vs Panama</t>
  </si>
  <si>
    <t>GHA PAN</t>
  </si>
  <si>
    <t>England vs Ghana</t>
  </si>
  <si>
    <t>ENG GHA</t>
  </si>
  <si>
    <t>Group L - Group Stage 2nd Game</t>
  </si>
  <si>
    <t>Panama vs Croatia</t>
  </si>
  <si>
    <t>PAN HRV</t>
  </si>
  <si>
    <t>Panama vs England</t>
  </si>
  <si>
    <t>PAN ENG</t>
  </si>
  <si>
    <t>Group L - Group Stage 3rd Game</t>
  </si>
  <si>
    <t>Croatia vs Ghana</t>
  </si>
  <si>
    <t>HRV GHA</t>
  </si>
  <si>
    <t>Group A Runner-up vs Group B Runner-up</t>
  </si>
  <si>
    <t>TBD TBD</t>
  </si>
  <si>
    <t>28/06/2026</t>
  </si>
  <si>
    <t>Round of 32 - Group Stage 1st Game</t>
  </si>
  <si>
    <t>Group E Winner vs Best 3rd (A/B/C/D/F)</t>
  </si>
  <si>
    <t>29/06/2026</t>
  </si>
  <si>
    <t>Group F Winner vs Group C Runner-up</t>
  </si>
  <si>
    <t>Round of 32 - Group Stage 2nd Game</t>
  </si>
  <si>
    <t>Group C Winner vs Group F Runner-up</t>
  </si>
  <si>
    <t>Group I Winner vs Best 3rd (C/D/F/G/H)</t>
  </si>
  <si>
    <t>30/06/2026</t>
  </si>
  <si>
    <t>Round of 32 - Group Stage 3rd Game</t>
  </si>
  <si>
    <t>Group E Runner-up vs Group I Runner-up</t>
  </si>
  <si>
    <t>Group A Winner vs Best 3rd (C/E/F/H/I)</t>
  </si>
  <si>
    <t>Round of 32 - Match 7</t>
  </si>
  <si>
    <t>Group L Winner vs Best 3rd (E/H/I/J/K)</t>
  </si>
  <si>
    <t>01/07/2026</t>
  </si>
  <si>
    <t>Round of 32 - Match 8</t>
  </si>
  <si>
    <t>Group D Winner vs Best 3rd (B/E/F/I/J)</t>
  </si>
  <si>
    <t>Round of 32 - Match 9</t>
  </si>
  <si>
    <t>Group G Winner vs Best 3rd (A/E/H/I/J)</t>
  </si>
  <si>
    <t>Group K Runner-up vs Group L Runner-up</t>
  </si>
  <si>
    <t>02/07/2026</t>
  </si>
  <si>
    <t>Group H Winner vs Group J Runner-up</t>
  </si>
  <si>
    <t>Group B Winner vs Best 3rd (E/F/G/I/J)</t>
  </si>
  <si>
    <t>Group J Winner vs Group H Runner-up</t>
  </si>
  <si>
    <t>03/07/2026</t>
  </si>
  <si>
    <t>Group K Winner vs Best 3rd (D/E/I/J/L)</t>
  </si>
  <si>
    <t>Group D Runner-up vs Group G Runner-up</t>
  </si>
  <si>
    <t>R32 Match 2 Winner vs R32 Match 5 Winner</t>
  </si>
  <si>
    <t>04/07/2026</t>
  </si>
  <si>
    <t>Round of 16 - Group Stage 1st Game</t>
  </si>
  <si>
    <t>R32 Match 1 Winner vs R32 Match 3 Winner</t>
  </si>
  <si>
    <t>R32 Match 4 Winner vs R32 Match 6 Winner</t>
  </si>
  <si>
    <t>05/07/2026</t>
  </si>
  <si>
    <t>Round of 16 - Group Stage 2nd Game</t>
  </si>
  <si>
    <t>R32 Match 7 Winner vs R32 Match 8 Winner</t>
  </si>
  <si>
    <t>R32 Match 11 Winner vs R32 Match 12 Winner</t>
  </si>
  <si>
    <t>06/07/2026</t>
  </si>
  <si>
    <t>Round of 16 - Group Stage 3rd Game</t>
  </si>
  <si>
    <t>R32 Match 9 Winner vs R32 Match 10 Winner</t>
  </si>
  <si>
    <t>R32 Match 14 Winner vs R32 Match 16 Winner</t>
  </si>
  <si>
    <t>07/07/2026</t>
  </si>
  <si>
    <t>Round of 16 - Match 7</t>
  </si>
  <si>
    <t>R32 Match 13 Winner vs R32 Match 15 Winner</t>
  </si>
  <si>
    <t>Round of 16 - Match 8</t>
  </si>
  <si>
    <t>R16 Match 1 Winner vs R16 Match 2 Winner</t>
  </si>
  <si>
    <t>09/07/2026</t>
  </si>
  <si>
    <t>Quarterfinal - Group Stage 1st Game</t>
  </si>
  <si>
    <t>R16 Match 5 Winner vs R16 Match 6 Winner</t>
  </si>
  <si>
    <t>10/07/2026</t>
  </si>
  <si>
    <t>R16 Match 3 Winner vs R16 Match 4 Winner</t>
  </si>
  <si>
    <t>Quarterfinal - Group Stage 2nd Game</t>
  </si>
  <si>
    <t>R16 Match 7 Winner vs R16 Match 8 Winner</t>
  </si>
  <si>
    <t>QF Match 1 Winner vs QF Match 2 Winner</t>
  </si>
  <si>
    <t>14/07/2026</t>
  </si>
  <si>
    <t>Semifinal - Group Stage 1st Game</t>
  </si>
  <si>
    <t>QF Match 3 Winner vs QF Match 4 Winner</t>
  </si>
  <si>
    <t>15/07/2026</t>
  </si>
  <si>
    <t>SF Match 1 Loser vs SF Match 2 Loser</t>
  </si>
  <si>
    <t>Third Place Playoff</t>
  </si>
  <si>
    <t>SF Match 1 Winner vs SF Match 2 Winner</t>
  </si>
  <si>
    <t>19/07/2026</t>
  </si>
  <si>
    <t>Final</t>
  </si>
  <si>
    <t>#</t>
  </si>
  <si>
    <t>Position</t>
  </si>
  <si>
    <t>First Name</t>
  </si>
  <si>
    <t>Last Name</t>
  </si>
  <si>
    <t>Country (ISO3)</t>
  </si>
  <si>
    <t>GK</t>
  </si>
  <si>
    <t>Melvin</t>
  </si>
  <si>
    <t>MASTIL</t>
  </si>
  <si>
    <t>DZA</t>
  </si>
  <si>
    <t>DF</t>
  </si>
  <si>
    <t>Aissa</t>
  </si>
  <si>
    <t>MANDI</t>
  </si>
  <si>
    <t>Achraf</t>
  </si>
  <si>
    <t>ABADA</t>
  </si>
  <si>
    <t>Mohamed Amine</t>
  </si>
  <si>
    <t>TOUGAI</t>
  </si>
  <si>
    <t>Zineddine</t>
  </si>
  <si>
    <t>BELAID</t>
  </si>
  <si>
    <t>MF</t>
  </si>
  <si>
    <t>Ramiz</t>
  </si>
  <si>
    <t>ZERROUKI</t>
  </si>
  <si>
    <t>FW</t>
  </si>
  <si>
    <t>Riyad</t>
  </si>
  <si>
    <t>MAHREZ</t>
  </si>
  <si>
    <t>Houssem</t>
  </si>
  <si>
    <t>AOUAR</t>
  </si>
  <si>
    <t>Amine</t>
  </si>
  <si>
    <t>GOUIRI</t>
  </si>
  <si>
    <t>Fares</t>
  </si>
  <si>
    <t>CHAIBI</t>
  </si>
  <si>
    <t>Anis</t>
  </si>
  <si>
    <t>HADJ MOUSSA</t>
  </si>
  <si>
    <t>Nadhir</t>
  </si>
  <si>
    <t>BENBOUALI</t>
  </si>
  <si>
    <t>Jaouen</t>
  </si>
  <si>
    <t>HADJAM</t>
  </si>
  <si>
    <t>Hicham</t>
  </si>
  <si>
    <t>BOUDAOUI</t>
  </si>
  <si>
    <t>Rayan</t>
  </si>
  <si>
    <t>AIT-NOURI</t>
  </si>
  <si>
    <t>Oussama</t>
  </si>
  <si>
    <t>BENBOT</t>
  </si>
  <si>
    <t>Rak</t>
  </si>
  <si>
    <t>BELGHALI</t>
  </si>
  <si>
    <t>Mohamed</t>
  </si>
  <si>
    <t>AMOURA</t>
  </si>
  <si>
    <t>Nabil</t>
  </si>
  <si>
    <t>BENTALEB</t>
  </si>
  <si>
    <t>Adil</t>
  </si>
  <si>
    <t>BOULBINA</t>
  </si>
  <si>
    <t>Ramy</t>
  </si>
  <si>
    <t>BENSEBAINI</t>
  </si>
  <si>
    <t>Ibrahim</t>
  </si>
  <si>
    <t>MAZA</t>
  </si>
  <si>
    <t>Luca</t>
  </si>
  <si>
    <t>ZIDANE</t>
  </si>
  <si>
    <t>Yassine</t>
  </si>
  <si>
    <t>TITRAOUI</t>
  </si>
  <si>
    <t>GHEDJEMIS</t>
  </si>
  <si>
    <t>Samir</t>
  </si>
  <si>
    <t>CHERGUI</t>
  </si>
  <si>
    <t>Juan</t>
  </si>
  <si>
    <t>MUSSO</t>
  </si>
  <si>
    <t>ARG</t>
  </si>
  <si>
    <t>Nicolas</t>
  </si>
  <si>
    <t>TAGLIAFICO</t>
  </si>
  <si>
    <t>Gonzalo</t>
  </si>
  <si>
    <t>MONTIEL</t>
  </si>
  <si>
    <t>Leandro</t>
  </si>
  <si>
    <t>PAREDES</t>
  </si>
  <si>
    <t>Lisandro</t>
  </si>
  <si>
    <t>MARTINEZ</t>
  </si>
  <si>
    <t>Rodrigo</t>
  </si>
  <si>
    <t>DE PAUL</t>
  </si>
  <si>
    <t>Valentin</t>
  </si>
  <si>
    <t>BARCO</t>
  </si>
  <si>
    <t>Julian</t>
  </si>
  <si>
    <t>ALVAREZ</t>
  </si>
  <si>
    <t>Lionel</t>
  </si>
  <si>
    <t>MESSI</t>
  </si>
  <si>
    <t>Giovani</t>
  </si>
  <si>
    <t>LO CELSO</t>
  </si>
  <si>
    <t>Geronimo</t>
  </si>
  <si>
    <t>RULLI</t>
  </si>
  <si>
    <t>Cristian</t>
  </si>
  <si>
    <t>ROMERO</t>
  </si>
  <si>
    <t>Exequiel</t>
  </si>
  <si>
    <t>PALACIOS</t>
  </si>
  <si>
    <t>Nico</t>
  </si>
  <si>
    <t>GONZALEZ</t>
  </si>
  <si>
    <t>Thiago</t>
  </si>
  <si>
    <t>ALMADA</t>
  </si>
  <si>
    <t>Giuliano</t>
  </si>
  <si>
    <t>SIMEONE</t>
  </si>
  <si>
    <t>PAZ</t>
  </si>
  <si>
    <t>OTAMENDI</t>
  </si>
  <si>
    <t>Alexis</t>
  </si>
  <si>
    <t>MAC ALLISTER</t>
  </si>
  <si>
    <t>Jose Manuel</t>
  </si>
  <si>
    <t>LOPEZ</t>
  </si>
  <si>
    <t>Lautaro</t>
  </si>
  <si>
    <t>Emiliano</t>
  </si>
  <si>
    <t>Enzo</t>
  </si>
  <si>
    <t>FERNANDEZ</t>
  </si>
  <si>
    <t>Facundo</t>
  </si>
  <si>
    <t>MEDINA</t>
  </si>
  <si>
    <t>Nahuel</t>
  </si>
  <si>
    <t>MOLINA</t>
  </si>
  <si>
    <t>Mathew</t>
  </si>
  <si>
    <t>RYAN</t>
  </si>
  <si>
    <t>AUS</t>
  </si>
  <si>
    <t>Milos</t>
  </si>
  <si>
    <t>DEGENEK</t>
  </si>
  <si>
    <t>Alessandro</t>
  </si>
  <si>
    <t>CIRCATI</t>
  </si>
  <si>
    <t>Jacob</t>
  </si>
  <si>
    <t>ITALIANO</t>
  </si>
  <si>
    <t>Jordan</t>
  </si>
  <si>
    <t>BOS</t>
  </si>
  <si>
    <t>Jason</t>
  </si>
  <si>
    <t>GERIA</t>
  </si>
  <si>
    <t>LECKIE</t>
  </si>
  <si>
    <t>Connor</t>
  </si>
  <si>
    <t>METCALFE</t>
  </si>
  <si>
    <t>TOURE</t>
  </si>
  <si>
    <t>Ajdin</t>
  </si>
  <si>
    <t>HRUSTIC</t>
  </si>
  <si>
    <t>Awer</t>
  </si>
  <si>
    <t>MABIL</t>
  </si>
  <si>
    <t>Paul</t>
  </si>
  <si>
    <t>IZZO</t>
  </si>
  <si>
    <t>Aiden</t>
  </si>
  <si>
    <t>ONEILL</t>
  </si>
  <si>
    <t>Cameron</t>
  </si>
  <si>
    <t>DEVLIN</t>
  </si>
  <si>
    <t>Kai</t>
  </si>
  <si>
    <t>TREWIN</t>
  </si>
  <si>
    <t>Aziz</t>
  </si>
  <si>
    <t>BEHICH</t>
  </si>
  <si>
    <t>Nestory</t>
  </si>
  <si>
    <t>IRANKUNDA</t>
  </si>
  <si>
    <t>Patrick</t>
  </si>
  <si>
    <t>BEACH</t>
  </si>
  <si>
    <t>Harry</t>
  </si>
  <si>
    <t>SOUTTAR</t>
  </si>
  <si>
    <t>VOLPATO</t>
  </si>
  <si>
    <t>BURGESS</t>
  </si>
  <si>
    <t>Jackson</t>
  </si>
  <si>
    <t>IRVINE</t>
  </si>
  <si>
    <t>Nishan</t>
  </si>
  <si>
    <t>VELUPILLAY</t>
  </si>
  <si>
    <t>OKON-ENGSTLER</t>
  </si>
  <si>
    <t>Lucas</t>
  </si>
  <si>
    <t>HERRINGTON</t>
  </si>
  <si>
    <t>Tete</t>
  </si>
  <si>
    <t>YENGI</t>
  </si>
  <si>
    <t>Alexander</t>
  </si>
  <si>
    <t>SCHLAGER</t>
  </si>
  <si>
    <t>AUT</t>
  </si>
  <si>
    <t>David</t>
  </si>
  <si>
    <t>AFFENGRUBER</t>
  </si>
  <si>
    <t>Kevin</t>
  </si>
  <si>
    <t>DANSO</t>
  </si>
  <si>
    <t>Xaver</t>
  </si>
  <si>
    <t>Stefan</t>
  </si>
  <si>
    <t>POSCH</t>
  </si>
  <si>
    <t>SEIWALD</t>
  </si>
  <si>
    <t>Marko</t>
  </si>
  <si>
    <t>ARNAUTOVIC</t>
  </si>
  <si>
    <t>ALABA</t>
  </si>
  <si>
    <t>Marcel</t>
  </si>
  <si>
    <t>SABITZER</t>
  </si>
  <si>
    <t>Florian</t>
  </si>
  <si>
    <t>GRILLITSCH</t>
  </si>
  <si>
    <t>Michael</t>
  </si>
  <si>
    <t>GREGORITSCH</t>
  </si>
  <si>
    <t>WIEGELE</t>
  </si>
  <si>
    <t>PENTZ</t>
  </si>
  <si>
    <t>Sasa</t>
  </si>
  <si>
    <t>KALAJDZIC</t>
  </si>
  <si>
    <t>Philipp</t>
  </si>
  <si>
    <t>LIENHART</t>
  </si>
  <si>
    <t>Phillip</t>
  </si>
  <si>
    <t>MWENE</t>
  </si>
  <si>
    <t>Carney</t>
  </si>
  <si>
    <t>CHUKWUEMEKA</t>
  </si>
  <si>
    <t>Romano</t>
  </si>
  <si>
    <t>SCHMID</t>
  </si>
  <si>
    <t>Konrad</t>
  </si>
  <si>
    <t>LAIMER</t>
  </si>
  <si>
    <t>WIMMER</t>
  </si>
  <si>
    <t>PRASS</t>
  </si>
  <si>
    <t>Marco</t>
  </si>
  <si>
    <t>FRIEDL</t>
  </si>
  <si>
    <t>WANNER</t>
  </si>
  <si>
    <t>SVOBODA</t>
  </si>
  <si>
    <t>SCHOEPF</t>
  </si>
  <si>
    <t>Thibaut</t>
  </si>
  <si>
    <t>COURTOIS</t>
  </si>
  <si>
    <t>BEL</t>
  </si>
  <si>
    <t>Zeno</t>
  </si>
  <si>
    <t>DEBAST</t>
  </si>
  <si>
    <t>Arthur</t>
  </si>
  <si>
    <t>THEATE</t>
  </si>
  <si>
    <t>Brandon</t>
  </si>
  <si>
    <t>MECHELE</t>
  </si>
  <si>
    <t>Maxim</t>
  </si>
  <si>
    <t>DE CUYPER</t>
  </si>
  <si>
    <t>Axel</t>
  </si>
  <si>
    <t>WITSEL</t>
  </si>
  <si>
    <t>DE BRUYNE</t>
  </si>
  <si>
    <t>Youri</t>
  </si>
  <si>
    <t>TIELEMANS</t>
  </si>
  <si>
    <t>Romelu</t>
  </si>
  <si>
    <t>LUKAKU</t>
  </si>
  <si>
    <t>TROSSARD</t>
  </si>
  <si>
    <t>Jeremy</t>
  </si>
  <si>
    <t>DOKU</t>
  </si>
  <si>
    <t>Senne</t>
  </si>
  <si>
    <t>LAMMENS</t>
  </si>
  <si>
    <t>Mike</t>
  </si>
  <si>
    <t>PENDERS</t>
  </si>
  <si>
    <t>Dodi</t>
  </si>
  <si>
    <t>LUKEBAKIO</t>
  </si>
  <si>
    <t>Thomas</t>
  </si>
  <si>
    <t>MEUNIER</t>
  </si>
  <si>
    <t>Koni</t>
  </si>
  <si>
    <t>DE WINTER</t>
  </si>
  <si>
    <t>Charles</t>
  </si>
  <si>
    <t>DE KETELAERE</t>
  </si>
  <si>
    <t>Joaquin</t>
  </si>
  <si>
    <t>SEYS</t>
  </si>
  <si>
    <t>Diego</t>
  </si>
  <si>
    <t>MOREIRA</t>
  </si>
  <si>
    <t>Hans</t>
  </si>
  <si>
    <t>VANAKEN</t>
  </si>
  <si>
    <t>Timothy</t>
  </si>
  <si>
    <t>CASTAGNE</t>
  </si>
  <si>
    <t>SAELEMAEKERS</t>
  </si>
  <si>
    <t>RASKIN</t>
  </si>
  <si>
    <t>Amadou</t>
  </si>
  <si>
    <t>ONANA</t>
  </si>
  <si>
    <t>Nathan</t>
  </si>
  <si>
    <t>NGOY</t>
  </si>
  <si>
    <t>Matias</t>
  </si>
  <si>
    <t>FERNANDEZ-PARDO</t>
  </si>
  <si>
    <t>Nikola</t>
  </si>
  <si>
    <t>VASILJ</t>
  </si>
  <si>
    <t>BIH</t>
  </si>
  <si>
    <t>Nihad</t>
  </si>
  <si>
    <t>MUJAKIC</t>
  </si>
  <si>
    <t>Dennis</t>
  </si>
  <si>
    <t>HADZIKADUNIC</t>
  </si>
  <si>
    <t>Tarik</t>
  </si>
  <si>
    <t>MUHAREMOVIC</t>
  </si>
  <si>
    <t>Sead</t>
  </si>
  <si>
    <t>KOLASINAC</t>
  </si>
  <si>
    <t>Benjamin</t>
  </si>
  <si>
    <t>TAHIROVIC</t>
  </si>
  <si>
    <t>Amar</t>
  </si>
  <si>
    <t>DEDIC</t>
  </si>
  <si>
    <t>Armin</t>
  </si>
  <si>
    <t>GIGOVIC</t>
  </si>
  <si>
    <t>Samed</t>
  </si>
  <si>
    <t>BAZDAR</t>
  </si>
  <si>
    <t>Ermedin</t>
  </si>
  <si>
    <t>DEMIROVIC</t>
  </si>
  <si>
    <t>Edin</t>
  </si>
  <si>
    <t>DZEKO</t>
  </si>
  <si>
    <t>Mladen</t>
  </si>
  <si>
    <t>JURKAS</t>
  </si>
  <si>
    <t>Ivan</t>
  </si>
  <si>
    <t>BASIC</t>
  </si>
  <si>
    <t>SUNJIC</t>
  </si>
  <si>
    <t>MEMIC</t>
  </si>
  <si>
    <t>Amir</t>
  </si>
  <si>
    <t>HADZIAHMETOVIC</t>
  </si>
  <si>
    <t>Dzenis</t>
  </si>
  <si>
    <t>BURNIC</t>
  </si>
  <si>
    <t>KATIC</t>
  </si>
  <si>
    <t>Kerim</t>
  </si>
  <si>
    <t>ALAJBEGOVIC</t>
  </si>
  <si>
    <t>Esmir</t>
  </si>
  <si>
    <t>BAJRAKTAREVIC</t>
  </si>
  <si>
    <t>Stjepan</t>
  </si>
  <si>
    <t>RADELJIC</t>
  </si>
  <si>
    <t>Martin</t>
  </si>
  <si>
    <t>ZLOMISLIC</t>
  </si>
  <si>
    <t>Haris</t>
  </si>
  <si>
    <t>TABAKOVIC</t>
  </si>
  <si>
    <t>CELIK</t>
  </si>
  <si>
    <t>Jovo</t>
  </si>
  <si>
    <t>LUKIC</t>
  </si>
  <si>
    <t>Ermin</t>
  </si>
  <si>
    <t>MAHMIC</t>
  </si>
  <si>
    <t>Alisson</t>
  </si>
  <si>
    <t>BECKER</t>
  </si>
  <si>
    <t>BRA</t>
  </si>
  <si>
    <t>Gabriel</t>
  </si>
  <si>
    <t>Marquinhos</t>
  </si>
  <si>
    <t>MARQUINHOS</t>
  </si>
  <si>
    <t>Casemiro</t>
  </si>
  <si>
    <t>CASEMIRO</t>
  </si>
  <si>
    <t>Alex Sandro</t>
  </si>
  <si>
    <t>ALEX SANDRO</t>
  </si>
  <si>
    <t>Vinicius Junior</t>
  </si>
  <si>
    <t>VINICIUS JUNIOR</t>
  </si>
  <si>
    <t>Bruno</t>
  </si>
  <si>
    <t>GUIMARAES</t>
  </si>
  <si>
    <t>Matheus</t>
  </si>
  <si>
    <t>CUNHA</t>
  </si>
  <si>
    <t>Neymar Jr</t>
  </si>
  <si>
    <t>NEYMAR JR</t>
  </si>
  <si>
    <t>Raphinha</t>
  </si>
  <si>
    <t>RAPHINHA</t>
  </si>
  <si>
    <t>Weverton</t>
  </si>
  <si>
    <t>WEVERTON</t>
  </si>
  <si>
    <t>Danilo</t>
  </si>
  <si>
    <t>DANILO</t>
  </si>
  <si>
    <t>Bremer</t>
  </si>
  <si>
    <t>BREMER</t>
  </si>
  <si>
    <t>Leo Pereira</t>
  </si>
  <si>
    <t>LEO PEREIRA</t>
  </si>
  <si>
    <t>Douglas Santos</t>
  </si>
  <si>
    <t>DOUGLAS SANTOS</t>
  </si>
  <si>
    <t>Fabinho</t>
  </si>
  <si>
    <t>FABINHO</t>
  </si>
  <si>
    <t>Danilo Santos</t>
  </si>
  <si>
    <t>DANILO SANTOS</t>
  </si>
  <si>
    <t>Endrick</t>
  </si>
  <si>
    <t>ENDRICK</t>
  </si>
  <si>
    <t>Lucas Paqueta</t>
  </si>
  <si>
    <t>LUCAS PAQUETA</t>
  </si>
  <si>
    <t>Luiz Henrique</t>
  </si>
  <si>
    <t>LUIZ HENRIQUE</t>
  </si>
  <si>
    <t>Gabriel Martinelli</t>
  </si>
  <si>
    <t>GABRIEL MARTINELLI</t>
  </si>
  <si>
    <t>Ederson</t>
  </si>
  <si>
    <t>EDERSON</t>
  </si>
  <si>
    <t>Roger Ibanez</t>
  </si>
  <si>
    <t>ROGER IBANEZ</t>
  </si>
  <si>
    <t>Igor Thiago</t>
  </si>
  <si>
    <t>IGOR THIAGO</t>
  </si>
  <si>
    <t>RAYAN</t>
  </si>
  <si>
    <t>Josimar</t>
  </si>
  <si>
    <t>VOZINHA</t>
  </si>
  <si>
    <t>CPV</t>
  </si>
  <si>
    <t>Ianique</t>
  </si>
  <si>
    <t>STOPIRA</t>
  </si>
  <si>
    <t>Edilson</t>
  </si>
  <si>
    <t>DINEY BORGES</t>
  </si>
  <si>
    <t>Roberto Carlos</t>
  </si>
  <si>
    <t>PICO LOPES</t>
  </si>
  <si>
    <t>Logan</t>
  </si>
  <si>
    <t>LOGAN COSTA</t>
  </si>
  <si>
    <t>KEVIN PINA</t>
  </si>
  <si>
    <t>Jovane</t>
  </si>
  <si>
    <t>JOVANE CABRAL</t>
  </si>
  <si>
    <t>Joao Paulo</t>
  </si>
  <si>
    <t>JOAO PAULO</t>
  </si>
  <si>
    <t>Gilson</t>
  </si>
  <si>
    <t>GILSON BENCHIMOL</t>
  </si>
  <si>
    <t>Jamiro</t>
  </si>
  <si>
    <t>JAMIRO MONTEIRO</t>
  </si>
  <si>
    <t>Garry</t>
  </si>
  <si>
    <t>GARRY RODRIGUES</t>
  </si>
  <si>
    <t>Marcio</t>
  </si>
  <si>
    <t>MARCIO ROSA</t>
  </si>
  <si>
    <t>Sidny</t>
  </si>
  <si>
    <t>SIDNY LOPES CABRAL</t>
  </si>
  <si>
    <t>Deroy</t>
  </si>
  <si>
    <t>DEROY DUARTE</t>
  </si>
  <si>
    <t>Laros</t>
  </si>
  <si>
    <t>LAROS DUARTE</t>
  </si>
  <si>
    <t>Yannick</t>
  </si>
  <si>
    <t>YANNICK SEMEDO</t>
  </si>
  <si>
    <t>Willy</t>
  </si>
  <si>
    <t>WILLY SEMEDO</t>
  </si>
  <si>
    <t>Telmo</t>
  </si>
  <si>
    <t>TELMO ARCANJO</t>
  </si>
  <si>
    <t>Dailon</t>
  </si>
  <si>
    <t>DAILON LIVRAMENTO</t>
  </si>
  <si>
    <t>Ryan</t>
  </si>
  <si>
    <t>RYAN MENDES</t>
  </si>
  <si>
    <t>Nuno</t>
  </si>
  <si>
    <t>NUNO DA COSTA</t>
  </si>
  <si>
    <t>Steven</t>
  </si>
  <si>
    <t>STEVEN MOREIRA</t>
  </si>
  <si>
    <t>Carlos Joaquim</t>
  </si>
  <si>
    <t>CJ DOS SANTOS</t>
  </si>
  <si>
    <t>Wagner</t>
  </si>
  <si>
    <t>WAGNER PINA</t>
  </si>
  <si>
    <t>Kelvin</t>
  </si>
  <si>
    <t>KELVIN PIRES</t>
  </si>
  <si>
    <t>Helio</t>
  </si>
  <si>
    <t>HELIO VARELA</t>
  </si>
  <si>
    <t>Dayne</t>
  </si>
  <si>
    <t>ST. CLAIR</t>
  </si>
  <si>
    <t>CAN</t>
  </si>
  <si>
    <t>Alistair</t>
  </si>
  <si>
    <t>JOHNSTON</t>
  </si>
  <si>
    <t>Ale</t>
  </si>
  <si>
    <t>JONES</t>
  </si>
  <si>
    <t>Luc</t>
  </si>
  <si>
    <t>DE FOUGEROLLES</t>
  </si>
  <si>
    <t>Joel</t>
  </si>
  <si>
    <t>WATERMAN</t>
  </si>
  <si>
    <t>Mathieu</t>
  </si>
  <si>
    <t>CHOINIERE</t>
  </si>
  <si>
    <t>Stephen</t>
  </si>
  <si>
    <t>EUSTAQUIO</t>
  </si>
  <si>
    <t>Ismael</t>
  </si>
  <si>
    <t>KONE</t>
  </si>
  <si>
    <t>Cyle</t>
  </si>
  <si>
    <t>LARIN</t>
  </si>
  <si>
    <t>Jonathan</t>
  </si>
  <si>
    <t>DAVID</t>
  </si>
  <si>
    <t>Liam</t>
  </si>
  <si>
    <t>MILLAR</t>
  </si>
  <si>
    <t>Tani</t>
  </si>
  <si>
    <t>OLUWASEYI</t>
  </si>
  <si>
    <t>Derek</t>
  </si>
  <si>
    <t>CORNELIUS</t>
  </si>
  <si>
    <t>SHAFFELBURG</t>
  </si>
  <si>
    <t>Moise</t>
  </si>
  <si>
    <t>BOMBITO</t>
  </si>
  <si>
    <t>Maxime</t>
  </si>
  <si>
    <t>CREPEAU</t>
  </si>
  <si>
    <t>Tajon</t>
  </si>
  <si>
    <t>BUCHANAN</t>
  </si>
  <si>
    <t>Owen</t>
  </si>
  <si>
    <t>GOODMAN</t>
  </si>
  <si>
    <t>Alphonso</t>
  </si>
  <si>
    <t>DAVIES</t>
  </si>
  <si>
    <t>Ali</t>
  </si>
  <si>
    <t>AHMED</t>
  </si>
  <si>
    <t>OSORIO</t>
  </si>
  <si>
    <t>Richie</t>
  </si>
  <si>
    <t>LARYEA</t>
  </si>
  <si>
    <t>Niko</t>
  </si>
  <si>
    <t>SIGUR</t>
  </si>
  <si>
    <t>Promise</t>
  </si>
  <si>
    <t>SALIBA</t>
  </si>
  <si>
    <t>OSPINA</t>
  </si>
  <si>
    <t>COL</t>
  </si>
  <si>
    <t>Daniel</t>
  </si>
  <si>
    <t>MUNOZ</t>
  </si>
  <si>
    <t>Jhon</t>
  </si>
  <si>
    <t>LUCUMI</t>
  </si>
  <si>
    <t>Santiago</t>
  </si>
  <si>
    <t>ARIAS</t>
  </si>
  <si>
    <t>CASTANO</t>
  </si>
  <si>
    <t>Richard</t>
  </si>
  <si>
    <t>RIOS</t>
  </si>
  <si>
    <t>Luis</t>
  </si>
  <si>
    <t>DIAZ</t>
  </si>
  <si>
    <t>Jorge</t>
  </si>
  <si>
    <t>CARRASCAL</t>
  </si>
  <si>
    <t>CORDOBA</t>
  </si>
  <si>
    <t>James</t>
  </si>
  <si>
    <t>RODRIGUEZ</t>
  </si>
  <si>
    <t>Camilo</t>
  </si>
  <si>
    <t>VARGAS</t>
  </si>
  <si>
    <t>Yerry</t>
  </si>
  <si>
    <t>MINA</t>
  </si>
  <si>
    <t>Gustavo</t>
  </si>
  <si>
    <t>PUERTA</t>
  </si>
  <si>
    <t>PORTILLA</t>
  </si>
  <si>
    <t>Jefferson</t>
  </si>
  <si>
    <t>LERMA</t>
  </si>
  <si>
    <t>Johan</t>
  </si>
  <si>
    <t>MOJICA</t>
  </si>
  <si>
    <t>Willer</t>
  </si>
  <si>
    <t>DITTA</t>
  </si>
  <si>
    <t>Cucho</t>
  </si>
  <si>
    <t>HERNANDEZ</t>
  </si>
  <si>
    <t>QUINTERO</t>
  </si>
  <si>
    <t>Jaminton</t>
  </si>
  <si>
    <t>CAMPAZ</t>
  </si>
  <si>
    <t>Deiver</t>
  </si>
  <si>
    <t>MACHADO</t>
  </si>
  <si>
    <t>Davinson</t>
  </si>
  <si>
    <t>SANCHEZ</t>
  </si>
  <si>
    <t>Alvaro</t>
  </si>
  <si>
    <t>MONTERO</t>
  </si>
  <si>
    <t>SUAREZ</t>
  </si>
  <si>
    <t>Andres</t>
  </si>
  <si>
    <t>GOMEZ</t>
  </si>
  <si>
    <t>MPASI</t>
  </si>
  <si>
    <t>COD</t>
  </si>
  <si>
    <t>Aaron</t>
  </si>
  <si>
    <t>WAN-BISSAKA</t>
  </si>
  <si>
    <t>Steve</t>
  </si>
  <si>
    <t>KAPUADI</t>
  </si>
  <si>
    <t>TUANZEBE</t>
  </si>
  <si>
    <t>Dylan</t>
  </si>
  <si>
    <t>BATUBINSIKA</t>
  </si>
  <si>
    <t>Ngalayel</t>
  </si>
  <si>
    <t>MUKAU</t>
  </si>
  <si>
    <t>Nathanael</t>
  </si>
  <si>
    <t>MBUKU</t>
  </si>
  <si>
    <t>Samuel</t>
  </si>
  <si>
    <t>MOUTOUSSAMY</t>
  </si>
  <si>
    <t>Brian</t>
  </si>
  <si>
    <t>CIPENGA</t>
  </si>
  <si>
    <t>Theo</t>
  </si>
  <si>
    <t>BONGONDA</t>
  </si>
  <si>
    <t>Gael</t>
  </si>
  <si>
    <t>KAKUTA</t>
  </si>
  <si>
    <t>Joris</t>
  </si>
  <si>
    <t>KAYEMBE</t>
  </si>
  <si>
    <t>Meschack</t>
  </si>
  <si>
    <t>ELIA</t>
  </si>
  <si>
    <t>Noah</t>
  </si>
  <si>
    <t>SADIKI</t>
  </si>
  <si>
    <t>TSHIBOLA</t>
  </si>
  <si>
    <t>FAYULU</t>
  </si>
  <si>
    <t>Cedric</t>
  </si>
  <si>
    <t>BAKAMBU</t>
  </si>
  <si>
    <t>PICKEL</t>
  </si>
  <si>
    <t>Fiston</t>
  </si>
  <si>
    <t>MAYELE</t>
  </si>
  <si>
    <t>Yoane</t>
  </si>
  <si>
    <t>WISSA</t>
  </si>
  <si>
    <t>Matthieu</t>
  </si>
  <si>
    <t>EPOLO</t>
  </si>
  <si>
    <t>Chancel</t>
  </si>
  <si>
    <t>MBEMBA</t>
  </si>
  <si>
    <t>Simon</t>
  </si>
  <si>
    <t>BANZA</t>
  </si>
  <si>
    <t>Gedeon</t>
  </si>
  <si>
    <t>KALULU</t>
  </si>
  <si>
    <t>Edo</t>
  </si>
  <si>
    <t>MASUAKU</t>
  </si>
  <si>
    <t>Yahia</t>
  </si>
  <si>
    <t>FOFANA</t>
  </si>
  <si>
    <t>CIV</t>
  </si>
  <si>
    <t>Ousmane</t>
  </si>
  <si>
    <t>DIOMANDE</t>
  </si>
  <si>
    <t>Ghislain</t>
  </si>
  <si>
    <t>KONAN</t>
  </si>
  <si>
    <t>Jean Michael</t>
  </si>
  <si>
    <t>SERI</t>
  </si>
  <si>
    <t>Wilfried</t>
  </si>
  <si>
    <t>SINGO</t>
  </si>
  <si>
    <t>Seko</t>
  </si>
  <si>
    <t>Odilon</t>
  </si>
  <si>
    <t>KOSSOUNOU</t>
  </si>
  <si>
    <t>Franck</t>
  </si>
  <si>
    <t>KESSIE</t>
  </si>
  <si>
    <t>Ange-Yoan</t>
  </si>
  <si>
    <t>BONNY</t>
  </si>
  <si>
    <t>ADINGRA</t>
  </si>
  <si>
    <t>Yan</t>
  </si>
  <si>
    <t>Elye</t>
  </si>
  <si>
    <t>WAHI</t>
  </si>
  <si>
    <t>Christopher</t>
  </si>
  <si>
    <t>OPERI</t>
  </si>
  <si>
    <t>Oumar</t>
  </si>
  <si>
    <t>DIAKITE</t>
  </si>
  <si>
    <t>Amad</t>
  </si>
  <si>
    <t>DIALLO</t>
  </si>
  <si>
    <t>Guela</t>
  </si>
  <si>
    <t>DOUE</t>
  </si>
  <si>
    <t>SANGARE</t>
  </si>
  <si>
    <t>PEPE</t>
  </si>
  <si>
    <t>Emmanuel</t>
  </si>
  <si>
    <t>AGBADOU</t>
  </si>
  <si>
    <t>Evan</t>
  </si>
  <si>
    <t>NDICKA</t>
  </si>
  <si>
    <t>Evann</t>
  </si>
  <si>
    <t>GUESSAND</t>
  </si>
  <si>
    <t>Alban</t>
  </si>
  <si>
    <t>LAFONT</t>
  </si>
  <si>
    <t>Bazoumana</t>
  </si>
  <si>
    <t>Parfait</t>
  </si>
  <si>
    <t>GUIAGON</t>
  </si>
  <si>
    <t>Christ Inao</t>
  </si>
  <si>
    <t>OULAI</t>
  </si>
  <si>
    <t>Dominik</t>
  </si>
  <si>
    <t>LIVAKOVIC</t>
  </si>
  <si>
    <t>HRV</t>
  </si>
  <si>
    <t>Josip</t>
  </si>
  <si>
    <t>STANISIC</t>
  </si>
  <si>
    <t>Marin</t>
  </si>
  <si>
    <t>PONGRACIC</t>
  </si>
  <si>
    <t>Josko</t>
  </si>
  <si>
    <t>GVARDIOL</t>
  </si>
  <si>
    <t>Duje</t>
  </si>
  <si>
    <t>CALETA-CAR</t>
  </si>
  <si>
    <t>SUTALO</t>
  </si>
  <si>
    <t>MORO</t>
  </si>
  <si>
    <t>Mateo</t>
  </si>
  <si>
    <t>KOVACIC</t>
  </si>
  <si>
    <t>Andrej</t>
  </si>
  <si>
    <t>KRAMARIC</t>
  </si>
  <si>
    <t>Luka</t>
  </si>
  <si>
    <t>MODRIC</t>
  </si>
  <si>
    <t>Ante</t>
  </si>
  <si>
    <t>BUDIMIR</t>
  </si>
  <si>
    <t>Ivor</t>
  </si>
  <si>
    <t>PANDUR</t>
  </si>
  <si>
    <t>VLASIC</t>
  </si>
  <si>
    <t>PERISIC</t>
  </si>
  <si>
    <t>Mario</t>
  </si>
  <si>
    <t>PASALIC</t>
  </si>
  <si>
    <t>BATURINA</t>
  </si>
  <si>
    <t>Petar</t>
  </si>
  <si>
    <t>SUCIC</t>
  </si>
  <si>
    <t>Kristijan</t>
  </si>
  <si>
    <t>JAKIC</t>
  </si>
  <si>
    <t>Toni</t>
  </si>
  <si>
    <t>FRUK</t>
  </si>
  <si>
    <t>Igor</t>
  </si>
  <si>
    <t>MATANOVIC</t>
  </si>
  <si>
    <t>VUSKOVIC</t>
  </si>
  <si>
    <t>KOTARSKI</t>
  </si>
  <si>
    <t>ERLIC</t>
  </si>
  <si>
    <t>MUSA</t>
  </si>
  <si>
    <t>Eloy</t>
  </si>
  <si>
    <t>ROOM</t>
  </si>
  <si>
    <t>CUW</t>
  </si>
  <si>
    <t>Shurandy</t>
  </si>
  <si>
    <t>SAMBO</t>
  </si>
  <si>
    <t>Jurien</t>
  </si>
  <si>
    <t>GAARI</t>
  </si>
  <si>
    <t>Roshon</t>
  </si>
  <si>
    <t>VAN EIJMA</t>
  </si>
  <si>
    <t>Sherel</t>
  </si>
  <si>
    <t>FLORANUS</t>
  </si>
  <si>
    <t>Godfried</t>
  </si>
  <si>
    <t>ROEMERATOE</t>
  </si>
  <si>
    <t>Juninho</t>
  </si>
  <si>
    <t>BACUNA</t>
  </si>
  <si>
    <t>Livano</t>
  </si>
  <si>
    <t>COMENENCIA</t>
  </si>
  <si>
    <t>Juergen</t>
  </si>
  <si>
    <t>LOCADIA</t>
  </si>
  <si>
    <t>ANTONISSE</t>
  </si>
  <si>
    <t>Sontje</t>
  </si>
  <si>
    <t>HANSEN</t>
  </si>
  <si>
    <t>Tyrese</t>
  </si>
  <si>
    <t>NOSLIN</t>
  </si>
  <si>
    <t>Kenji</t>
  </si>
  <si>
    <t>GORRE</t>
  </si>
  <si>
    <t>Arjany</t>
  </si>
  <si>
    <t>MARTHA</t>
  </si>
  <si>
    <t>Jearl</t>
  </si>
  <si>
    <t>MARGARITHA</t>
  </si>
  <si>
    <t>Brandley</t>
  </si>
  <si>
    <t>KUWAS</t>
  </si>
  <si>
    <t>Armando</t>
  </si>
  <si>
    <t>OBISPO</t>
  </si>
  <si>
    <t>Gervane</t>
  </si>
  <si>
    <t>KASTANEER</t>
  </si>
  <si>
    <t>Joshua</t>
  </si>
  <si>
    <t>BRENET</t>
  </si>
  <si>
    <t>Tahith</t>
  </si>
  <si>
    <t>CHONG</t>
  </si>
  <si>
    <t>FELIDA</t>
  </si>
  <si>
    <t>Riechedly</t>
  </si>
  <si>
    <t>BAZOER</t>
  </si>
  <si>
    <t>Deveron</t>
  </si>
  <si>
    <t>FONVILLE</t>
  </si>
  <si>
    <t>Tyrick</t>
  </si>
  <si>
    <t>BODAK</t>
  </si>
  <si>
    <t>Trevor</t>
  </si>
  <si>
    <t>DOORNBUSCH</t>
  </si>
  <si>
    <t>Matej</t>
  </si>
  <si>
    <t>KOVAR</t>
  </si>
  <si>
    <t>CZE</t>
  </si>
  <si>
    <t>ZIMA</t>
  </si>
  <si>
    <t>Tomas</t>
  </si>
  <si>
    <t>HOLES</t>
  </si>
  <si>
    <t>Robin</t>
  </si>
  <si>
    <t>HRANAC</t>
  </si>
  <si>
    <t>Vladimir</t>
  </si>
  <si>
    <t>COUFAL</t>
  </si>
  <si>
    <t>Stepan</t>
  </si>
  <si>
    <t>CHALOUPEK</t>
  </si>
  <si>
    <t>Ladislav</t>
  </si>
  <si>
    <t>KREJCI</t>
  </si>
  <si>
    <t>DARIDA</t>
  </si>
  <si>
    <t>Adam</t>
  </si>
  <si>
    <t>HLOZEK</t>
  </si>
  <si>
    <t>Patrik</t>
  </si>
  <si>
    <t>SCHICK</t>
  </si>
  <si>
    <t>Jan</t>
  </si>
  <si>
    <t>KUCHTA</t>
  </si>
  <si>
    <t>Lukas</t>
  </si>
  <si>
    <t>CERV</t>
  </si>
  <si>
    <t>Mojmir</t>
  </si>
  <si>
    <t>CHYTIL</t>
  </si>
  <si>
    <t>JURASEK</t>
  </si>
  <si>
    <t>Pavel</t>
  </si>
  <si>
    <t>SULC</t>
  </si>
  <si>
    <t>Jindrich</t>
  </si>
  <si>
    <t>STANEK</t>
  </si>
  <si>
    <t>PROVOD</t>
  </si>
  <si>
    <t>Michal</t>
  </si>
  <si>
    <t>SADILEK</t>
  </si>
  <si>
    <t>CHORY</t>
  </si>
  <si>
    <t>Jaroslav</t>
  </si>
  <si>
    <t>ZELENY</t>
  </si>
  <si>
    <t>DOUDERA</t>
  </si>
  <si>
    <t>SOUCEK</t>
  </si>
  <si>
    <t>HORNICEK</t>
  </si>
  <si>
    <t>Alexandr</t>
  </si>
  <si>
    <t>SOJKA</t>
  </si>
  <si>
    <t>Hugo</t>
  </si>
  <si>
    <t>SOCHUREK</t>
  </si>
  <si>
    <t>Denis</t>
  </si>
  <si>
    <t>VISINSKY</t>
  </si>
  <si>
    <t>Hernan</t>
  </si>
  <si>
    <t>GALINDEZ</t>
  </si>
  <si>
    <t>ECU</t>
  </si>
  <si>
    <t>Felix</t>
  </si>
  <si>
    <t>TORRES</t>
  </si>
  <si>
    <t>Piero</t>
  </si>
  <si>
    <t>HINCAPIE</t>
  </si>
  <si>
    <t>ORDONEZ</t>
  </si>
  <si>
    <t>Jordy</t>
  </si>
  <si>
    <t>ALCIVAR</t>
  </si>
  <si>
    <t>Willian</t>
  </si>
  <si>
    <t>PACHO</t>
  </si>
  <si>
    <t>Pervis</t>
  </si>
  <si>
    <t>ESTUPINAN</t>
  </si>
  <si>
    <t>Anthony</t>
  </si>
  <si>
    <t>VALENCIA</t>
  </si>
  <si>
    <t>John</t>
  </si>
  <si>
    <t>YEBOAH</t>
  </si>
  <si>
    <t>Kendry</t>
  </si>
  <si>
    <t>PAEZ</t>
  </si>
  <si>
    <t>Moises</t>
  </si>
  <si>
    <t>RAMIREZ</t>
  </si>
  <si>
    <t>Enner</t>
  </si>
  <si>
    <t>Alan</t>
  </si>
  <si>
    <t>MINDA</t>
  </si>
  <si>
    <t>Pedro</t>
  </si>
  <si>
    <t>VITE</t>
  </si>
  <si>
    <t>CAICEDO</t>
  </si>
  <si>
    <t>Angelo</t>
  </si>
  <si>
    <t>PRECIADO</t>
  </si>
  <si>
    <t>Denil</t>
  </si>
  <si>
    <t>CASTILLO</t>
  </si>
  <si>
    <t>PLATA</t>
  </si>
  <si>
    <t>Nilson</t>
  </si>
  <si>
    <t>ANGULO</t>
  </si>
  <si>
    <t>FRANCO</t>
  </si>
  <si>
    <t>VALLE</t>
  </si>
  <si>
    <t>AREVALO</t>
  </si>
  <si>
    <t>POROZO</t>
  </si>
  <si>
    <t>Yaimar</t>
  </si>
  <si>
    <t>ELSHENAWY</t>
  </si>
  <si>
    <t>EGY</t>
  </si>
  <si>
    <t>Yasser</t>
  </si>
  <si>
    <t>IBRAHIM</t>
  </si>
  <si>
    <t>HANY</t>
  </si>
  <si>
    <t>Hossam</t>
  </si>
  <si>
    <t>ABDELMAGUID</t>
  </si>
  <si>
    <t>RABIA</t>
  </si>
  <si>
    <t>ABDELMONEIM</t>
  </si>
  <si>
    <t>Mahmoud</t>
  </si>
  <si>
    <t>TREZEGUET</t>
  </si>
  <si>
    <t>Emam</t>
  </si>
  <si>
    <t>ASHOUR</t>
  </si>
  <si>
    <t>Hamza</t>
  </si>
  <si>
    <t>ABDELKARIM</t>
  </si>
  <si>
    <t>SALAH</t>
  </si>
  <si>
    <t>Mostafa</t>
  </si>
  <si>
    <t>ZICO</t>
  </si>
  <si>
    <t>Haissem</t>
  </si>
  <si>
    <t>HASSAN</t>
  </si>
  <si>
    <t>Ahmed</t>
  </si>
  <si>
    <t>FATOUH</t>
  </si>
  <si>
    <t>Hamdy</t>
  </si>
  <si>
    <t>FATHY</t>
  </si>
  <si>
    <t>Karim</t>
  </si>
  <si>
    <t>HAFEZ</t>
  </si>
  <si>
    <t>Mahdy</t>
  </si>
  <si>
    <t>SOLIMAN</t>
  </si>
  <si>
    <t>Mohanad</t>
  </si>
  <si>
    <t>LASHIN</t>
  </si>
  <si>
    <t>DONGA</t>
  </si>
  <si>
    <t>Marawan</t>
  </si>
  <si>
    <t>ATTIA</t>
  </si>
  <si>
    <t>ADEL</t>
  </si>
  <si>
    <t>SABER</t>
  </si>
  <si>
    <t>Omar</t>
  </si>
  <si>
    <t>MARMOUSH</t>
  </si>
  <si>
    <t>SHOUBIR</t>
  </si>
  <si>
    <t>Tarek</t>
  </si>
  <si>
    <t>ALAA</t>
  </si>
  <si>
    <t>ZIZO</t>
  </si>
  <si>
    <t>PICKFORD</t>
  </si>
  <si>
    <t>ENG</t>
  </si>
  <si>
    <t>Ezri</t>
  </si>
  <si>
    <t>KONSA</t>
  </si>
  <si>
    <t>OREILLY</t>
  </si>
  <si>
    <t>Declan</t>
  </si>
  <si>
    <t>RICE</t>
  </si>
  <si>
    <t>STONES</t>
  </si>
  <si>
    <t>Marc</t>
  </si>
  <si>
    <t>GUEHI</t>
  </si>
  <si>
    <t>Bukayo</t>
  </si>
  <si>
    <t>SAKA</t>
  </si>
  <si>
    <t>Elliot</t>
  </si>
  <si>
    <t>ANDERSON</t>
  </si>
  <si>
    <t>KANE</t>
  </si>
  <si>
    <t>Jude</t>
  </si>
  <si>
    <t>BELLINGHAM</t>
  </si>
  <si>
    <t>Marcus</t>
  </si>
  <si>
    <t>RASHFORD</t>
  </si>
  <si>
    <t>Dean</t>
  </si>
  <si>
    <t>HENDERSON</t>
  </si>
  <si>
    <t>Dan</t>
  </si>
  <si>
    <t>BURN</t>
  </si>
  <si>
    <t>Kobbie</t>
  </si>
  <si>
    <t>MAINOO</t>
  </si>
  <si>
    <t>Morgan</t>
  </si>
  <si>
    <t>ROGERS</t>
  </si>
  <si>
    <t>GORDON</t>
  </si>
  <si>
    <t>Ollie</t>
  </si>
  <si>
    <t>WATKINS</t>
  </si>
  <si>
    <t>Noni</t>
  </si>
  <si>
    <t>MADUEKE</t>
  </si>
  <si>
    <t>Eberechi</t>
  </si>
  <si>
    <t>EZE</t>
  </si>
  <si>
    <t>TONEY</t>
  </si>
  <si>
    <t>TRAFFORD</t>
  </si>
  <si>
    <t>Reece</t>
  </si>
  <si>
    <t>JAMES</t>
  </si>
  <si>
    <t>Djed</t>
  </si>
  <si>
    <t>SPENCE</t>
  </si>
  <si>
    <t>Jarell</t>
  </si>
  <si>
    <t>QUANSAH</t>
  </si>
  <si>
    <t>Brice</t>
  </si>
  <si>
    <t>SAMBA</t>
  </si>
  <si>
    <t>FRA</t>
  </si>
  <si>
    <t>Malo</t>
  </si>
  <si>
    <t>GUSTO</t>
  </si>
  <si>
    <t>DIGNE</t>
  </si>
  <si>
    <t>Dayot</t>
  </si>
  <si>
    <t>UPAMECANO</t>
  </si>
  <si>
    <t>Jules</t>
  </si>
  <si>
    <t>KOUNDE</t>
  </si>
  <si>
    <t>Manu</t>
  </si>
  <si>
    <t>DEMBELE</t>
  </si>
  <si>
    <t>Aurelien</t>
  </si>
  <si>
    <t>TCHOUAMENI</t>
  </si>
  <si>
    <t>THURAM</t>
  </si>
  <si>
    <t>Kylian</t>
  </si>
  <si>
    <t>MBAPPE</t>
  </si>
  <si>
    <t>OLISE</t>
  </si>
  <si>
    <t>Bradley</t>
  </si>
  <si>
    <t>BARCOLA</t>
  </si>
  <si>
    <t>Ngolo</t>
  </si>
  <si>
    <t>KANTE</t>
  </si>
  <si>
    <t>Adrien</t>
  </si>
  <si>
    <t>RABIOT</t>
  </si>
  <si>
    <t>Ibrahima</t>
  </si>
  <si>
    <t>KONATE</t>
  </si>
  <si>
    <t>MAIGNAN</t>
  </si>
  <si>
    <t>William</t>
  </si>
  <si>
    <t>Warren</t>
  </si>
  <si>
    <t>ZAIRE-EMERY</t>
  </si>
  <si>
    <t>Desire</t>
  </si>
  <si>
    <t>Jean-Philippe</t>
  </si>
  <si>
    <t>MATETA</t>
  </si>
  <si>
    <t>RISSER</t>
  </si>
  <si>
    <t>CHERKI</t>
  </si>
  <si>
    <t>Maghnes</t>
  </si>
  <si>
    <t>AKLIOUCHE</t>
  </si>
  <si>
    <t>Maxence</t>
  </si>
  <si>
    <t>LACROIX</t>
  </si>
  <si>
    <t>Manuel</t>
  </si>
  <si>
    <t>NEUER</t>
  </si>
  <si>
    <t>DEU</t>
  </si>
  <si>
    <t>Antonio</t>
  </si>
  <si>
    <t>RUEDIGER</t>
  </si>
  <si>
    <t>Waldemar</t>
  </si>
  <si>
    <t>ANTON</t>
  </si>
  <si>
    <t>TAH</t>
  </si>
  <si>
    <t>Aleksandar</t>
  </si>
  <si>
    <t>PAVLOVIC</t>
  </si>
  <si>
    <t>KIMMICH</t>
  </si>
  <si>
    <t>HAVERTZ</t>
  </si>
  <si>
    <t>Leon</t>
  </si>
  <si>
    <t>GORETZKA</t>
  </si>
  <si>
    <t>Jamie</t>
  </si>
  <si>
    <t>LEWELING</t>
  </si>
  <si>
    <t>Jamal</t>
  </si>
  <si>
    <t>MUSIALA</t>
  </si>
  <si>
    <t>Nick</t>
  </si>
  <si>
    <t>WOLTEMADE</t>
  </si>
  <si>
    <t>Oliver</t>
  </si>
  <si>
    <t>BAUMANN</t>
  </si>
  <si>
    <t>Pascal</t>
  </si>
  <si>
    <t>GROSS</t>
  </si>
  <si>
    <t>Maximilian</t>
  </si>
  <si>
    <t>BEIER</t>
  </si>
  <si>
    <t>SCHLOTTERBECK</t>
  </si>
  <si>
    <t>STILLER</t>
  </si>
  <si>
    <t>WIRTZ</t>
  </si>
  <si>
    <t>Nathaniel</t>
  </si>
  <si>
    <t>BROWN</t>
  </si>
  <si>
    <t>Leroy</t>
  </si>
  <si>
    <t>SANE</t>
  </si>
  <si>
    <t>Nadiem</t>
  </si>
  <si>
    <t>AMIRI</t>
  </si>
  <si>
    <t>NUEBEL</t>
  </si>
  <si>
    <t>RAUM</t>
  </si>
  <si>
    <t>NMECHA</t>
  </si>
  <si>
    <t>Malick</t>
  </si>
  <si>
    <t>THIAW</t>
  </si>
  <si>
    <t>Deniz</t>
  </si>
  <si>
    <t>UNDAV</t>
  </si>
  <si>
    <t>Lawrence Ati</t>
  </si>
  <si>
    <t>ZIGI</t>
  </si>
  <si>
    <t>GHA</t>
  </si>
  <si>
    <t>Alidu</t>
  </si>
  <si>
    <t>SEIDU</t>
  </si>
  <si>
    <t>Caleb</t>
  </si>
  <si>
    <t>YIRENKYI</t>
  </si>
  <si>
    <t>Jonas</t>
  </si>
  <si>
    <t>ADJETEY</t>
  </si>
  <si>
    <t>PARTEY</t>
  </si>
  <si>
    <t>Abdul</t>
  </si>
  <si>
    <t>MUMIN</t>
  </si>
  <si>
    <t>Fatawu</t>
  </si>
  <si>
    <t>ISSAHAKU</t>
  </si>
  <si>
    <t>Kwasi</t>
  </si>
  <si>
    <t>SIBO</t>
  </si>
  <si>
    <t>AYEW</t>
  </si>
  <si>
    <t>THOMAS-ASANTE</t>
  </si>
  <si>
    <t>Antoine</t>
  </si>
  <si>
    <t>SEMENYO</t>
  </si>
  <si>
    <t>Joseph</t>
  </si>
  <si>
    <t>ANANG</t>
  </si>
  <si>
    <t>Christopher Bonsu</t>
  </si>
  <si>
    <t>BAAH</t>
  </si>
  <si>
    <t>Gideon</t>
  </si>
  <si>
    <t>MENSAH</t>
  </si>
  <si>
    <t>Elisha</t>
  </si>
  <si>
    <t>OWUSU</t>
  </si>
  <si>
    <t>ASARE</t>
  </si>
  <si>
    <t>Baba</t>
  </si>
  <si>
    <t>RAHMAN</t>
  </si>
  <si>
    <t>Jerome</t>
  </si>
  <si>
    <t>OPOKU</t>
  </si>
  <si>
    <t>Inaki</t>
  </si>
  <si>
    <t>WILLIAMS</t>
  </si>
  <si>
    <t>Augustine</t>
  </si>
  <si>
    <t>BOAKYE</t>
  </si>
  <si>
    <t>Kojo Peprah</t>
  </si>
  <si>
    <t>OPPONG</t>
  </si>
  <si>
    <t>Kamaldeen</t>
  </si>
  <si>
    <t>SULEMANA</t>
  </si>
  <si>
    <t>Derrick</t>
  </si>
  <si>
    <t>LUCKASSEN</t>
  </si>
  <si>
    <t>Ernest</t>
  </si>
  <si>
    <t>NUAMAH</t>
  </si>
  <si>
    <t>Prince</t>
  </si>
  <si>
    <t>ADU</t>
  </si>
  <si>
    <t>Marvin</t>
  </si>
  <si>
    <t>SENAYA</t>
  </si>
  <si>
    <t>Johny</t>
  </si>
  <si>
    <t>PLACIDE</t>
  </si>
  <si>
    <t>HTI</t>
  </si>
  <si>
    <t>Carlens</t>
  </si>
  <si>
    <t>ARCUS</t>
  </si>
  <si>
    <t>Keeto</t>
  </si>
  <si>
    <t>THERMONCY</t>
  </si>
  <si>
    <t>Ricardo</t>
  </si>
  <si>
    <t>ADE</t>
  </si>
  <si>
    <t>Hannes</t>
  </si>
  <si>
    <t>DELCROIX</t>
  </si>
  <si>
    <t>Carl</t>
  </si>
  <si>
    <t>SAINTE</t>
  </si>
  <si>
    <t>ETIENNE</t>
  </si>
  <si>
    <t>EXPERIENCE</t>
  </si>
  <si>
    <t>Duckens</t>
  </si>
  <si>
    <t>NAZON</t>
  </si>
  <si>
    <t>Jean-Ricner</t>
  </si>
  <si>
    <t>BELLEGARDE</t>
  </si>
  <si>
    <t>Louicius</t>
  </si>
  <si>
    <t>DEEDSON</t>
  </si>
  <si>
    <t>Alexandre</t>
  </si>
  <si>
    <t>PIERRE</t>
  </si>
  <si>
    <t>Markhus</t>
  </si>
  <si>
    <t>Ruben</t>
  </si>
  <si>
    <t>PROVIDENCE</t>
  </si>
  <si>
    <t>Lenny</t>
  </si>
  <si>
    <t>JOSEPH</t>
  </si>
  <si>
    <t>Danley</t>
  </si>
  <si>
    <t>JEAN JACQUES</t>
  </si>
  <si>
    <t>Wilson</t>
  </si>
  <si>
    <t>ISIDOR</t>
  </si>
  <si>
    <t>Yassin</t>
  </si>
  <si>
    <t>FORTUNE</t>
  </si>
  <si>
    <t>Frantzdy</t>
  </si>
  <si>
    <t>PIERROT</t>
  </si>
  <si>
    <t>Josue</t>
  </si>
  <si>
    <t>CASIMIR</t>
  </si>
  <si>
    <t>Jean-Kevin</t>
  </si>
  <si>
    <t>DUVERNE</t>
  </si>
  <si>
    <t>DUVERGER</t>
  </si>
  <si>
    <t>Wilguens</t>
  </si>
  <si>
    <t>PAUGAIN</t>
  </si>
  <si>
    <t>Dominique</t>
  </si>
  <si>
    <t>SIMON</t>
  </si>
  <si>
    <t>Woodensky</t>
  </si>
  <si>
    <t>Alireza</t>
  </si>
  <si>
    <t>BEIRANVAND</t>
  </si>
  <si>
    <t>IRN</t>
  </si>
  <si>
    <t>Saleh</t>
  </si>
  <si>
    <t>HARDANI</t>
  </si>
  <si>
    <t>Ehsan</t>
  </si>
  <si>
    <t>HAJISAFI</t>
  </si>
  <si>
    <t>Shoja</t>
  </si>
  <si>
    <t>KHALILZADEH</t>
  </si>
  <si>
    <t>Milad</t>
  </si>
  <si>
    <t>MOHAMMADI</t>
  </si>
  <si>
    <t>Saeid</t>
  </si>
  <si>
    <t>EZATOLAHI</t>
  </si>
  <si>
    <t>JAHANBAKHSH</t>
  </si>
  <si>
    <t>Mohammad</t>
  </si>
  <si>
    <t>MOHEBBI</t>
  </si>
  <si>
    <t>Mehdi</t>
  </si>
  <si>
    <t>TAREMI</t>
  </si>
  <si>
    <t>GHAYEDI</t>
  </si>
  <si>
    <t>ALIPOUR</t>
  </si>
  <si>
    <t>Payam</t>
  </si>
  <si>
    <t>NIAZMAND</t>
  </si>
  <si>
    <t>Hossein</t>
  </si>
  <si>
    <t>KANANI</t>
  </si>
  <si>
    <t>Saman</t>
  </si>
  <si>
    <t>GHODDOS</t>
  </si>
  <si>
    <t>Roozbeh</t>
  </si>
  <si>
    <t>CHESHMI</t>
  </si>
  <si>
    <t>TORABI</t>
  </si>
  <si>
    <t>Arya</t>
  </si>
  <si>
    <t>YOUSEFI</t>
  </si>
  <si>
    <t>Amirhossein</t>
  </si>
  <si>
    <t>HOSSEINZADEH</t>
  </si>
  <si>
    <t>NEMATI</t>
  </si>
  <si>
    <t>Shahriyar</t>
  </si>
  <si>
    <t>MOGHANLOO</t>
  </si>
  <si>
    <t>GHORBANI</t>
  </si>
  <si>
    <t>HOSSEINI</t>
  </si>
  <si>
    <t>Ramin</t>
  </si>
  <si>
    <t>REZAEIAN</t>
  </si>
  <si>
    <t>DARGAHI</t>
  </si>
  <si>
    <t>Danial</t>
  </si>
  <si>
    <t>IRI</t>
  </si>
  <si>
    <t>Amirmohammad</t>
  </si>
  <si>
    <t>RAZAGHINIA</t>
  </si>
  <si>
    <t>Fahad</t>
  </si>
  <si>
    <t>TALIB</t>
  </si>
  <si>
    <t>IRQ</t>
  </si>
  <si>
    <t>Rebin</t>
  </si>
  <si>
    <t>GHAREEB</t>
  </si>
  <si>
    <t>Hussein</t>
  </si>
  <si>
    <t>ALI</t>
  </si>
  <si>
    <t>Zaid</t>
  </si>
  <si>
    <t>TAHSEEN</t>
  </si>
  <si>
    <t>Akam</t>
  </si>
  <si>
    <t>HASHIM</t>
  </si>
  <si>
    <t>Munaf</t>
  </si>
  <si>
    <t>YOUNUS</t>
  </si>
  <si>
    <t>Youssef</t>
  </si>
  <si>
    <t>AMYN</t>
  </si>
  <si>
    <t>BAYESH</t>
  </si>
  <si>
    <t>ALHAMADI</t>
  </si>
  <si>
    <t>QASIM</t>
  </si>
  <si>
    <t>Jalal</t>
  </si>
  <si>
    <t>YOUSIF</t>
  </si>
  <si>
    <t>Zidane</t>
  </si>
  <si>
    <t>IQBAL</t>
  </si>
  <si>
    <t>YAHYA</t>
  </si>
  <si>
    <t>ALAMMARI</t>
  </si>
  <si>
    <t>JASIM</t>
  </si>
  <si>
    <t>Aymen</t>
  </si>
  <si>
    <t>HUSSEIN</t>
  </si>
  <si>
    <t>YAKOB</t>
  </si>
  <si>
    <t>Aimar</t>
  </si>
  <si>
    <t>SHER</t>
  </si>
  <si>
    <t>FARJI</t>
  </si>
  <si>
    <t>BASIL</t>
  </si>
  <si>
    <t>Merchas</t>
  </si>
  <si>
    <t>DOSKI</t>
  </si>
  <si>
    <t>ISMAEL</t>
  </si>
  <si>
    <t>Mustafa</t>
  </si>
  <si>
    <t>SAADOON</t>
  </si>
  <si>
    <t>Frans</t>
  </si>
  <si>
    <t>PUTROS</t>
  </si>
  <si>
    <t>Zion</t>
  </si>
  <si>
    <t>SUZUKI</t>
  </si>
  <si>
    <t>JPN</t>
  </si>
  <si>
    <t>Yukinari</t>
  </si>
  <si>
    <t>SUGAWARA</t>
  </si>
  <si>
    <t>Shogo</t>
  </si>
  <si>
    <t>TANIGUCHI</t>
  </si>
  <si>
    <t>Kou</t>
  </si>
  <si>
    <t>ITAKURA</t>
  </si>
  <si>
    <t>Yuto</t>
  </si>
  <si>
    <t>NAGATOMO</t>
  </si>
  <si>
    <t>Ao</t>
  </si>
  <si>
    <t>TANAKA</t>
  </si>
  <si>
    <t>Takefusa</t>
  </si>
  <si>
    <t>KUBO</t>
  </si>
  <si>
    <t>Keisuke</t>
  </si>
  <si>
    <t>GOTO</t>
  </si>
  <si>
    <t>Ritsu</t>
  </si>
  <si>
    <t>DOAN</t>
  </si>
  <si>
    <t>Daizen</t>
  </si>
  <si>
    <t>MAEDA</t>
  </si>
  <si>
    <t>OSAKO</t>
  </si>
  <si>
    <t>Keito</t>
  </si>
  <si>
    <t>NAKAMURA</t>
  </si>
  <si>
    <t>Junya</t>
  </si>
  <si>
    <t>ITO</t>
  </si>
  <si>
    <t>Daichi</t>
  </si>
  <si>
    <t>KAMADA</t>
  </si>
  <si>
    <t>Tsuyoshi</t>
  </si>
  <si>
    <t>WATANABE</t>
  </si>
  <si>
    <t>Yuito</t>
  </si>
  <si>
    <t>Ayase</t>
  </si>
  <si>
    <t>UEDA</t>
  </si>
  <si>
    <t>Koki</t>
  </si>
  <si>
    <t>OGAWA</t>
  </si>
  <si>
    <t>Ayumu</t>
  </si>
  <si>
    <t>SEKO</t>
  </si>
  <si>
    <t>Hiroki</t>
  </si>
  <si>
    <t>Takehiro</t>
  </si>
  <si>
    <t>TOMIYASU</t>
  </si>
  <si>
    <t>Tomoki</t>
  </si>
  <si>
    <t>HAYAKAWA</t>
  </si>
  <si>
    <t>Kaishu</t>
  </si>
  <si>
    <t>SANO</t>
  </si>
  <si>
    <t>Junnosuke</t>
  </si>
  <si>
    <t>Kento</t>
  </si>
  <si>
    <t>SHIOGAI</t>
  </si>
  <si>
    <t>Yazeed</t>
  </si>
  <si>
    <t>ABULAILA</t>
  </si>
  <si>
    <t>JOR</t>
  </si>
  <si>
    <t>ABUHASHEESH</t>
  </si>
  <si>
    <t>Abdallah</t>
  </si>
  <si>
    <t>NASIB</t>
  </si>
  <si>
    <t>Husam</t>
  </si>
  <si>
    <t>ABUDAHAB</t>
  </si>
  <si>
    <t>Yazan</t>
  </si>
  <si>
    <t>ALARAB</t>
  </si>
  <si>
    <t>Amer</t>
  </si>
  <si>
    <t>JAMOUS</t>
  </si>
  <si>
    <t>ABUZRAIQ</t>
  </si>
  <si>
    <t>Noor</t>
  </si>
  <si>
    <t>ALRAWABDEH</t>
  </si>
  <si>
    <t>OLWAN</t>
  </si>
  <si>
    <t>Mousa</t>
  </si>
  <si>
    <t>ALTAMARI</t>
  </si>
  <si>
    <t>Odeh</t>
  </si>
  <si>
    <t>FAKHOURY</t>
  </si>
  <si>
    <t>Nour</t>
  </si>
  <si>
    <t>BANIATEYAH</t>
  </si>
  <si>
    <t>ALMARDI</t>
  </si>
  <si>
    <t>Rajaei</t>
  </si>
  <si>
    <t>AYED</t>
  </si>
  <si>
    <t>SADEH</t>
  </si>
  <si>
    <t>ABUALNADI</t>
  </si>
  <si>
    <t>Saleem</t>
  </si>
  <si>
    <t>OBAID</t>
  </si>
  <si>
    <t>Saed</t>
  </si>
  <si>
    <t>ALROSAN</t>
  </si>
  <si>
    <t>Mohannad</t>
  </si>
  <si>
    <t>ABUTAHA</t>
  </si>
  <si>
    <t>Nizar</t>
  </si>
  <si>
    <t>ALRASHDAN</t>
  </si>
  <si>
    <t>ALFAKHORI</t>
  </si>
  <si>
    <t>HADDAD</t>
  </si>
  <si>
    <t>AZAIZEH</t>
  </si>
  <si>
    <t>ALDAOUD</t>
  </si>
  <si>
    <t>Anas</t>
  </si>
  <si>
    <t>BADAWI</t>
  </si>
  <si>
    <t>Seunggyu</t>
  </si>
  <si>
    <t>KIM</t>
  </si>
  <si>
    <t>KOR</t>
  </si>
  <si>
    <t>Hanbeom</t>
  </si>
  <si>
    <t>LEE</t>
  </si>
  <si>
    <t>Gihyuk</t>
  </si>
  <si>
    <t>Minjae</t>
  </si>
  <si>
    <t>Taehyeon</t>
  </si>
  <si>
    <t>Inbeom</t>
  </si>
  <si>
    <t>HWANG</t>
  </si>
  <si>
    <t>Heungmin</t>
  </si>
  <si>
    <t>SON</t>
  </si>
  <si>
    <t>Seungho</t>
  </si>
  <si>
    <t>PAIK</t>
  </si>
  <si>
    <t>Guesung</t>
  </si>
  <si>
    <t>CHO</t>
  </si>
  <si>
    <t>Jaesung</t>
  </si>
  <si>
    <t>Heechan</t>
  </si>
  <si>
    <t>Bumkeun</t>
  </si>
  <si>
    <t>SONG</t>
  </si>
  <si>
    <t>Taeseok</t>
  </si>
  <si>
    <t>Wije</t>
  </si>
  <si>
    <t>Moonhwan</t>
  </si>
  <si>
    <t>Jinseob</t>
  </si>
  <si>
    <t>PARK</t>
  </si>
  <si>
    <t>Junho</t>
  </si>
  <si>
    <t>BAE</t>
  </si>
  <si>
    <t>Hyeongyu</t>
  </si>
  <si>
    <t>OH</t>
  </si>
  <si>
    <t>Kangin</t>
  </si>
  <si>
    <t>Hyunjun</t>
  </si>
  <si>
    <t>YANG</t>
  </si>
  <si>
    <t>Hyeonwoo</t>
  </si>
  <si>
    <t>JO</t>
  </si>
  <si>
    <t>Youngwoo</t>
  </si>
  <si>
    <t>SEOL</t>
  </si>
  <si>
    <t>Jens</t>
  </si>
  <si>
    <t>CASTROP</t>
  </si>
  <si>
    <t>Jingyu</t>
  </si>
  <si>
    <t>Jisung</t>
  </si>
  <si>
    <t>EOM</t>
  </si>
  <si>
    <t>Donggyeong</t>
  </si>
  <si>
    <t>Raul</t>
  </si>
  <si>
    <t>RANGEL</t>
  </si>
  <si>
    <t>MEX</t>
  </si>
  <si>
    <t>Cesar</t>
  </si>
  <si>
    <t>MONTES</t>
  </si>
  <si>
    <t>Edson</t>
  </si>
  <si>
    <t>VASQUEZ</t>
  </si>
  <si>
    <t>Erik</t>
  </si>
  <si>
    <t>LIRA</t>
  </si>
  <si>
    <t>ROMO</t>
  </si>
  <si>
    <t>FIDALGO</t>
  </si>
  <si>
    <t>JIMENEZ</t>
  </si>
  <si>
    <t>VEGA</t>
  </si>
  <si>
    <t>GIMENEZ</t>
  </si>
  <si>
    <t>Carlos</t>
  </si>
  <si>
    <t>ACEVEDO</t>
  </si>
  <si>
    <t>Guillermo</t>
  </si>
  <si>
    <t>OCHOA</t>
  </si>
  <si>
    <t>Israel</t>
  </si>
  <si>
    <t>REYES</t>
  </si>
  <si>
    <t>QUINONES</t>
  </si>
  <si>
    <t>Orbelin</t>
  </si>
  <si>
    <t>PINEDA</t>
  </si>
  <si>
    <t>Obed</t>
  </si>
  <si>
    <t>Gilberto</t>
  </si>
  <si>
    <t>MORA</t>
  </si>
  <si>
    <t>CHAVEZ</t>
  </si>
  <si>
    <t>HUERTA</t>
  </si>
  <si>
    <t>Jesus</t>
  </si>
  <si>
    <t>GALLARDO</t>
  </si>
  <si>
    <t>Roberto</t>
  </si>
  <si>
    <t>ALVARADO</t>
  </si>
  <si>
    <t>GUTIERREZ</t>
  </si>
  <si>
    <t>BOUNOU</t>
  </si>
  <si>
    <t>MAR</t>
  </si>
  <si>
    <t>HAKIMI</t>
  </si>
  <si>
    <t>Noussair</t>
  </si>
  <si>
    <t>MAZRAOUI</t>
  </si>
  <si>
    <t>Sofyan</t>
  </si>
  <si>
    <t>AMRABAT</t>
  </si>
  <si>
    <t>Ayyoub</t>
  </si>
  <si>
    <t>BOUADDI</t>
  </si>
  <si>
    <t>Chemsdine</t>
  </si>
  <si>
    <t>TALBI</t>
  </si>
  <si>
    <t>Azzedine</t>
  </si>
  <si>
    <t>OUNAHI</t>
  </si>
  <si>
    <t>Souane</t>
  </si>
  <si>
    <t>RAHIMI</t>
  </si>
  <si>
    <t>Brahim</t>
  </si>
  <si>
    <t>SAIBARI</t>
  </si>
  <si>
    <t>Munir</t>
  </si>
  <si>
    <t>EL KAJOUI</t>
  </si>
  <si>
    <t>Zakaria</t>
  </si>
  <si>
    <t>EL OUAHDI</t>
  </si>
  <si>
    <t>Issa</t>
  </si>
  <si>
    <t>DIOP</t>
  </si>
  <si>
    <t>EL MOURABET</t>
  </si>
  <si>
    <t>Gessime</t>
  </si>
  <si>
    <t>YASSINE</t>
  </si>
  <si>
    <t>Chadi</t>
  </si>
  <si>
    <t>RIAD</t>
  </si>
  <si>
    <t>BELAMMARI</t>
  </si>
  <si>
    <t>Ayoub</t>
  </si>
  <si>
    <t>EL KAABI</t>
  </si>
  <si>
    <t>AMAIMOUNI</t>
  </si>
  <si>
    <t>Ahmed Reda</t>
  </si>
  <si>
    <t>TAGNAOUTI</t>
  </si>
  <si>
    <t>Bilal</t>
  </si>
  <si>
    <t>EL KHANNOUSS</t>
  </si>
  <si>
    <t>Neil</t>
  </si>
  <si>
    <t>EL AYNAOUI</t>
  </si>
  <si>
    <t>Redouane</t>
  </si>
  <si>
    <t>HALHAL</t>
  </si>
  <si>
    <t>Anass</t>
  </si>
  <si>
    <t>SALAH EDDINE</t>
  </si>
  <si>
    <t>Bart</t>
  </si>
  <si>
    <t>VERBRUGGEN</t>
  </si>
  <si>
    <t>NLD</t>
  </si>
  <si>
    <t>TIMBER</t>
  </si>
  <si>
    <t>Marten</t>
  </si>
  <si>
    <t>DE ROON</t>
  </si>
  <si>
    <t>Virgil</t>
  </si>
  <si>
    <t>VAN DIJK</t>
  </si>
  <si>
    <t>AKE</t>
  </si>
  <si>
    <t>Jan Paul</t>
  </si>
  <si>
    <t>VAN HECKE</t>
  </si>
  <si>
    <t>Justin</t>
  </si>
  <si>
    <t>KLUIVERT</t>
  </si>
  <si>
    <t>GRAVENBERCH</t>
  </si>
  <si>
    <t>Wout</t>
  </si>
  <si>
    <t>WEGHORST</t>
  </si>
  <si>
    <t>Memphis</t>
  </si>
  <si>
    <t>DEPAY</t>
  </si>
  <si>
    <t>Cody</t>
  </si>
  <si>
    <t>GAKPO</t>
  </si>
  <si>
    <t>Mats</t>
  </si>
  <si>
    <t>WIEFFER</t>
  </si>
  <si>
    <t>ROEFS</t>
  </si>
  <si>
    <t>Tijjani</t>
  </si>
  <si>
    <t>REIJNDERS</t>
  </si>
  <si>
    <t>Micky</t>
  </si>
  <si>
    <t>VAN DE VEN</t>
  </si>
  <si>
    <t>Guus</t>
  </si>
  <si>
    <t>TIL</t>
  </si>
  <si>
    <t>Noa</t>
  </si>
  <si>
    <t>LANG</t>
  </si>
  <si>
    <t>Donyell</t>
  </si>
  <si>
    <t>MALEN</t>
  </si>
  <si>
    <t>BROBBEY</t>
  </si>
  <si>
    <t>Teun</t>
  </si>
  <si>
    <t>KOOPMEINERS</t>
  </si>
  <si>
    <t>Frenkie</t>
  </si>
  <si>
    <t>DE JONG</t>
  </si>
  <si>
    <t>Denzel</t>
  </si>
  <si>
    <t>DUMFRIES</t>
  </si>
  <si>
    <t>Mark</t>
  </si>
  <si>
    <t>FLEKKEN</t>
  </si>
  <si>
    <t>Crysencio</t>
  </si>
  <si>
    <t>SUMMERVILLE</t>
  </si>
  <si>
    <t>Jorrel</t>
  </si>
  <si>
    <t>HATO</t>
  </si>
  <si>
    <t>Quinten</t>
  </si>
  <si>
    <t>Max</t>
  </si>
  <si>
    <t>CROCOMBE</t>
  </si>
  <si>
    <t>NZL</t>
  </si>
  <si>
    <t>Tim</t>
  </si>
  <si>
    <t>PAYNE</t>
  </si>
  <si>
    <t>Francis</t>
  </si>
  <si>
    <t>DE VRIES</t>
  </si>
  <si>
    <t>Tyler</t>
  </si>
  <si>
    <t>BINDON</t>
  </si>
  <si>
    <t>BOXALL</t>
  </si>
  <si>
    <t>Joe</t>
  </si>
  <si>
    <t>BELL</t>
  </si>
  <si>
    <t>STAMENIC</t>
  </si>
  <si>
    <t>Chris</t>
  </si>
  <si>
    <t>WOOD</t>
  </si>
  <si>
    <t>Sarpreet</t>
  </si>
  <si>
    <t>SINGH</t>
  </si>
  <si>
    <t>Elijah</t>
  </si>
  <si>
    <t>JUST</t>
  </si>
  <si>
    <t>Alex</t>
  </si>
  <si>
    <t>PAULSEN</t>
  </si>
  <si>
    <t>Liberato</t>
  </si>
  <si>
    <t>CACACE</t>
  </si>
  <si>
    <t>RUFER</t>
  </si>
  <si>
    <t>Nando</t>
  </si>
  <si>
    <t>PIJNAKER</t>
  </si>
  <si>
    <t>Finn</t>
  </si>
  <si>
    <t>SURMAN</t>
  </si>
  <si>
    <t>Kosta</t>
  </si>
  <si>
    <t>BARBAROUSES</t>
  </si>
  <si>
    <t>Ben</t>
  </si>
  <si>
    <t>WAINE</t>
  </si>
  <si>
    <t>OLD</t>
  </si>
  <si>
    <t>Callum</t>
  </si>
  <si>
    <t>McCOWATT</t>
  </si>
  <si>
    <t>Jesse</t>
  </si>
  <si>
    <t>RANDALL</t>
  </si>
  <si>
    <t>WOUD</t>
  </si>
  <si>
    <t>THOMAS</t>
  </si>
  <si>
    <t>Callan</t>
  </si>
  <si>
    <t>ELLIOT</t>
  </si>
  <si>
    <t>Lachlan</t>
  </si>
  <si>
    <t>BAYLISS</t>
  </si>
  <si>
    <t>Tommy</t>
  </si>
  <si>
    <t>SMITH</t>
  </si>
  <si>
    <t>Orjan</t>
  </si>
  <si>
    <t>NYLAND</t>
  </si>
  <si>
    <t>NOR</t>
  </si>
  <si>
    <t>Morten</t>
  </si>
  <si>
    <t>THORSBY</t>
  </si>
  <si>
    <t>Kristoffer</t>
  </si>
  <si>
    <t>AJER</t>
  </si>
  <si>
    <t>Leo</t>
  </si>
  <si>
    <t>OSTIGARD</t>
  </si>
  <si>
    <t>MOLLER WOLFE</t>
  </si>
  <si>
    <t>BERG</t>
  </si>
  <si>
    <t>SORLOTH</t>
  </si>
  <si>
    <t>Sander</t>
  </si>
  <si>
    <t>BERGE</t>
  </si>
  <si>
    <t>Erling</t>
  </si>
  <si>
    <t>HAALAND</t>
  </si>
  <si>
    <t>ODEGAARD</t>
  </si>
  <si>
    <t>Jorgen</t>
  </si>
  <si>
    <t>STRAND LARSEN</t>
  </si>
  <si>
    <t>TANGVIK</t>
  </si>
  <si>
    <t>Egil</t>
  </si>
  <si>
    <t>SELVIK</t>
  </si>
  <si>
    <t>Fredrik</t>
  </si>
  <si>
    <t>AURSNES</t>
  </si>
  <si>
    <t>Fredrik Andre</t>
  </si>
  <si>
    <t>BJORKAN</t>
  </si>
  <si>
    <t>Marcus Holmgren</t>
  </si>
  <si>
    <t>PEDERSEN</t>
  </si>
  <si>
    <t>Torbjorn</t>
  </si>
  <si>
    <t>HEGGEM</t>
  </si>
  <si>
    <t>Kristian</t>
  </si>
  <si>
    <t>THORSTVEDT</t>
  </si>
  <si>
    <t>Thelo</t>
  </si>
  <si>
    <t>AASGAARD</t>
  </si>
  <si>
    <t>NUSA</t>
  </si>
  <si>
    <t>Andreas</t>
  </si>
  <si>
    <t>SCHJELDERUP</t>
  </si>
  <si>
    <t>Oscar</t>
  </si>
  <si>
    <t>BOBB</t>
  </si>
  <si>
    <t>Jens Petter</t>
  </si>
  <si>
    <t>HAUGE</t>
  </si>
  <si>
    <t>Sondre</t>
  </si>
  <si>
    <t>LANGAS</t>
  </si>
  <si>
    <t>Henrik</t>
  </si>
  <si>
    <t>FALCHENER</t>
  </si>
  <si>
    <t>RYERSON</t>
  </si>
  <si>
    <t>MEJIA</t>
  </si>
  <si>
    <t>PAN</t>
  </si>
  <si>
    <t>BLACKMAN</t>
  </si>
  <si>
    <t>Jose</t>
  </si>
  <si>
    <t>Fidel</t>
  </si>
  <si>
    <t>ESCOBAR</t>
  </si>
  <si>
    <t>Edgardo</t>
  </si>
  <si>
    <t>FARINA</t>
  </si>
  <si>
    <t>Jose Luis</t>
  </si>
  <si>
    <t>Adalberto</t>
  </si>
  <si>
    <t>CARRASQUILLA</t>
  </si>
  <si>
    <t>Edgar Yoel</t>
  </si>
  <si>
    <t>BARCENAS</t>
  </si>
  <si>
    <t>SAMUDIO</t>
  </si>
  <si>
    <t>Jiovany</t>
  </si>
  <si>
    <t>RAMOS</t>
  </si>
  <si>
    <t>HARVEY</t>
  </si>
  <si>
    <t>Eric</t>
  </si>
  <si>
    <t>DAVIS</t>
  </si>
  <si>
    <t>ANDRADE</t>
  </si>
  <si>
    <t>FAJARDO</t>
  </si>
  <si>
    <t>Cecilio</t>
  </si>
  <si>
    <t>Alberto</t>
  </si>
  <si>
    <t>Anibal</t>
  </si>
  <si>
    <t>GODOY</t>
  </si>
  <si>
    <t>YANIS</t>
  </si>
  <si>
    <t>Orlando</t>
  </si>
  <si>
    <t>MOSQUERA</t>
  </si>
  <si>
    <t>MURILLO</t>
  </si>
  <si>
    <t>Azarias</t>
  </si>
  <si>
    <t>LONDONO</t>
  </si>
  <si>
    <t>Roderick</t>
  </si>
  <si>
    <t>MILLER</t>
  </si>
  <si>
    <t>Gatito</t>
  </si>
  <si>
    <t>PRY</t>
  </si>
  <si>
    <t>VELAZQUEZ</t>
  </si>
  <si>
    <t>ALDERETE</t>
  </si>
  <si>
    <t>Juan Jose</t>
  </si>
  <si>
    <t>CACERES</t>
  </si>
  <si>
    <t>Fabian</t>
  </si>
  <si>
    <t>BALBUENA</t>
  </si>
  <si>
    <t>Junior</t>
  </si>
  <si>
    <t>ALONSO</t>
  </si>
  <si>
    <t>Ramon</t>
  </si>
  <si>
    <t>SOSA</t>
  </si>
  <si>
    <t>SANABRIA</t>
  </si>
  <si>
    <t>Miguel</t>
  </si>
  <si>
    <t>ALMIRON</t>
  </si>
  <si>
    <t>Mauricio</t>
  </si>
  <si>
    <t>MAURICIO</t>
  </si>
  <si>
    <t>GILL</t>
  </si>
  <si>
    <t>CANALE</t>
  </si>
  <si>
    <t>CUBAS</t>
  </si>
  <si>
    <t>Damian</t>
  </si>
  <si>
    <t>BOBADILLA</t>
  </si>
  <si>
    <t>Alejandro</t>
  </si>
  <si>
    <t>ROMERO GAMARRA</t>
  </si>
  <si>
    <t>ARCE</t>
  </si>
  <si>
    <t>Julio</t>
  </si>
  <si>
    <t>ENCISO</t>
  </si>
  <si>
    <t>Braian</t>
  </si>
  <si>
    <t>OJEDA</t>
  </si>
  <si>
    <t>AVALOS</t>
  </si>
  <si>
    <t>Gaston</t>
  </si>
  <si>
    <t>OLVEIRA</t>
  </si>
  <si>
    <t>GALARZA</t>
  </si>
  <si>
    <t>CABALLERO</t>
  </si>
  <si>
    <t>Isidro</t>
  </si>
  <si>
    <t>PITTA</t>
  </si>
  <si>
    <t>Alexandro</t>
  </si>
  <si>
    <t>MAIDANA</t>
  </si>
  <si>
    <t>Diogo</t>
  </si>
  <si>
    <t>COSTA</t>
  </si>
  <si>
    <t>PRT</t>
  </si>
  <si>
    <t>Nelson</t>
  </si>
  <si>
    <t>SEMEDO</t>
  </si>
  <si>
    <t>DIAS</t>
  </si>
  <si>
    <t>ARAUJO</t>
  </si>
  <si>
    <t>DALOT</t>
  </si>
  <si>
    <t>NUNES</t>
  </si>
  <si>
    <t>Cristiano</t>
  </si>
  <si>
    <t>RONALDO</t>
  </si>
  <si>
    <t>FERNANDES</t>
  </si>
  <si>
    <t>Goncalo</t>
  </si>
  <si>
    <t>Bernardo</t>
  </si>
  <si>
    <t>SILVA</t>
  </si>
  <si>
    <t>Joao</t>
  </si>
  <si>
    <t>FELIX</t>
  </si>
  <si>
    <t>SA</t>
  </si>
  <si>
    <t>Renato</t>
  </si>
  <si>
    <t>VEIGA</t>
  </si>
  <si>
    <t>INACIO</t>
  </si>
  <si>
    <t>NEVES</t>
  </si>
  <si>
    <t>Francisco</t>
  </si>
  <si>
    <t>TRINCAO</t>
  </si>
  <si>
    <t>Rafael</t>
  </si>
  <si>
    <t>LEAO</t>
  </si>
  <si>
    <t>NETO</t>
  </si>
  <si>
    <t>GUEDES</t>
  </si>
  <si>
    <t>CANCELO</t>
  </si>
  <si>
    <t>Rui</t>
  </si>
  <si>
    <t>Vitinha</t>
  </si>
  <si>
    <t>VITINHA</t>
  </si>
  <si>
    <t>Samu</t>
  </si>
  <si>
    <t>MENDES</t>
  </si>
  <si>
    <t>CONCEICAO</t>
  </si>
  <si>
    <t>ABUNADA</t>
  </si>
  <si>
    <t>QAT</t>
  </si>
  <si>
    <t>MIGUEL</t>
  </si>
  <si>
    <t>Issa Laye</t>
  </si>
  <si>
    <t>GUEYE</t>
  </si>
  <si>
    <t>Jassem</t>
  </si>
  <si>
    <t>GABER</t>
  </si>
  <si>
    <t>Abdulaziz</t>
  </si>
  <si>
    <t>HATEM</t>
  </si>
  <si>
    <t>ALAAELDIN</t>
  </si>
  <si>
    <t>Edmilson Junior</t>
  </si>
  <si>
    <t>EDMILSON JUNIOR</t>
  </si>
  <si>
    <t>Mohammed</t>
  </si>
  <si>
    <t>MUNTARI</t>
  </si>
  <si>
    <t>Hassan</t>
  </si>
  <si>
    <t>ALHAYDOS</t>
  </si>
  <si>
    <t>Akram</t>
  </si>
  <si>
    <t>AFIF</t>
  </si>
  <si>
    <t>BOUDIAF</t>
  </si>
  <si>
    <t>ALOUI</t>
  </si>
  <si>
    <t>Homam</t>
  </si>
  <si>
    <t>Yusuf</t>
  </si>
  <si>
    <t>ABDURISAG</t>
  </si>
  <si>
    <t>Boualem</t>
  </si>
  <si>
    <t>KHOUKHI</t>
  </si>
  <si>
    <t>ALGANEHI</t>
  </si>
  <si>
    <t>Sultan</t>
  </si>
  <si>
    <t>ALBRAKE</t>
  </si>
  <si>
    <t>Almoez</t>
  </si>
  <si>
    <t>Salah</t>
  </si>
  <si>
    <t>ZAKARIA</t>
  </si>
  <si>
    <t>Meshaal</t>
  </si>
  <si>
    <t>BARSHAM</t>
  </si>
  <si>
    <t>Assim</t>
  </si>
  <si>
    <t>MADIBO</t>
  </si>
  <si>
    <t>Tahsin</t>
  </si>
  <si>
    <t>JAMSHID</t>
  </si>
  <si>
    <t>Alhashmi</t>
  </si>
  <si>
    <t>ALHUSSEIN</t>
  </si>
  <si>
    <t>MANAI</t>
  </si>
  <si>
    <t>Nawaf</t>
  </si>
  <si>
    <t>ALAQIDI</t>
  </si>
  <si>
    <t>SAU</t>
  </si>
  <si>
    <t>MAJRASHI</t>
  </si>
  <si>
    <t>LAJAMI</t>
  </si>
  <si>
    <t>Abdulelah</t>
  </si>
  <si>
    <t>ALAMRI</t>
  </si>
  <si>
    <t>ALTAMBAKTI</t>
  </si>
  <si>
    <t>Nasser</t>
  </si>
  <si>
    <t>ALDAWSARI</t>
  </si>
  <si>
    <t>Musab</t>
  </si>
  <si>
    <t>ALJUWAYR</t>
  </si>
  <si>
    <t>Aiman</t>
  </si>
  <si>
    <t>Feras</t>
  </si>
  <si>
    <t>ALBRIKAN</t>
  </si>
  <si>
    <t>Salem</t>
  </si>
  <si>
    <t>ALSHEHRI</t>
  </si>
  <si>
    <t>Saud</t>
  </si>
  <si>
    <t>ABDULHAMID</t>
  </si>
  <si>
    <t>BU WASHL</t>
  </si>
  <si>
    <t>KADISH</t>
  </si>
  <si>
    <t>Abdullah</t>
  </si>
  <si>
    <t>ALKHAIBARI</t>
  </si>
  <si>
    <t>Ziyad</t>
  </si>
  <si>
    <t>ALJOHANI</t>
  </si>
  <si>
    <t>Khalid</t>
  </si>
  <si>
    <t>ALGHANNAM</t>
  </si>
  <si>
    <t>Ala</t>
  </si>
  <si>
    <t>ALHAJJI</t>
  </si>
  <si>
    <t>ALHAMDDAN</t>
  </si>
  <si>
    <t>MANDASH</t>
  </si>
  <si>
    <t>ALOWAIS</t>
  </si>
  <si>
    <t>ALKASSAR</t>
  </si>
  <si>
    <t>KANNO</t>
  </si>
  <si>
    <t>Moteb</t>
  </si>
  <si>
    <t>ALHARBI</t>
  </si>
  <si>
    <t>Jehad</t>
  </si>
  <si>
    <t>THIKRI</t>
  </si>
  <si>
    <t>ABU ALSHAMAT</t>
  </si>
  <si>
    <t>Angus</t>
  </si>
  <si>
    <t>GUNN</t>
  </si>
  <si>
    <t>SCO</t>
  </si>
  <si>
    <t>HICKEY</t>
  </si>
  <si>
    <t>Andy</t>
  </si>
  <si>
    <t>ROBERTSON</t>
  </si>
  <si>
    <t>Scott</t>
  </si>
  <si>
    <t>McTOMINAY</t>
  </si>
  <si>
    <t>Grant</t>
  </si>
  <si>
    <t>HANLEY</t>
  </si>
  <si>
    <t>Kieran</t>
  </si>
  <si>
    <t>TIERNEY</t>
  </si>
  <si>
    <t>McGINN</t>
  </si>
  <si>
    <t>FLETCHER</t>
  </si>
  <si>
    <t>Lyndon</t>
  </si>
  <si>
    <t>DYKES</t>
  </si>
  <si>
    <t>Che</t>
  </si>
  <si>
    <t>ADAMS</t>
  </si>
  <si>
    <t>CHRISTIE</t>
  </si>
  <si>
    <t>KELLY</t>
  </si>
  <si>
    <t>Jack</t>
  </si>
  <si>
    <t>HENDRY</t>
  </si>
  <si>
    <t>Ross</t>
  </si>
  <si>
    <t>STEWART</t>
  </si>
  <si>
    <t>Dominic</t>
  </si>
  <si>
    <t>HYAM</t>
  </si>
  <si>
    <t>GANNON-DOAK</t>
  </si>
  <si>
    <t>George</t>
  </si>
  <si>
    <t>HIRST</t>
  </si>
  <si>
    <t>Lewis</t>
  </si>
  <si>
    <t>FERGUSON</t>
  </si>
  <si>
    <t>Lawrence</t>
  </si>
  <si>
    <t>SHANKLAND</t>
  </si>
  <si>
    <t>Craig</t>
  </si>
  <si>
    <t>PATTERSON</t>
  </si>
  <si>
    <t>Kenny</t>
  </si>
  <si>
    <t>McLEAN</t>
  </si>
  <si>
    <t>RALSTON</t>
  </si>
  <si>
    <t>Findlay</t>
  </si>
  <si>
    <t>CURTIS</t>
  </si>
  <si>
    <t>McKENNA</t>
  </si>
  <si>
    <t>Yehvann</t>
  </si>
  <si>
    <t>DIOUF</t>
  </si>
  <si>
    <t>SEN</t>
  </si>
  <si>
    <t>Mamadou</t>
  </si>
  <si>
    <t>SARR</t>
  </si>
  <si>
    <t>Kalidou</t>
  </si>
  <si>
    <t>KOULIBALY</t>
  </si>
  <si>
    <t>Abdoulaye</t>
  </si>
  <si>
    <t>SECK</t>
  </si>
  <si>
    <t>Idrissa</t>
  </si>
  <si>
    <t>Pathe</t>
  </si>
  <si>
    <t>CISS</t>
  </si>
  <si>
    <t>Assane</t>
  </si>
  <si>
    <t>DIAO</t>
  </si>
  <si>
    <t>Lamine</t>
  </si>
  <si>
    <t>CAMARA</t>
  </si>
  <si>
    <t>Bamba</t>
  </si>
  <si>
    <t>DIENG</t>
  </si>
  <si>
    <t>Sadio</t>
  </si>
  <si>
    <t>MANE</t>
  </si>
  <si>
    <t>JACKSON</t>
  </si>
  <si>
    <t>Pape Cherif</t>
  </si>
  <si>
    <t>NDIAYE</t>
  </si>
  <si>
    <t>Iliman</t>
  </si>
  <si>
    <t>Ismail</t>
  </si>
  <si>
    <t>JAKOBS</t>
  </si>
  <si>
    <t>Krepin</t>
  </si>
  <si>
    <t>DIATTA</t>
  </si>
  <si>
    <t>Edouard</t>
  </si>
  <si>
    <t>MENDY</t>
  </si>
  <si>
    <t>Pape Matar</t>
  </si>
  <si>
    <t>Ismaila</t>
  </si>
  <si>
    <t>Moussa</t>
  </si>
  <si>
    <t>NIAKHATE</t>
  </si>
  <si>
    <t>MBAYE</t>
  </si>
  <si>
    <t>Habib</t>
  </si>
  <si>
    <t>DIARRA</t>
  </si>
  <si>
    <t>Bara Sapoko</t>
  </si>
  <si>
    <t>Mory</t>
  </si>
  <si>
    <t>DIAW</t>
  </si>
  <si>
    <t>El Hadji Malick</t>
  </si>
  <si>
    <t>Pape</t>
  </si>
  <si>
    <t>Ronwen</t>
  </si>
  <si>
    <t>ZAF</t>
  </si>
  <si>
    <t>Thabang</t>
  </si>
  <si>
    <t>MATULUDI</t>
  </si>
  <si>
    <t>Khulumani</t>
  </si>
  <si>
    <t>NDAMANE</t>
  </si>
  <si>
    <t>Teboho</t>
  </si>
  <si>
    <t>MOKOENA</t>
  </si>
  <si>
    <t>Thalente</t>
  </si>
  <si>
    <t>MBATHA</t>
  </si>
  <si>
    <t>Aubrey</t>
  </si>
  <si>
    <t>MODIBA</t>
  </si>
  <si>
    <t>Oswin</t>
  </si>
  <si>
    <t>APPOLLIS</t>
  </si>
  <si>
    <t>Tshepang</t>
  </si>
  <si>
    <t>MOREMI</t>
  </si>
  <si>
    <t>Lyle</t>
  </si>
  <si>
    <t>FOSTER</t>
  </si>
  <si>
    <t>Relebohile</t>
  </si>
  <si>
    <t>MOFOKENG</t>
  </si>
  <si>
    <t>Themba</t>
  </si>
  <si>
    <t>ZWANE</t>
  </si>
  <si>
    <t>Thapelo</t>
  </si>
  <si>
    <t>MASEKO</t>
  </si>
  <si>
    <t>Sphephelo</t>
  </si>
  <si>
    <t>SITHOLE</t>
  </si>
  <si>
    <t>Mbekezeli</t>
  </si>
  <si>
    <t>MBOKAZI</t>
  </si>
  <si>
    <t>Iqraam</t>
  </si>
  <si>
    <t>RAYNERS</t>
  </si>
  <si>
    <t>Sipho</t>
  </si>
  <si>
    <t>CHAINE</t>
  </si>
  <si>
    <t>Evidence</t>
  </si>
  <si>
    <t>MAKGOPA</t>
  </si>
  <si>
    <t>Samukelo</t>
  </si>
  <si>
    <t>KABINI</t>
  </si>
  <si>
    <t>Nkosinathi</t>
  </si>
  <si>
    <t>SIBISI</t>
  </si>
  <si>
    <t>Khuliso</t>
  </si>
  <si>
    <t>MUDAU</t>
  </si>
  <si>
    <t>Ime</t>
  </si>
  <si>
    <t>OKON</t>
  </si>
  <si>
    <t>GOSS</t>
  </si>
  <si>
    <t>Jayden</t>
  </si>
  <si>
    <t>Olwethu</t>
  </si>
  <si>
    <t>MAKHANYA</t>
  </si>
  <si>
    <t>Kamogelo</t>
  </si>
  <si>
    <t>SEBELEBELE</t>
  </si>
  <si>
    <t>CROSS</t>
  </si>
  <si>
    <t>RAYA</t>
  </si>
  <si>
    <t>ESP</t>
  </si>
  <si>
    <t>PUBILL</t>
  </si>
  <si>
    <t>GRIMALDO</t>
  </si>
  <si>
    <t>GARCIA</t>
  </si>
  <si>
    <t>Marcos</t>
  </si>
  <si>
    <t>LLORENTE</t>
  </si>
  <si>
    <t>Mikel</t>
  </si>
  <si>
    <t>MERINO</t>
  </si>
  <si>
    <t>Ferran</t>
  </si>
  <si>
    <t>RUIZ</t>
  </si>
  <si>
    <t>Gavi</t>
  </si>
  <si>
    <t>GAVI</t>
  </si>
  <si>
    <t>Dani</t>
  </si>
  <si>
    <t>OLMO</t>
  </si>
  <si>
    <t>Yeremy</t>
  </si>
  <si>
    <t>PINO</t>
  </si>
  <si>
    <t>PORRO</t>
  </si>
  <si>
    <t>Joan</t>
  </si>
  <si>
    <t>Aymeric</t>
  </si>
  <si>
    <t>LAPORTE</t>
  </si>
  <si>
    <t>BAENA</t>
  </si>
  <si>
    <t>Rodri</t>
  </si>
  <si>
    <t>RODRI</t>
  </si>
  <si>
    <t>ZUBIMENDI</t>
  </si>
  <si>
    <t>YAMAL</t>
  </si>
  <si>
    <t>Pedri</t>
  </si>
  <si>
    <t>PEDRI</t>
  </si>
  <si>
    <t>OYARZABAL</t>
  </si>
  <si>
    <t>Pau</t>
  </si>
  <si>
    <t>CUBARSI</t>
  </si>
  <si>
    <t>Unai</t>
  </si>
  <si>
    <t>CUCURELLA</t>
  </si>
  <si>
    <t>Victor</t>
  </si>
  <si>
    <t>Borja</t>
  </si>
  <si>
    <t>IGLESIAS</t>
  </si>
  <si>
    <t>WIDELL ZETTERSTROM</t>
  </si>
  <si>
    <t>SWE</t>
  </si>
  <si>
    <t>Gustaf</t>
  </si>
  <si>
    <t>LAGERBIELKE</t>
  </si>
  <si>
    <t>LINDELOF</t>
  </si>
  <si>
    <t>Isak</t>
  </si>
  <si>
    <t>HIEN</t>
  </si>
  <si>
    <t>GUDMUNDSSON</t>
  </si>
  <si>
    <t>Herman</t>
  </si>
  <si>
    <t>JOHANSSON</t>
  </si>
  <si>
    <t>BERGVALL</t>
  </si>
  <si>
    <t>SVENSSON</t>
  </si>
  <si>
    <t>ISAK</t>
  </si>
  <si>
    <t>NYGREN</t>
  </si>
  <si>
    <t>ELANGA</t>
  </si>
  <si>
    <t>Viktor</t>
  </si>
  <si>
    <t>Ken</t>
  </si>
  <si>
    <t>SEMA</t>
  </si>
  <si>
    <t>Hjalmar</t>
  </si>
  <si>
    <t>EKDAL</t>
  </si>
  <si>
    <t>STARFELT</t>
  </si>
  <si>
    <t>Jesper</t>
  </si>
  <si>
    <t>KARLSTROM</t>
  </si>
  <si>
    <t>GYOKERES</t>
  </si>
  <si>
    <t>Yasin</t>
  </si>
  <si>
    <t>AYARI</t>
  </si>
  <si>
    <t>Mattias</t>
  </si>
  <si>
    <t>SVANBERG</t>
  </si>
  <si>
    <t>BERNHARDSSON</t>
  </si>
  <si>
    <t>Besfort</t>
  </si>
  <si>
    <t>ZENELI</t>
  </si>
  <si>
    <t>NORDFELDT</t>
  </si>
  <si>
    <t>STROUD</t>
  </si>
  <si>
    <t>NILSSON</t>
  </si>
  <si>
    <t>Taha</t>
  </si>
  <si>
    <t>Gregor</t>
  </si>
  <si>
    <t>KOBEL</t>
  </si>
  <si>
    <t>CHE</t>
  </si>
  <si>
    <t>Miro</t>
  </si>
  <si>
    <t>MUHEIM</t>
  </si>
  <si>
    <t>Silvan</t>
  </si>
  <si>
    <t>WIDMER</t>
  </si>
  <si>
    <t>ELVEDI</t>
  </si>
  <si>
    <t>AKANJI</t>
  </si>
  <si>
    <t>Breel</t>
  </si>
  <si>
    <t>EMBOLO</t>
  </si>
  <si>
    <t>Remo</t>
  </si>
  <si>
    <t>FREULER</t>
  </si>
  <si>
    <t>MANZAMBI</t>
  </si>
  <si>
    <t>Granit</t>
  </si>
  <si>
    <t>XHAKA</t>
  </si>
  <si>
    <t>NDOYE</t>
  </si>
  <si>
    <t>Yvon</t>
  </si>
  <si>
    <t>MVOGO</t>
  </si>
  <si>
    <t>Ardon</t>
  </si>
  <si>
    <t>JASHARI</t>
  </si>
  <si>
    <t>Djibril</t>
  </si>
  <si>
    <t>SOW</t>
  </si>
  <si>
    <t>Christian</t>
  </si>
  <si>
    <t>FASSNACHT</t>
  </si>
  <si>
    <t>Eray</t>
  </si>
  <si>
    <t>COEMERT</t>
  </si>
  <si>
    <t>OKAFOR</t>
  </si>
  <si>
    <t>Michel</t>
  </si>
  <si>
    <t>AEBISCHER</t>
  </si>
  <si>
    <t>KELLER</t>
  </si>
  <si>
    <t>RIEDER</t>
  </si>
  <si>
    <t>Zeki</t>
  </si>
  <si>
    <t>AMDOUNI</t>
  </si>
  <si>
    <t>Aurele</t>
  </si>
  <si>
    <t>AMENDA</t>
  </si>
  <si>
    <t>JAQUEZ</t>
  </si>
  <si>
    <t>ITTEN</t>
  </si>
  <si>
    <t>Mouhib</t>
  </si>
  <si>
    <t>CHAMAKH</t>
  </si>
  <si>
    <t>TUN</t>
  </si>
  <si>
    <t>ABDI</t>
  </si>
  <si>
    <t>Montassar</t>
  </si>
  <si>
    <t>REKIK</t>
  </si>
  <si>
    <t>AROUS</t>
  </si>
  <si>
    <t>BRONN</t>
  </si>
  <si>
    <t>Elias</t>
  </si>
  <si>
    <t>ACHOURI</t>
  </si>
  <si>
    <t>SAAD</t>
  </si>
  <si>
    <t>Hazem</t>
  </si>
  <si>
    <t>MASTOURI</t>
  </si>
  <si>
    <t>Hannibal</t>
  </si>
  <si>
    <t>MEJBRI</t>
  </si>
  <si>
    <t>GHARBI</t>
  </si>
  <si>
    <t>Mortadha</t>
  </si>
  <si>
    <t>BEN OUANES</t>
  </si>
  <si>
    <t>Rani</t>
  </si>
  <si>
    <t>KHEDIRA</t>
  </si>
  <si>
    <t>Khalil</t>
  </si>
  <si>
    <t>HADJ MAHMOUD</t>
  </si>
  <si>
    <t>DAHMEN</t>
  </si>
  <si>
    <t>Ellyes</t>
  </si>
  <si>
    <t>SKHIRI</t>
  </si>
  <si>
    <t>ELLOUMI</t>
  </si>
  <si>
    <t>Firas</t>
  </si>
  <si>
    <t>CHAOUAT</t>
  </si>
  <si>
    <t>VALERY</t>
  </si>
  <si>
    <t>BEN HMIDA</t>
  </si>
  <si>
    <t>Sabri</t>
  </si>
  <si>
    <t>BEN HESSEN</t>
  </si>
  <si>
    <t>Moutaz</t>
  </si>
  <si>
    <t>NEFFATI</t>
  </si>
  <si>
    <t>Raed</t>
  </si>
  <si>
    <t>CHIKHAOUI</t>
  </si>
  <si>
    <t>SLIMANE</t>
  </si>
  <si>
    <t>Sebastian</t>
  </si>
  <si>
    <t>TOUNEKTI</t>
  </si>
  <si>
    <t>Mert</t>
  </si>
  <si>
    <t>GUNOK</t>
  </si>
  <si>
    <t>TUR</t>
  </si>
  <si>
    <t>Merih</t>
  </si>
  <si>
    <t>DEMIRAL</t>
  </si>
  <si>
    <t>Caglar</t>
  </si>
  <si>
    <t>SOYUNCU</t>
  </si>
  <si>
    <t>Salih</t>
  </si>
  <si>
    <t>OZCAN</t>
  </si>
  <si>
    <t>Orkun</t>
  </si>
  <si>
    <t>KOKCU</t>
  </si>
  <si>
    <t>Kerem</t>
  </si>
  <si>
    <t>AKTURKOGLU</t>
  </si>
  <si>
    <t>Arda</t>
  </si>
  <si>
    <t>GULER</t>
  </si>
  <si>
    <t>GUL</t>
  </si>
  <si>
    <t>Hakan</t>
  </si>
  <si>
    <t>CALHANOGLU</t>
  </si>
  <si>
    <t>Kenan</t>
  </si>
  <si>
    <t>YILDIZ</t>
  </si>
  <si>
    <t>Altay</t>
  </si>
  <si>
    <t>BAYINDIR</t>
  </si>
  <si>
    <t>Eren</t>
  </si>
  <si>
    <t>ELMALI</t>
  </si>
  <si>
    <t>Abdulkerim</t>
  </si>
  <si>
    <t>BARDAKCI</t>
  </si>
  <si>
    <t>Ozan</t>
  </si>
  <si>
    <t>KABAK</t>
  </si>
  <si>
    <t>YUKSEK</t>
  </si>
  <si>
    <t>Irfan Can</t>
  </si>
  <si>
    <t>KAHVECI</t>
  </si>
  <si>
    <t>MULDUR</t>
  </si>
  <si>
    <t>Yunus</t>
  </si>
  <si>
    <t>AKGUN</t>
  </si>
  <si>
    <t>Ferdi</t>
  </si>
  <si>
    <t>KADIOGLU</t>
  </si>
  <si>
    <t>Baris Alper</t>
  </si>
  <si>
    <t>YILMAZ</t>
  </si>
  <si>
    <t>Kaan</t>
  </si>
  <si>
    <t>AYHAN</t>
  </si>
  <si>
    <t>Ugurcan</t>
  </si>
  <si>
    <t>CAKIR</t>
  </si>
  <si>
    <t>Oguz</t>
  </si>
  <si>
    <t>AYDIN</t>
  </si>
  <si>
    <t>Samet</t>
  </si>
  <si>
    <t>AKAYDIN</t>
  </si>
  <si>
    <t>Can</t>
  </si>
  <si>
    <t>UZUN</t>
  </si>
  <si>
    <t>Sergio</t>
  </si>
  <si>
    <t>ROCHET</t>
  </si>
  <si>
    <t>URY</t>
  </si>
  <si>
    <t>Jose Maria</t>
  </si>
  <si>
    <t>Ronald</t>
  </si>
  <si>
    <t>UGARTE</t>
  </si>
  <si>
    <t>BENTANCUR</t>
  </si>
  <si>
    <t>DE LA CRUZ</t>
  </si>
  <si>
    <t>Federico</t>
  </si>
  <si>
    <t>VALVERDE</t>
  </si>
  <si>
    <t>Darwin</t>
  </si>
  <si>
    <t>NUNEZ</t>
  </si>
  <si>
    <t>Giorgian</t>
  </si>
  <si>
    <t>DE ARRASCAETA</t>
  </si>
  <si>
    <t>PELLISTRI</t>
  </si>
  <si>
    <t>MELE</t>
  </si>
  <si>
    <t>VARELA</t>
  </si>
  <si>
    <t>Agustin</t>
  </si>
  <si>
    <t>CANOBBIO</t>
  </si>
  <si>
    <t>Mathias</t>
  </si>
  <si>
    <t>OLIVERA</t>
  </si>
  <si>
    <t>VINA</t>
  </si>
  <si>
    <t>AGUIRRE</t>
  </si>
  <si>
    <t>Maxi</t>
  </si>
  <si>
    <t>VINAS</t>
  </si>
  <si>
    <t>PIQUEREZ</t>
  </si>
  <si>
    <t>Fernando</t>
  </si>
  <si>
    <t>MUSLERA</t>
  </si>
  <si>
    <t>BUENO</t>
  </si>
  <si>
    <t>Juan Manuel</t>
  </si>
  <si>
    <t>ZALAZAR</t>
  </si>
  <si>
    <t>Matt</t>
  </si>
  <si>
    <t>TURNER</t>
  </si>
  <si>
    <t>USA</t>
  </si>
  <si>
    <t>Sergino</t>
  </si>
  <si>
    <t>DEST</t>
  </si>
  <si>
    <t>RICHARDS</t>
  </si>
  <si>
    <t>Antonee</t>
  </si>
  <si>
    <t>ROBINSON</t>
  </si>
  <si>
    <t>Auston</t>
  </si>
  <si>
    <t>TRUSTY</t>
  </si>
  <si>
    <t>Giovanni</t>
  </si>
  <si>
    <t>REYNA</t>
  </si>
  <si>
    <t>Weston</t>
  </si>
  <si>
    <t>McKENNIE</t>
  </si>
  <si>
    <t>PEPI</t>
  </si>
  <si>
    <t>PULISIC</t>
  </si>
  <si>
    <t>Brenden</t>
  </si>
  <si>
    <t>AARONSON</t>
  </si>
  <si>
    <t>Miles</t>
  </si>
  <si>
    <t>REAM</t>
  </si>
  <si>
    <t>BERHALTER</t>
  </si>
  <si>
    <t>ROLDAN</t>
  </si>
  <si>
    <t>FREEMAN</t>
  </si>
  <si>
    <t>Malik</t>
  </si>
  <si>
    <t>TILLMAN</t>
  </si>
  <si>
    <t>ARFSTEN</t>
  </si>
  <si>
    <t>Haji</t>
  </si>
  <si>
    <t>WRIGHT</t>
  </si>
  <si>
    <t>Folarin</t>
  </si>
  <si>
    <t>BALOGUN</t>
  </si>
  <si>
    <t>WEAH</t>
  </si>
  <si>
    <t>McKENZIE</t>
  </si>
  <si>
    <t>SCALLY</t>
  </si>
  <si>
    <t>FREESE</t>
  </si>
  <si>
    <t>BRADY</t>
  </si>
  <si>
    <t>ZENDEJAS</t>
  </si>
  <si>
    <t>Utkir</t>
  </si>
  <si>
    <t>YUSUPOV</t>
  </si>
  <si>
    <t>UZB</t>
  </si>
  <si>
    <t>Abdukodir</t>
  </si>
  <si>
    <t>KHUSANOV</t>
  </si>
  <si>
    <t>Khojiakbar</t>
  </si>
  <si>
    <t>ALIJONOV</t>
  </si>
  <si>
    <t>Farrukh</t>
  </si>
  <si>
    <t>SAYFIEV</t>
  </si>
  <si>
    <t>Rustam</t>
  </si>
  <si>
    <t>ASHURMATOV</t>
  </si>
  <si>
    <t>Akmal</t>
  </si>
  <si>
    <t>MOZGOVOY</t>
  </si>
  <si>
    <t>Otabek</t>
  </si>
  <si>
    <t>SHUKUROV</t>
  </si>
  <si>
    <t>Jamshid</t>
  </si>
  <si>
    <t>ISKANDEROV</t>
  </si>
  <si>
    <t>Odiljon</t>
  </si>
  <si>
    <t>XAMROBEKOV</t>
  </si>
  <si>
    <t>Jaloliddin</t>
  </si>
  <si>
    <t>MASHARIPOV</t>
  </si>
  <si>
    <t>Oston</t>
  </si>
  <si>
    <t>URUNOV</t>
  </si>
  <si>
    <t>Abduvohid</t>
  </si>
  <si>
    <t>NEMATOV</t>
  </si>
  <si>
    <t>Sherzod</t>
  </si>
  <si>
    <t>NASRULLAEV</t>
  </si>
  <si>
    <t>Eldor</t>
  </si>
  <si>
    <t>SHOMURODOV</t>
  </si>
  <si>
    <t>Umar</t>
  </si>
  <si>
    <t>ESHMURODOV</t>
  </si>
  <si>
    <t>Botirali</t>
  </si>
  <si>
    <t>ERGASHEV</t>
  </si>
  <si>
    <t>Dostonbek</t>
  </si>
  <si>
    <t>KHAMDAMOV</t>
  </si>
  <si>
    <t>Abdulla</t>
  </si>
  <si>
    <t>ABDULLAEV</t>
  </si>
  <si>
    <t>Azizjon</t>
  </si>
  <si>
    <t>GANIEV</t>
  </si>
  <si>
    <t>Azizbek</t>
  </si>
  <si>
    <t>AMONOV</t>
  </si>
  <si>
    <t>SERGEEV</t>
  </si>
  <si>
    <t>Abbosbek</t>
  </si>
  <si>
    <t>FAYZULLAEV</t>
  </si>
  <si>
    <t>ESANOV</t>
  </si>
  <si>
    <t>Behruzjon</t>
  </si>
  <si>
    <t>KARIMOV</t>
  </si>
  <si>
    <t>Avazbek</t>
  </si>
  <si>
    <t>ULMASALIYEV</t>
  </si>
  <si>
    <t>Jakhongir</t>
  </si>
  <si>
    <t>UROZOV</t>
  </si>
  <si>
    <t>matchnumber</t>
  </si>
  <si>
    <t>game25</t>
  </si>
  <si>
    <t>game28</t>
  </si>
  <si>
    <t>game53</t>
  </si>
  <si>
    <t>game54</t>
  </si>
  <si>
    <t>game26</t>
  </si>
  <si>
    <t>game27</t>
  </si>
  <si>
    <t>game51</t>
  </si>
  <si>
    <t>game52</t>
  </si>
  <si>
    <t>game30</t>
  </si>
  <si>
    <t>game29</t>
  </si>
  <si>
    <t>game49</t>
  </si>
  <si>
    <t>game50</t>
  </si>
  <si>
    <t>game32</t>
  </si>
  <si>
    <t>game31</t>
  </si>
  <si>
    <t>game59</t>
  </si>
  <si>
    <t>game60</t>
  </si>
  <si>
    <t>game10</t>
  </si>
  <si>
    <t>game33</t>
  </si>
  <si>
    <t>game34</t>
  </si>
  <si>
    <t>game55</t>
  </si>
  <si>
    <t>game56</t>
  </si>
  <si>
    <t>game11</t>
  </si>
  <si>
    <t>game12</t>
  </si>
  <si>
    <t>game35</t>
  </si>
  <si>
    <t>game36</t>
  </si>
  <si>
    <t>game57</t>
  </si>
  <si>
    <t>game58</t>
  </si>
  <si>
    <t>game15</t>
  </si>
  <si>
    <t>game16</t>
  </si>
  <si>
    <t>game39</t>
  </si>
  <si>
    <t>game40</t>
  </si>
  <si>
    <t>game64</t>
  </si>
  <si>
    <t>game63</t>
  </si>
  <si>
    <t>game13</t>
  </si>
  <si>
    <t>game14</t>
  </si>
  <si>
    <t>game37</t>
  </si>
  <si>
    <t>game38</t>
  </si>
  <si>
    <t>game66</t>
  </si>
  <si>
    <t>game65</t>
  </si>
  <si>
    <t>game17</t>
  </si>
  <si>
    <t>game18</t>
  </si>
  <si>
    <t>game41</t>
  </si>
  <si>
    <t>game42</t>
  </si>
  <si>
    <t>game61</t>
  </si>
  <si>
    <t>game62</t>
  </si>
  <si>
    <t>game19</t>
  </si>
  <si>
    <t>game20</t>
  </si>
  <si>
    <t>game43</t>
  </si>
  <si>
    <t>game44</t>
  </si>
  <si>
    <t>game70</t>
  </si>
  <si>
    <t>game69</t>
  </si>
  <si>
    <t>game23</t>
  </si>
  <si>
    <t>game24</t>
  </si>
  <si>
    <t>game47</t>
  </si>
  <si>
    <t>game48</t>
  </si>
  <si>
    <t>game71</t>
  </si>
  <si>
    <t>game72</t>
  </si>
  <si>
    <t>game21</t>
  </si>
  <si>
    <t>game22</t>
  </si>
  <si>
    <t>game45</t>
  </si>
  <si>
    <t>game46</t>
  </si>
  <si>
    <t>game67</t>
  </si>
  <si>
    <t>game68</t>
  </si>
  <si>
    <t>game73</t>
  </si>
  <si>
    <t>game74</t>
  </si>
  <si>
    <t>game75</t>
  </si>
  <si>
    <t>game76</t>
  </si>
  <si>
    <t>game77</t>
  </si>
  <si>
    <t>game78</t>
  </si>
  <si>
    <t>game79</t>
  </si>
  <si>
    <t>game80</t>
  </si>
  <si>
    <t>game81</t>
  </si>
  <si>
    <t>game82</t>
  </si>
  <si>
    <t>game83</t>
  </si>
  <si>
    <t>game84</t>
  </si>
  <si>
    <t>game85</t>
  </si>
  <si>
    <t>game86</t>
  </si>
  <si>
    <t>game87</t>
  </si>
  <si>
    <t>game88</t>
  </si>
  <si>
    <t>game89</t>
  </si>
  <si>
    <t>game90</t>
  </si>
  <si>
    <t>game91</t>
  </si>
  <si>
    <t>game92</t>
  </si>
  <si>
    <t>game93</t>
  </si>
  <si>
    <t>game94</t>
  </si>
  <si>
    <t>game95</t>
  </si>
  <si>
    <t>game96</t>
  </si>
  <si>
    <t>game97</t>
  </si>
  <si>
    <t>game98</t>
  </si>
  <si>
    <t>game99</t>
  </si>
  <si>
    <t>game100</t>
  </si>
  <si>
    <t>game101</t>
  </si>
  <si>
    <t>game102</t>
  </si>
  <si>
    <t>game103</t>
  </si>
  <si>
    <t>game104</t>
  </si>
  <si>
    <t>Resultcode</t>
  </si>
  <si>
    <t>Ivory Coast vs Ecuador</t>
  </si>
  <si>
    <t>Germany vs Ivory Coast</t>
  </si>
  <si>
    <t>Curaçao vs Ivory Coast</t>
  </si>
  <si>
    <t>game01</t>
  </si>
  <si>
    <t>game02</t>
  </si>
  <si>
    <t>game03</t>
  </si>
  <si>
    <t>game08</t>
  </si>
  <si>
    <t>game07</t>
  </si>
  <si>
    <t>game05</t>
  </si>
  <si>
    <t>game04</t>
  </si>
  <si>
    <t>game06</t>
  </si>
  <si>
    <t>game09</t>
  </si>
  <si>
    <t>22:00</t>
  </si>
  <si>
    <t>03:00</t>
  </si>
  <si>
    <t>21:00</t>
  </si>
  <si>
    <t>04:00</t>
  </si>
  <si>
    <t>01:00</t>
  </si>
  <si>
    <t>20:00</t>
  </si>
  <si>
    <t>23:00</t>
  </si>
  <si>
    <t>02:00</t>
  </si>
  <si>
    <t>05:00</t>
  </si>
  <si>
    <t>00:00</t>
  </si>
  <si>
    <t>06:00</t>
  </si>
  <si>
    <t>07:00</t>
  </si>
  <si>
    <t>Time</t>
  </si>
  <si>
    <t>2-0</t>
  </si>
  <si>
    <t>2-1</t>
  </si>
  <si>
    <t>MEX9, MEX16</t>
  </si>
  <si>
    <t>CZE7, KOR6, KOR18</t>
  </si>
  <si>
    <t>ResultGame</t>
  </si>
  <si>
    <t>ScorerGame</t>
  </si>
  <si>
    <t>DiffGame</t>
  </si>
  <si>
    <t>1-1</t>
  </si>
  <si>
    <t>4-1</t>
  </si>
  <si>
    <t>BIH25, CAN9</t>
  </si>
  <si>
    <t>OG, USA20, USA20, PRY11, USA7</t>
  </si>
  <si>
    <t>19:00</t>
  </si>
  <si>
    <t>03:30</t>
  </si>
  <si>
    <t>02:30</t>
  </si>
  <si>
    <t>23:30</t>
  </si>
  <si>
    <t>04:30</t>
  </si>
  <si>
    <t>12/07/2026</t>
  </si>
  <si>
    <t>0-1</t>
  </si>
  <si>
    <t>SCO7</t>
  </si>
  <si>
    <t>CHE7, OG</t>
  </si>
  <si>
    <t>BRA7, MAR11</t>
  </si>
  <si>
    <t>AUS17, AUS8</t>
  </si>
  <si>
    <t>DEU23, CUW8, DEU15, DEU7, DEU10, DEU18, DEU26, DEU7</t>
  </si>
  <si>
    <t>7-1</t>
  </si>
  <si>
    <t>1-0</t>
  </si>
  <si>
    <t>CIV15</t>
  </si>
  <si>
    <t>2-2</t>
  </si>
  <si>
    <t>SWE18, SWE9, TUN4, SWE17, SWE19, SWE18</t>
  </si>
  <si>
    <t>5-1</t>
  </si>
  <si>
    <t>NLD4, JPN13, NLD24, JPN15</t>
  </si>
  <si>
    <t>0-0</t>
  </si>
  <si>
    <t>SAU4, URY20</t>
  </si>
  <si>
    <t>EGY8, OG</t>
  </si>
  <si>
    <t>NZL11, IRN23, NZL11, IRN8</t>
  </si>
  <si>
    <t>NELSON</t>
  </si>
  <si>
    <t>Arjan</t>
  </si>
  <si>
    <t>MALIC</t>
  </si>
  <si>
    <t>METUSALA</t>
  </si>
  <si>
    <t>Garven</t>
  </si>
  <si>
    <t>Marwane</t>
  </si>
  <si>
    <t>SAADANE</t>
  </si>
  <si>
    <t>SBAI</t>
  </si>
  <si>
    <t>Assan</t>
  </si>
  <si>
    <t>OUEDRAOGO</t>
  </si>
  <si>
    <t>Shuto</t>
  </si>
  <si>
    <t>MACHINO</t>
  </si>
  <si>
    <t>Lutsharel</t>
  </si>
  <si>
    <t>GEERTRUIDA</t>
  </si>
  <si>
    <t>ROGERSON</t>
  </si>
  <si>
    <t>MAKNZI</t>
  </si>
  <si>
    <t>SENESI</t>
  </si>
  <si>
    <t>Dejan</t>
  </si>
  <si>
    <t>LJUBICIC</t>
  </si>
  <si>
    <t>TAHA</t>
  </si>
  <si>
    <t>CHALOBAH</t>
  </si>
  <si>
    <t>Trevoh</t>
  </si>
  <si>
    <t>Country Name</t>
  </si>
  <si>
    <t>Status</t>
  </si>
  <si>
    <t>Code</t>
  </si>
  <si>
    <t>Algeria</t>
  </si>
  <si>
    <t>Melvin MASTIL - Algeria</t>
  </si>
  <si>
    <t>Aissa MANDI - Algeria</t>
  </si>
  <si>
    <t>Achraf ABADA - Algeria</t>
  </si>
  <si>
    <t>Mohamed Amine TOUGAI - Algeria</t>
  </si>
  <si>
    <t>Zineddine BELAID - Algeria</t>
  </si>
  <si>
    <t>Ramiz ZERROUKI - Algeria</t>
  </si>
  <si>
    <t>Riyad MAHREZ - Algeria</t>
  </si>
  <si>
    <t>Houssem AOUAR - Algeria</t>
  </si>
  <si>
    <t>Amine GOUIRI - Algeria</t>
  </si>
  <si>
    <t>Fares CHAIBI - Algeria</t>
  </si>
  <si>
    <t>Anis HADJ MOUSSA - Algeria</t>
  </si>
  <si>
    <t>Nadhir BENBOUALI - Algeria</t>
  </si>
  <si>
    <t>Jaouen HADJAM - Algeria</t>
  </si>
  <si>
    <t>Hicham BOUDAOUI - Algeria</t>
  </si>
  <si>
    <t>Rayan AIT-NOURI - Algeria</t>
  </si>
  <si>
    <t>Oussama BENBOT - Algeria</t>
  </si>
  <si>
    <t>Rak BELGHALI - Algeria</t>
  </si>
  <si>
    <t>Mohamed AMOURA - Algeria</t>
  </si>
  <si>
    <t>Nabil BENTALEB - Algeria</t>
  </si>
  <si>
    <t>Adil BOULBINA - Algeria</t>
  </si>
  <si>
    <t>Ramy BENSEBAINI - Algeria</t>
  </si>
  <si>
    <t>Ibrahim MAZA - Algeria</t>
  </si>
  <si>
    <t>Luca ZIDANE - Algeria</t>
  </si>
  <si>
    <t>Yassine TITRAOUI - Algeria</t>
  </si>
  <si>
    <t>Fares GHEDJEMIS - Algeria</t>
  </si>
  <si>
    <t>Samir CHERGUI - Algeria</t>
  </si>
  <si>
    <t>Argentina</t>
  </si>
  <si>
    <t>Juan MUSSO - Argentina</t>
  </si>
  <si>
    <t>Marcos SENESI - Argentina</t>
  </si>
  <si>
    <t>Nicolas TAGLIAFICO - Argentina</t>
  </si>
  <si>
    <t>Gonzalo MONTIEL - Argentina</t>
  </si>
  <si>
    <t>Leandro PAREDES - Argentina</t>
  </si>
  <si>
    <t>Lisandro MARTINEZ - Argentina</t>
  </si>
  <si>
    <t>Rodrigo DE PAUL - Argentina</t>
  </si>
  <si>
    <t>Valentin BARCO - Argentina</t>
  </si>
  <si>
    <t>Julian ALVAREZ - Argentina</t>
  </si>
  <si>
    <t>Lionel MESSI - Argentina</t>
  </si>
  <si>
    <t>Giovani LO CELSO - Argentina</t>
  </si>
  <si>
    <t>Geronimo RULLI - Argentina</t>
  </si>
  <si>
    <t>Cristian ROMERO - Argentina</t>
  </si>
  <si>
    <t>Exequiel PALACIOS - Argentina</t>
  </si>
  <si>
    <t>Nico GONZALEZ - Argentina</t>
  </si>
  <si>
    <t>Thiago ALMADA - Argentina</t>
  </si>
  <si>
    <t>Giuliano SIMEONE - Argentina</t>
  </si>
  <si>
    <t>Nico PAZ - Argentina</t>
  </si>
  <si>
    <t>Nicolas OTAMENDI - Argentina</t>
  </si>
  <si>
    <t>Alexis MAC ALLISTER - Argentina</t>
  </si>
  <si>
    <t>Jose Manuel LOPEZ - Argentina</t>
  </si>
  <si>
    <t>Lautaro MARTINEZ - Argentina</t>
  </si>
  <si>
    <t>Emiliano MARTINEZ - Argentina</t>
  </si>
  <si>
    <t>Enzo FERNANDEZ - Argentina</t>
  </si>
  <si>
    <t>Facundo MEDINA - Argentina</t>
  </si>
  <si>
    <t>Nahuel MOLINA - Argentina</t>
  </si>
  <si>
    <t>Australia</t>
  </si>
  <si>
    <t>Mathew RYAN - Australia</t>
  </si>
  <si>
    <t>Milos DEGENEK - Australia</t>
  </si>
  <si>
    <t>Alessandro CIRCATI - Australia</t>
  </si>
  <si>
    <t>Jacob ITALIANO - Australia</t>
  </si>
  <si>
    <t>Jordan BOS - Australia</t>
  </si>
  <si>
    <t>Jason GERIA - Australia</t>
  </si>
  <si>
    <t>Mathew LECKIE - Australia</t>
  </si>
  <si>
    <t>Connor METCALFE - Australia</t>
  </si>
  <si>
    <t>Mohamed TOURE - Australia</t>
  </si>
  <si>
    <t>Ajdin HRUSTIC - Australia</t>
  </si>
  <si>
    <t>Awer MABIL - Australia</t>
  </si>
  <si>
    <t>Paul IZZO - Australia</t>
  </si>
  <si>
    <t>Aiden ONEILL - Australia</t>
  </si>
  <si>
    <t>Cameron DEVLIN - Australia</t>
  </si>
  <si>
    <t>Kai TREWIN - Australia</t>
  </si>
  <si>
    <t>Aziz BEHICH - Australia</t>
  </si>
  <si>
    <t>Nestory IRANKUNDA - Australia</t>
  </si>
  <si>
    <t>Patrick BEACH - Australia</t>
  </si>
  <si>
    <t>Harry SOUTTAR - Australia</t>
  </si>
  <si>
    <t>Cristian VOLPATO - Australia</t>
  </si>
  <si>
    <t>Cameron BURGESS - Australia</t>
  </si>
  <si>
    <t>Jackson IRVINE - Australia</t>
  </si>
  <si>
    <t>Nishan VELUPILLAY - Australia</t>
  </si>
  <si>
    <t>Paul OKON-ENGSTLER - Australia</t>
  </si>
  <si>
    <t>Lucas HERRINGTON - Australia</t>
  </si>
  <si>
    <t>Tete YENGI - Australia</t>
  </si>
  <si>
    <t>Austria</t>
  </si>
  <si>
    <t>Alexander SCHLAGER - Austria</t>
  </si>
  <si>
    <t>David AFFENGRUBER - Austria</t>
  </si>
  <si>
    <t>Kevin DANSO - Austria</t>
  </si>
  <si>
    <t>Xaver SCHLAGER - Austria</t>
  </si>
  <si>
    <t>Stefan POSCH - Austria</t>
  </si>
  <si>
    <t>Nicolas SEIWALD - Austria</t>
  </si>
  <si>
    <t>Marko ARNAUTOVIC - Austria</t>
  </si>
  <si>
    <t>David ALABA - Austria</t>
  </si>
  <si>
    <t>Marcel SABITZER - Austria</t>
  </si>
  <si>
    <t>Florian GRILLITSCH - Austria</t>
  </si>
  <si>
    <t>Michael GREGORITSCH - Austria</t>
  </si>
  <si>
    <t>Florian WIEGELE - Austria</t>
  </si>
  <si>
    <t>Patrick PENTZ - Austria</t>
  </si>
  <si>
    <t>Sasa KALAJDZIC - Austria</t>
  </si>
  <si>
    <t>Philipp LIENHART - Austria</t>
  </si>
  <si>
    <t>Phillip MWENE - Austria</t>
  </si>
  <si>
    <t>Carney CHUKWUEMEKA - Austria</t>
  </si>
  <si>
    <t>Romano SCHMID - Austria</t>
  </si>
  <si>
    <t>Konrad LAIMER - Austria</t>
  </si>
  <si>
    <t>Patrick WIMMER - Austria</t>
  </si>
  <si>
    <t>Alexander PRASS - Austria</t>
  </si>
  <si>
    <t>Marco FRIEDL - Austria</t>
  </si>
  <si>
    <t>Paul WANNER - Austria</t>
  </si>
  <si>
    <t>Michael SVOBODA - Austria</t>
  </si>
  <si>
    <t>Alessandro SCHOEPF - Austria</t>
  </si>
  <si>
    <t>Belgium</t>
  </si>
  <si>
    <t>Thibaut COURTOIS - Belgium</t>
  </si>
  <si>
    <t>Zeno DEBAST - Belgium</t>
  </si>
  <si>
    <t>Arthur THEATE - Belgium</t>
  </si>
  <si>
    <t>Brandon MECHELE - Belgium</t>
  </si>
  <si>
    <t>Maxim DE CUYPER - Belgium</t>
  </si>
  <si>
    <t>Axel WITSEL - Belgium</t>
  </si>
  <si>
    <t>Kevin DE BRUYNE - Belgium</t>
  </si>
  <si>
    <t>Youri TIELEMANS - Belgium</t>
  </si>
  <si>
    <t>Romelu LUKAKU - Belgium</t>
  </si>
  <si>
    <t>Leandro TROSSARD - Belgium</t>
  </si>
  <si>
    <t>Jeremy DOKU - Belgium</t>
  </si>
  <si>
    <t>Senne LAMMENS - Belgium</t>
  </si>
  <si>
    <t>Mike PENDERS - Belgium</t>
  </si>
  <si>
    <t>Dodi LUKEBAKIO - Belgium</t>
  </si>
  <si>
    <t>Thomas MEUNIER - Belgium</t>
  </si>
  <si>
    <t>Koni DE WINTER - Belgium</t>
  </si>
  <si>
    <t>Charles DE KETELAERE - Belgium</t>
  </si>
  <si>
    <t>Joaquin SEYS - Belgium</t>
  </si>
  <si>
    <t>Diego MOREIRA - Belgium</t>
  </si>
  <si>
    <t>Hans VANAKEN - Belgium</t>
  </si>
  <si>
    <t>Timothy CASTAGNE - Belgium</t>
  </si>
  <si>
    <t>Alexis SAELEMAEKERS - Belgium</t>
  </si>
  <si>
    <t>Nicolas RASKIN - Belgium</t>
  </si>
  <si>
    <t>Amadou ONANA - Belgium</t>
  </si>
  <si>
    <t>Nathan NGOY - Belgium</t>
  </si>
  <si>
    <t>Matias FERNANDEZ-PARDO - Belgium</t>
  </si>
  <si>
    <t>Bosnia and Herzegovina</t>
  </si>
  <si>
    <t>Nikola VASILJ - Bosnia and Herzegovina</t>
  </si>
  <si>
    <t>Nihad MUJAKIC - Bosnia and Herzegovina</t>
  </si>
  <si>
    <t>Dennis HADZIKADUNIC - Bosnia and Herzegovina</t>
  </si>
  <si>
    <t>Tarik MUHAREMOVIC - Bosnia and Herzegovina</t>
  </si>
  <si>
    <t>Sead KOLASINAC - Bosnia and Herzegovina</t>
  </si>
  <si>
    <t>Benjamin TAHIROVIC - Bosnia and Herzegovina</t>
  </si>
  <si>
    <t>Amar DEDIC - Bosnia and Herzegovina</t>
  </si>
  <si>
    <t>Armin GIGOVIC - Bosnia and Herzegovina</t>
  </si>
  <si>
    <t>Samed BAZDAR - Bosnia and Herzegovina</t>
  </si>
  <si>
    <t>Ermedin DEMIROVIC - Bosnia and Herzegovina</t>
  </si>
  <si>
    <t>Edin DZEKO - Bosnia and Herzegovina</t>
  </si>
  <si>
    <t>Mladen JURKAS - Bosnia and Herzegovina</t>
  </si>
  <si>
    <t>Ivan BASIC - Bosnia and Herzegovina</t>
  </si>
  <si>
    <t>Ivan SUNJIC - Bosnia and Herzegovina</t>
  </si>
  <si>
    <t>Amar MEMIC - Bosnia and Herzegovina</t>
  </si>
  <si>
    <t>Amir HADZIAHMETOVIC - Bosnia and Herzegovina</t>
  </si>
  <si>
    <t>Dzenis BURNIC - Bosnia and Herzegovina</t>
  </si>
  <si>
    <t>Nikola KATIC - Bosnia and Herzegovina</t>
  </si>
  <si>
    <t>Kerim ALAJBEGOVIC - Bosnia and Herzegovina</t>
  </si>
  <si>
    <t>Esmir BAJRAKTAREVIC - Bosnia and Herzegovina</t>
  </si>
  <si>
    <t>Stjepan RADELJIC - Bosnia and Herzegovina</t>
  </si>
  <si>
    <t>Martin ZLOMISLIC - Bosnia and Herzegovina</t>
  </si>
  <si>
    <t>Haris TABAKOVIC - Bosnia and Herzegovina</t>
  </si>
  <si>
    <t>Jovo LUKIC - Bosnia and Herzegovina</t>
  </si>
  <si>
    <t>Ermin MAHMIC - Bosnia and Herzegovina</t>
  </si>
  <si>
    <t>Brazil</t>
  </si>
  <si>
    <t>Alisson BECKER - Brazil</t>
  </si>
  <si>
    <t>Ederson EDERSON - Brazil</t>
  </si>
  <si>
    <t>MAGALHAES</t>
  </si>
  <si>
    <t>Gabriel MAGALHAES - Brazil</t>
  </si>
  <si>
    <t>Marquinhos MARQUINHOS - Brazil</t>
  </si>
  <si>
    <t>Casemiro CASEMIRO - Brazil</t>
  </si>
  <si>
    <t>Alex Sandro ALEX SANDRO - Brazil</t>
  </si>
  <si>
    <t>Vinicius Junior VINICIUS JUNIOR - Brazil</t>
  </si>
  <si>
    <t>Bruno GUIMARAES - Brazil</t>
  </si>
  <si>
    <t>Matheus CUNHA - Brazil</t>
  </si>
  <si>
    <t>Neymar Jr NEYMAR JR - Brazil</t>
  </si>
  <si>
    <t>Raphinha RAPHINHA - Brazil</t>
  </si>
  <si>
    <t>Weverton WEVERTON - Brazil</t>
  </si>
  <si>
    <t>Danilo DANILO - Brazil</t>
  </si>
  <si>
    <t>Bremer BREMER - Brazil</t>
  </si>
  <si>
    <t>Leo Pereira LEO PEREIRA - Brazil</t>
  </si>
  <si>
    <t>Douglas Santos DOUGLAS SANTOS - Brazil</t>
  </si>
  <si>
    <t>Fabinho FABINHO - Brazil</t>
  </si>
  <si>
    <t>Danilo Santos DANILO SANTOS - Brazil</t>
  </si>
  <si>
    <t>Endrick ENDRICK - Brazil</t>
  </si>
  <si>
    <t>Lucas Paqueta LUCAS PAQUETA - Brazil</t>
  </si>
  <si>
    <t>Luiz Henrique LUIZ HENRIQUE - Brazil</t>
  </si>
  <si>
    <t>Gabriel Martinelli GABRIEL MARTINELLI - Brazil</t>
  </si>
  <si>
    <t>Roger Ibanez ROGER IBANEZ - Brazil</t>
  </si>
  <si>
    <t>Igor Thiago IGOR THIAGO - Brazil</t>
  </si>
  <si>
    <t>Rayan RAYAN - Brazil</t>
  </si>
  <si>
    <t>Cabo Verde</t>
  </si>
  <si>
    <t>Josimar VOZINHA - Cabo Verde</t>
  </si>
  <si>
    <t>Ianique STOPIRA - Cabo Verde</t>
  </si>
  <si>
    <t>Edilson DINEY BORGES - Cabo Verde</t>
  </si>
  <si>
    <t>Roberto Carlos PICO LOPES - Cabo Verde</t>
  </si>
  <si>
    <t>Logan LOGAN COSTA - Cabo Verde</t>
  </si>
  <si>
    <t>Kevin KEVIN PINA - Cabo Verde</t>
  </si>
  <si>
    <t>Jovane JOVANE CABRAL - Cabo Verde</t>
  </si>
  <si>
    <t>Joao Paulo JOAO PAULO - Cabo Verde</t>
  </si>
  <si>
    <t>Gilson GILSON BENCHIMOL - Cabo Verde</t>
  </si>
  <si>
    <t>Jamiro JAMIRO MONTEIRO - Cabo Verde</t>
  </si>
  <si>
    <t>Garry GARRY RODRIGUES - Cabo Verde</t>
  </si>
  <si>
    <t>Marcio MARCIO ROSA - Cabo Verde</t>
  </si>
  <si>
    <t>Sidny SIDNY LOPES CABRAL - Cabo Verde</t>
  </si>
  <si>
    <t>Deroy DEROY DUARTE - Cabo Verde</t>
  </si>
  <si>
    <t>Laros LAROS DUARTE - Cabo Verde</t>
  </si>
  <si>
    <t>Yannick YANNICK SEMEDO - Cabo Verde</t>
  </si>
  <si>
    <t>Willy WILLY SEMEDO - Cabo Verde</t>
  </si>
  <si>
    <t>Telmo TELMO ARCANJO - Cabo Verde</t>
  </si>
  <si>
    <t>Dailon DAILON LIVRAMENTO - Cabo Verde</t>
  </si>
  <si>
    <t>Ryan RYAN MENDES - Cabo Verde</t>
  </si>
  <si>
    <t>Nuno NUNO DA COSTA - Cabo Verde</t>
  </si>
  <si>
    <t>Steven STEVEN MOREIRA - Cabo Verde</t>
  </si>
  <si>
    <t>Carlos Joaquim CJ DOS SANTOS - Cabo Verde</t>
  </si>
  <si>
    <t>Wagner WAGNER PINA - Cabo Verde</t>
  </si>
  <si>
    <t>Kelvin KELVIN PIRES - Cabo Verde</t>
  </si>
  <si>
    <t>Helio HELIO VARELA - Cabo Verde</t>
  </si>
  <si>
    <t>Canada</t>
  </si>
  <si>
    <t>Dayne ST. CLAIR - Canada</t>
  </si>
  <si>
    <t>Alistair JOHNSTON - Canada</t>
  </si>
  <si>
    <t>Ale JONES - Canada</t>
  </si>
  <si>
    <t>Luc DE FOUGEROLLES - Canada</t>
  </si>
  <si>
    <t>Joel WATERMAN - Canada</t>
  </si>
  <si>
    <t>Mathieu CHOINIERE - Canada</t>
  </si>
  <si>
    <t>Stephen EUSTAQUIO - Canada</t>
  </si>
  <si>
    <t>Ismael KONE - Canada</t>
  </si>
  <si>
    <t>Cyle LARIN - Canada</t>
  </si>
  <si>
    <t>Jonathan DAVID - Canada</t>
  </si>
  <si>
    <t>Liam MILLAR - Canada</t>
  </si>
  <si>
    <t>Tani OLUWASEYI - Canada</t>
  </si>
  <si>
    <t>Derek CORNELIUS - Canada</t>
  </si>
  <si>
    <t>Jacob SHAFFELBURG - Canada</t>
  </si>
  <si>
    <t>Moise BOMBITO - Canada</t>
  </si>
  <si>
    <t>Maxime CREPEAU - Canada</t>
  </si>
  <si>
    <t>Tajon BUCHANAN - Canada</t>
  </si>
  <si>
    <t>Owen GOODMAN - Canada</t>
  </si>
  <si>
    <t>Alphonso DAVIES - Canada</t>
  </si>
  <si>
    <t>Ali AHMED - Canada</t>
  </si>
  <si>
    <t>Jonathan OSORIO - Canada</t>
  </si>
  <si>
    <t>Richie LARYEA - Canada</t>
  </si>
  <si>
    <t>Niko SIGUR - Canada</t>
  </si>
  <si>
    <t>Promise DAVID - Canada</t>
  </si>
  <si>
    <t>Nathan SALIBA - Canada</t>
  </si>
  <si>
    <t>Colombia</t>
  </si>
  <si>
    <t>David OSPINA - Colombia</t>
  </si>
  <si>
    <t>Daniel MUNOZ - Colombia</t>
  </si>
  <si>
    <t>Jhon LUCUMI - Colombia</t>
  </si>
  <si>
    <t>Santiago ARIAS - Colombia</t>
  </si>
  <si>
    <t>Kevin CASTANO - Colombia</t>
  </si>
  <si>
    <t>Richard RIOS - Colombia</t>
  </si>
  <si>
    <t>Luis DIAZ - Colombia</t>
  </si>
  <si>
    <t>Jorge CARRASCAL - Colombia</t>
  </si>
  <si>
    <t>Jhon CORDOBA - Colombia</t>
  </si>
  <si>
    <t>James RODRIGUEZ - Colombia</t>
  </si>
  <si>
    <t>Jhon ARIAS - Colombia</t>
  </si>
  <si>
    <t>Camilo VARGAS - Colombia</t>
  </si>
  <si>
    <t>Yerry MINA - Colombia</t>
  </si>
  <si>
    <t>Gustavo PUERTA - Colombia</t>
  </si>
  <si>
    <t>Juan PORTILLA - Colombia</t>
  </si>
  <si>
    <t>Jefferson LERMA - Colombia</t>
  </si>
  <si>
    <t>Johan MOJICA - Colombia</t>
  </si>
  <si>
    <t>Willer DITTA - Colombia</t>
  </si>
  <si>
    <t>Cucho HERNANDEZ - Colombia</t>
  </si>
  <si>
    <t>Juan QUINTERO - Colombia</t>
  </si>
  <si>
    <t>Jaminton CAMPAZ - Colombia</t>
  </si>
  <si>
    <t>Deiver MACHADO - Colombia</t>
  </si>
  <si>
    <t>Davinson SANCHEZ - Colombia</t>
  </si>
  <si>
    <t>Alvaro MONTERO - Colombia</t>
  </si>
  <si>
    <t>Luis SUAREZ - Colombia</t>
  </si>
  <si>
    <t>Andres GOMEZ - Colombia</t>
  </si>
  <si>
    <t>DR Congo</t>
  </si>
  <si>
    <t>Lionel MPASI - DR Congo</t>
  </si>
  <si>
    <t>Aaron WAN-BISSAKA - DR Congo</t>
  </si>
  <si>
    <t>Steve KAPUADI - DR Congo</t>
  </si>
  <si>
    <t>Axel TUANZEBE - DR Congo</t>
  </si>
  <si>
    <t>Dylan BATUBINSIKA - DR Congo</t>
  </si>
  <si>
    <t>Ngalayel MUKAU - DR Congo</t>
  </si>
  <si>
    <t>Nathanael MBUKU - DR Congo</t>
  </si>
  <si>
    <t>Samuel MOUTOUSSAMY - DR Congo</t>
  </si>
  <si>
    <t>Brian CIPENGA - DR Congo</t>
  </si>
  <si>
    <t>Theo BONGONDA - DR Congo</t>
  </si>
  <si>
    <t>Gael KAKUTA - DR Congo</t>
  </si>
  <si>
    <t>Joris KAYEMBE - DR Congo</t>
  </si>
  <si>
    <t>Meschack ELIA - DR Congo</t>
  </si>
  <si>
    <t>Noah SADIKI - DR Congo</t>
  </si>
  <si>
    <t>Aaron TSHIBOLA - DR Congo</t>
  </si>
  <si>
    <t>Timothy FAYULU - DR Congo</t>
  </si>
  <si>
    <t>Cedric BAKAMBU - DR Congo</t>
  </si>
  <si>
    <t>Charles PICKEL - DR Congo</t>
  </si>
  <si>
    <t>Fiston MAYELE - DR Congo</t>
  </si>
  <si>
    <t>Yoane WISSA - DR Congo</t>
  </si>
  <si>
    <t>Matthieu EPOLO - DR Congo</t>
  </si>
  <si>
    <t>Chancel MBEMBA - DR Congo</t>
  </si>
  <si>
    <t>Simon BANZA - DR Congo</t>
  </si>
  <si>
    <t>Gedeon KALULU - DR Congo</t>
  </si>
  <si>
    <t>Edo KAYEMBE - DR Congo</t>
  </si>
  <si>
    <t>Arthur MASUAKU - DR Congo</t>
  </si>
  <si>
    <t>Côte d'Ivoire</t>
  </si>
  <si>
    <t>Yahia FOFANA - Côte d'Ivoire</t>
  </si>
  <si>
    <t>Ousmane DIOMANDE - Côte d'Ivoire</t>
  </si>
  <si>
    <t>Ghislain KONAN - Côte d'Ivoire</t>
  </si>
  <si>
    <t>Jean Michael SERI - Côte d'Ivoire</t>
  </si>
  <si>
    <t>Wilfried SINGO - Côte d'Ivoire</t>
  </si>
  <si>
    <t>Seko FOFANA - Côte d'Ivoire</t>
  </si>
  <si>
    <t>Odilon KOSSOUNOU - Côte d'Ivoire</t>
  </si>
  <si>
    <t>Franck KESSIE - Côte d'Ivoire</t>
  </si>
  <si>
    <t>Ange-Yoan BONNY - Côte d'Ivoire</t>
  </si>
  <si>
    <t>Simon ADINGRA - Côte d'Ivoire</t>
  </si>
  <si>
    <t>Yan DIOMANDE - Côte d'Ivoire</t>
  </si>
  <si>
    <t>Elye WAHI - Côte d'Ivoire</t>
  </si>
  <si>
    <t>Christopher OPERI - Côte d'Ivoire</t>
  </si>
  <si>
    <t>Oumar DIAKITE - Côte d'Ivoire</t>
  </si>
  <si>
    <t>Amad DIALLO - Côte d'Ivoire</t>
  </si>
  <si>
    <t>Mohamed KONE - Côte d'Ivoire</t>
  </si>
  <si>
    <t>Guela DOUE - Côte d'Ivoire</t>
  </si>
  <si>
    <t>Ibrahim SANGARE - Côte d'Ivoire</t>
  </si>
  <si>
    <t>Nicolas PEPE - Côte d'Ivoire</t>
  </si>
  <si>
    <t>Emmanuel AGBADOU - Côte d'Ivoire</t>
  </si>
  <si>
    <t>Evan NDICKA - Côte d'Ivoire</t>
  </si>
  <si>
    <t>Evann GUESSAND - Côte d'Ivoire</t>
  </si>
  <si>
    <t>Alban LAFONT - Côte d'Ivoire</t>
  </si>
  <si>
    <t>Bazoumana TOURE - Côte d'Ivoire</t>
  </si>
  <si>
    <t>Parfait GUIAGON - Côte d'Ivoire</t>
  </si>
  <si>
    <t>Christ Inao OULAI - Côte d'Ivoire</t>
  </si>
  <si>
    <t>Croatia</t>
  </si>
  <si>
    <t>Dominik LIVAKOVIC - Croatia</t>
  </si>
  <si>
    <t>Josip STANISIC - Croatia</t>
  </si>
  <si>
    <t>Marin PONGRACIC - Croatia</t>
  </si>
  <si>
    <t>Josko GVARDIOL - Croatia</t>
  </si>
  <si>
    <t>Duje CALETA-CAR - Croatia</t>
  </si>
  <si>
    <t>Josip SUTALO - Croatia</t>
  </si>
  <si>
    <t>Nikola MORO - Croatia</t>
  </si>
  <si>
    <t>Mateo KOVACIC - Croatia</t>
  </si>
  <si>
    <t>Andrej KRAMARIC - Croatia</t>
  </si>
  <si>
    <t>Luka MODRIC - Croatia</t>
  </si>
  <si>
    <t>Ante BUDIMIR - Croatia</t>
  </si>
  <si>
    <t>Ivor PANDUR - Croatia</t>
  </si>
  <si>
    <t>Nikola VLASIC - Croatia</t>
  </si>
  <si>
    <t>Ivan PERISIC - Croatia</t>
  </si>
  <si>
    <t>Mario PASALIC - Croatia</t>
  </si>
  <si>
    <t>Martin BATURINA - Croatia</t>
  </si>
  <si>
    <t>Petar SUCIC - Croatia</t>
  </si>
  <si>
    <t>Kristijan JAKIC - Croatia</t>
  </si>
  <si>
    <t>Toni FRUK - Croatia</t>
  </si>
  <si>
    <t>Igor MATANOVIC - Croatia</t>
  </si>
  <si>
    <t>Luka SUCIC - Croatia</t>
  </si>
  <si>
    <t>Luka VUSKOVIC - Croatia</t>
  </si>
  <si>
    <t>Dominik KOTARSKI - Croatia</t>
  </si>
  <si>
    <t>Marco PASALIC - Croatia</t>
  </si>
  <si>
    <t>Martin ERLIC - Croatia</t>
  </si>
  <si>
    <t>Petar MUSA - Croatia</t>
  </si>
  <si>
    <t>Curaçao</t>
  </si>
  <si>
    <t>Eloy ROOM - Curaçao</t>
  </si>
  <si>
    <t>Shurandy SAMBO - Curaçao</t>
  </si>
  <si>
    <t>Jurien GAARI - Curaçao</t>
  </si>
  <si>
    <t>Roshon VAN EIJMA - Curaçao</t>
  </si>
  <si>
    <t>Sherel FLORANUS - Curaçao</t>
  </si>
  <si>
    <t>Godfried ROEMERATOE - Curaçao</t>
  </si>
  <si>
    <t>Juninho BACUNA - Curaçao</t>
  </si>
  <si>
    <t>Livano COMENENCIA - Curaçao</t>
  </si>
  <si>
    <t>Juergen LOCADIA - Curaçao</t>
  </si>
  <si>
    <t>Leandro BACUNA - Curaçao</t>
  </si>
  <si>
    <t>Jeremy ANTONISSE - Curaçao</t>
  </si>
  <si>
    <t>Sontje HANSEN - Curaçao</t>
  </si>
  <si>
    <t>Tyrese NOSLIN - Curaçao</t>
  </si>
  <si>
    <t>Kenji GORRE - Curaçao</t>
  </si>
  <si>
    <t>Arjany MARTHA - Curaçao</t>
  </si>
  <si>
    <t>Jearl MARGARITHA - Curaçao</t>
  </si>
  <si>
    <t>Brandley KUWAS - Curaçao</t>
  </si>
  <si>
    <t>Armando OBISPO - Curaçao</t>
  </si>
  <si>
    <t>Gervane KASTANEER - Curaçao</t>
  </si>
  <si>
    <t>Joshua BRENET - Curaçao</t>
  </si>
  <si>
    <t>Tahith CHONG - Curaçao</t>
  </si>
  <si>
    <t>Kevin FELIDA - Curaçao</t>
  </si>
  <si>
    <t>Riechedly BAZOER - Curaçao</t>
  </si>
  <si>
    <t>Deveron FONVILLE - Curaçao</t>
  </si>
  <si>
    <t>Tyrick BODAK - Curaçao</t>
  </si>
  <si>
    <t>Trevor DOORNBUSCH - Curaçao</t>
  </si>
  <si>
    <t>Czechia</t>
  </si>
  <si>
    <t>Matej KOVAR - Czechia</t>
  </si>
  <si>
    <t>David ZIMA - Czechia</t>
  </si>
  <si>
    <t>Tomas HOLES - Czechia</t>
  </si>
  <si>
    <t>Robin HRANAC - Czechia</t>
  </si>
  <si>
    <t>Vladimir COUFAL - Czechia</t>
  </si>
  <si>
    <t>Stepan CHALOUPEK - Czechia</t>
  </si>
  <si>
    <t>Ladislav KREJCI - Czechia</t>
  </si>
  <si>
    <t>Vladimir DARIDA - Czechia</t>
  </si>
  <si>
    <t>Adam HLOZEK - Czechia</t>
  </si>
  <si>
    <t>Patrik SCHICK - Czechia</t>
  </si>
  <si>
    <t>Jan KUCHTA - Czechia</t>
  </si>
  <si>
    <t>Lukas CERV - Czechia</t>
  </si>
  <si>
    <t>Mojmir CHYTIL - Czechia</t>
  </si>
  <si>
    <t>David JURASEK - Czechia</t>
  </si>
  <si>
    <t>Pavel SULC - Czechia</t>
  </si>
  <si>
    <t>Jindrich STANEK - Czechia</t>
  </si>
  <si>
    <t>Lukas PROVOD - Czechia</t>
  </si>
  <si>
    <t>Michal SADILEK - Czechia</t>
  </si>
  <si>
    <t>Tomas CHORY - Czechia</t>
  </si>
  <si>
    <t>Jaroslav ZELENY - Czechia</t>
  </si>
  <si>
    <t>David DOUDERA - Czechia</t>
  </si>
  <si>
    <t>Tomas SOUCEK - Czechia</t>
  </si>
  <si>
    <t>Lukas HORNICEK - Czechia</t>
  </si>
  <si>
    <t>Alexandr SOJKA - Czechia</t>
  </si>
  <si>
    <t>Hugo SOCHUREK - Czechia</t>
  </si>
  <si>
    <t>Denis VISINSKY - Czechia</t>
  </si>
  <si>
    <t>Ecuador</t>
  </si>
  <si>
    <t>Hernan GALINDEZ - Ecuador</t>
  </si>
  <si>
    <t>Felix TORRES - Ecuador</t>
  </si>
  <si>
    <t>Piero HINCAPIE - Ecuador</t>
  </si>
  <si>
    <t>Joel ORDONEZ - Ecuador</t>
  </si>
  <si>
    <t>Jordy ALCIVAR - Ecuador</t>
  </si>
  <si>
    <t>Willian PACHO - Ecuador</t>
  </si>
  <si>
    <t>Pervis ESTUPINAN - Ecuador</t>
  </si>
  <si>
    <t>Anthony VALENCIA - Ecuador</t>
  </si>
  <si>
    <t>John YEBOAH - Ecuador</t>
  </si>
  <si>
    <t>Kendry PAEZ - Ecuador</t>
  </si>
  <si>
    <t>Kevin RODRIGUEZ - Ecuador</t>
  </si>
  <si>
    <t>Moises RAMIREZ - Ecuador</t>
  </si>
  <si>
    <t>Enner VALENCIA - Ecuador</t>
  </si>
  <si>
    <t>Alan MINDA - Ecuador</t>
  </si>
  <si>
    <t>Pedro VITE - Ecuador</t>
  </si>
  <si>
    <t>Jordy CAICEDO - Ecuador</t>
  </si>
  <si>
    <t>Angelo PRECIADO - Ecuador</t>
  </si>
  <si>
    <t>Denil CASTILLO - Ecuador</t>
  </si>
  <si>
    <t>Gonzalo PLATA - Ecuador</t>
  </si>
  <si>
    <t>Nilson ANGULO - Ecuador</t>
  </si>
  <si>
    <t>Alan FRANCO - Ecuador</t>
  </si>
  <si>
    <t>Gonzalo VALLE - Ecuador</t>
  </si>
  <si>
    <t>Moises CAICEDO - Ecuador</t>
  </si>
  <si>
    <t>Jeremy AREVALO - Ecuador</t>
  </si>
  <si>
    <t>Jackson POROZO - Ecuador</t>
  </si>
  <si>
    <t>Yaimar MEDINA - Ecuador</t>
  </si>
  <si>
    <t>Egypt</t>
  </si>
  <si>
    <t>Mohamed ELSHENAWY - Egypt</t>
  </si>
  <si>
    <t>Yasser IBRAHIM - Egypt</t>
  </si>
  <si>
    <t>Mohamed HANY - Egypt</t>
  </si>
  <si>
    <t>Hossam ABDELMAGUID - Egypt</t>
  </si>
  <si>
    <t>Ramy RABIA - Egypt</t>
  </si>
  <si>
    <t>Mohamed ABDELMONEIM - Egypt</t>
  </si>
  <si>
    <t>Mahmoud TREZEGUET - Egypt</t>
  </si>
  <si>
    <t>Emam ASHOUR - Egypt</t>
  </si>
  <si>
    <t>Hamza ABDELKARIM - Egypt</t>
  </si>
  <si>
    <t>Mohamed SALAH - Egypt</t>
  </si>
  <si>
    <t>Mostafa ZICO - Egypt</t>
  </si>
  <si>
    <t>Haissem HASSAN - Egypt</t>
  </si>
  <si>
    <t>Ahmed FATOUH - Egypt</t>
  </si>
  <si>
    <t>Hamdy FATHY - Egypt</t>
  </si>
  <si>
    <t>Karim HAFEZ - Egypt</t>
  </si>
  <si>
    <t>Mahdy SOLIMAN - Egypt</t>
  </si>
  <si>
    <t>Mohanad LASHIN - Egypt</t>
  </si>
  <si>
    <t>Nabil DONGA - Egypt</t>
  </si>
  <si>
    <t>Marawan ATTIA - Egypt</t>
  </si>
  <si>
    <t>Ibrahim ADEL - Egypt</t>
  </si>
  <si>
    <t>Mahmoud SABER - Egypt</t>
  </si>
  <si>
    <t>Omar MARMOUSH - Egypt</t>
  </si>
  <si>
    <t>Mostafa SHOUBIR - Egypt</t>
  </si>
  <si>
    <t>Tarek ALAA - Egypt</t>
  </si>
  <si>
    <t>Ahmed ZIZO - Egypt</t>
  </si>
  <si>
    <t>Mohamed ALAA - Egypt</t>
  </si>
  <si>
    <t>England</t>
  </si>
  <si>
    <t>Jordan PICKFORD - England</t>
  </si>
  <si>
    <t>Ezri KONSA - England</t>
  </si>
  <si>
    <t>Nico OREILLY - England</t>
  </si>
  <si>
    <t>Declan RICE - England</t>
  </si>
  <si>
    <t>John STONES - England</t>
  </si>
  <si>
    <t>Marc GUEHI - England</t>
  </si>
  <si>
    <t>Bukayo SAKA - England</t>
  </si>
  <si>
    <t>Elliot ANDERSON - England</t>
  </si>
  <si>
    <t>Harry KANE - England</t>
  </si>
  <si>
    <t>Jude BELLINGHAM - England</t>
  </si>
  <si>
    <t>Marcus RASHFORD - England</t>
  </si>
  <si>
    <t>Dean HENDERSON - England</t>
  </si>
  <si>
    <t>Jordan HENDERSON - England</t>
  </si>
  <si>
    <t>Dan BURN - England</t>
  </si>
  <si>
    <t>Kobbie MAINOO - England</t>
  </si>
  <si>
    <t>Morgan ROGERS - England</t>
  </si>
  <si>
    <t>Anthony GORDON - England</t>
  </si>
  <si>
    <t>Ollie WATKINS - England</t>
  </si>
  <si>
    <t>Noni MADUEKE - England</t>
  </si>
  <si>
    <t>Eberechi EZE - England</t>
  </si>
  <si>
    <t>Ivan TONEY - England</t>
  </si>
  <si>
    <t>James TRAFFORD - England</t>
  </si>
  <si>
    <t>Reece JAMES - England</t>
  </si>
  <si>
    <t>Djed SPENCE - England</t>
  </si>
  <si>
    <t>Jarell QUANSAH - England</t>
  </si>
  <si>
    <t>France</t>
  </si>
  <si>
    <t>Brice SAMBA - France</t>
  </si>
  <si>
    <t>Malo GUSTO - France</t>
  </si>
  <si>
    <t>Lucas DIGNE - France</t>
  </si>
  <si>
    <t>Dayot UPAMECANO - France</t>
  </si>
  <si>
    <t>Jules KOUNDE - France</t>
  </si>
  <si>
    <t>Manu KONE - France</t>
  </si>
  <si>
    <t>Ousmane DEMBELE - France</t>
  </si>
  <si>
    <t>Aurelien TCHOUAMENI - France</t>
  </si>
  <si>
    <t>Marcus THURAM - France</t>
  </si>
  <si>
    <t>Kylian MBAPPE - France</t>
  </si>
  <si>
    <t>Michael OLISE - France</t>
  </si>
  <si>
    <t>Bradley BARCOLA - France</t>
  </si>
  <si>
    <t>Ngolo KANTE - France</t>
  </si>
  <si>
    <t>Adrien RABIOT - France</t>
  </si>
  <si>
    <t>Ibrahima KONATE - France</t>
  </si>
  <si>
    <t>Mike MAIGNAN - France</t>
  </si>
  <si>
    <t>William SALIBA - France</t>
  </si>
  <si>
    <t>Warren ZAIRE-EMERY - France</t>
  </si>
  <si>
    <t>Theo HERNANDEZ - France</t>
  </si>
  <si>
    <t>Desire DOUE - France</t>
  </si>
  <si>
    <t>Lucas HERNANDEZ - France</t>
  </si>
  <si>
    <t>Jean-Philippe MATETA - France</t>
  </si>
  <si>
    <t>Robin RISSER - France</t>
  </si>
  <si>
    <t>Rayan CHERKI - France</t>
  </si>
  <si>
    <t>Maghnes AKLIOUCHE - France</t>
  </si>
  <si>
    <t>Maxence LACROIX - France</t>
  </si>
  <si>
    <t>Germany</t>
  </si>
  <si>
    <t>Manuel NEUER - Germany</t>
  </si>
  <si>
    <t>Antonio RUEDIGER - Germany</t>
  </si>
  <si>
    <t>Waldemar ANTON - Germany</t>
  </si>
  <si>
    <t>Jonathan TAH - Germany</t>
  </si>
  <si>
    <t>Aleksandar PAVLOVIC - Germany</t>
  </si>
  <si>
    <t>Joshua KIMMICH - Germany</t>
  </si>
  <si>
    <t>Kai HAVERTZ - Germany</t>
  </si>
  <si>
    <t>Leon GORETZKA - Germany</t>
  </si>
  <si>
    <t>Jamie LEWELING - Germany</t>
  </si>
  <si>
    <t>Jamal MUSIALA - Germany</t>
  </si>
  <si>
    <t>Nick WOLTEMADE - Germany</t>
  </si>
  <si>
    <t>Oliver BAUMANN - Germany</t>
  </si>
  <si>
    <t>Pascal GROSS - Germany</t>
  </si>
  <si>
    <t>Maximilian BEIER - Germany</t>
  </si>
  <si>
    <t>Nico SCHLOTTERBECK - Germany</t>
  </si>
  <si>
    <t>Angelo STILLER - Germany</t>
  </si>
  <si>
    <t>Florian WIRTZ - Germany</t>
  </si>
  <si>
    <t>Nathaniel BROWN - Germany</t>
  </si>
  <si>
    <t>Leroy SANE - Germany</t>
  </si>
  <si>
    <t>Nadiem AMIRI - Germany</t>
  </si>
  <si>
    <t>Alexander NUEBEL - Germany</t>
  </si>
  <si>
    <t>David RAUM - Germany</t>
  </si>
  <si>
    <t>Felix NMECHA - Germany</t>
  </si>
  <si>
    <t>Malick THIAW - Germany</t>
  </si>
  <si>
    <t>Assan OUEDRAOGO - Germany</t>
  </si>
  <si>
    <t>Deniz UNDAV - Germany</t>
  </si>
  <si>
    <t>Ghana</t>
  </si>
  <si>
    <t>Lawrence Ati ZIGI - Ghana</t>
  </si>
  <si>
    <t>Alidu SEIDU - Ghana</t>
  </si>
  <si>
    <t>Caleb YIRENKYI - Ghana</t>
  </si>
  <si>
    <t>Jonas ADJETEY - Ghana</t>
  </si>
  <si>
    <t>Thomas PARTEY - Ghana</t>
  </si>
  <si>
    <t>Abdul MUMIN - Ghana</t>
  </si>
  <si>
    <t>Fatawu ISSAHAKU - Ghana</t>
  </si>
  <si>
    <t>Kwasi SIBO - Ghana</t>
  </si>
  <si>
    <t>Jordan AYEW - Ghana</t>
  </si>
  <si>
    <t>Brandon THOMAS-ASANTE - Ghana</t>
  </si>
  <si>
    <t>Antoine SEMENYO - Ghana</t>
  </si>
  <si>
    <t>Joseph ANANG - Ghana</t>
  </si>
  <si>
    <t>Christopher Bonsu BAAH - Ghana</t>
  </si>
  <si>
    <t>Gideon MENSAH - Ghana</t>
  </si>
  <si>
    <t>Elisha OWUSU - Ghana</t>
  </si>
  <si>
    <t>Benjamin ASARE - Ghana</t>
  </si>
  <si>
    <t>Baba RAHMAN - Ghana</t>
  </si>
  <si>
    <t>Jerome OPOKU - Ghana</t>
  </si>
  <si>
    <t>Inaki WILLIAMS - Ghana</t>
  </si>
  <si>
    <t>Augustine BOAKYE - Ghana</t>
  </si>
  <si>
    <t>Kojo Peprah OPPONG - Ghana</t>
  </si>
  <si>
    <t>Kamaldeen SULEMANA - Ghana</t>
  </si>
  <si>
    <t>Derrick LUCKASSEN - Ghana</t>
  </si>
  <si>
    <t>Ernest NUAMAH - Ghana</t>
  </si>
  <si>
    <t>Prince ADU - Ghana</t>
  </si>
  <si>
    <t>Marvin SENAYA - Ghana</t>
  </si>
  <si>
    <t>Haiti</t>
  </si>
  <si>
    <t>Johny PLACIDE - Haiti</t>
  </si>
  <si>
    <t>Carlens ARCUS - Haiti</t>
  </si>
  <si>
    <t>Keeto THERMONCY - Haiti</t>
  </si>
  <si>
    <t>Ricardo ADE - Haiti</t>
  </si>
  <si>
    <t>Hannes DELCROIX - Haiti</t>
  </si>
  <si>
    <t>Carl SAINTE - Haiti</t>
  </si>
  <si>
    <t>Derrick ETIENNE - Haiti</t>
  </si>
  <si>
    <t>Martin EXPERIENCE - Haiti</t>
  </si>
  <si>
    <t>Duckens NAZON - Haiti</t>
  </si>
  <si>
    <t>Jean-Ricner BELLEGARDE - Haiti</t>
  </si>
  <si>
    <t>Louicius DEEDSON - Haiti</t>
  </si>
  <si>
    <t>Alexandre PIERRE - Haiti</t>
  </si>
  <si>
    <t>Markhus LACROIX - Haiti</t>
  </si>
  <si>
    <t>Ruben PROVIDENCE - Haiti</t>
  </si>
  <si>
    <t>Lenny JOSEPH - Haiti</t>
  </si>
  <si>
    <t>Danley JEAN JACQUES - Haiti</t>
  </si>
  <si>
    <t>Wilson ISIDOR - Haiti</t>
  </si>
  <si>
    <t>Yassin FORTUNE - Haiti</t>
  </si>
  <si>
    <t>Frantzdy PIERROT - Haiti</t>
  </si>
  <si>
    <t>Josue CASIMIR - Haiti</t>
  </si>
  <si>
    <t>Jean-Kevin DUVERNE - Haiti</t>
  </si>
  <si>
    <t>Josue DUVERGER - Haiti</t>
  </si>
  <si>
    <t>Wilguens PAUGAIN - Haiti</t>
  </si>
  <si>
    <t>Dominique SIMON - Haiti</t>
  </si>
  <si>
    <t>Woodensky PIERRE - Haiti</t>
  </si>
  <si>
    <t>Iran</t>
  </si>
  <si>
    <t>Alireza BEIRANVAND - Iran</t>
  </si>
  <si>
    <t>Saleh HARDANI - Iran</t>
  </si>
  <si>
    <t>Ehsan HAJISAFI - Iran</t>
  </si>
  <si>
    <t>Shoja KHALILZADEH - Iran</t>
  </si>
  <si>
    <t>Milad MOHAMMADI - Iran</t>
  </si>
  <si>
    <t>Saeid EZATOLAHI - Iran</t>
  </si>
  <si>
    <t>Alireza JAHANBAKHSH - Iran</t>
  </si>
  <si>
    <t>Mohammad MOHEBBI - Iran</t>
  </si>
  <si>
    <t>Mehdi TAREMI - Iran</t>
  </si>
  <si>
    <t>Mehdi GHAYEDI - Iran</t>
  </si>
  <si>
    <t>Ali ALIPOUR - Iran</t>
  </si>
  <si>
    <t>Payam NIAZMAND - Iran</t>
  </si>
  <si>
    <t>Hossein KANANI - Iran</t>
  </si>
  <si>
    <t>Saman GHODDOS - Iran</t>
  </si>
  <si>
    <t>Roozbeh CHESHMI - Iran</t>
  </si>
  <si>
    <t>Mehdi TORABI - Iran</t>
  </si>
  <si>
    <t>Arya YOUSEFI - Iran</t>
  </si>
  <si>
    <t>Amirhossein HOSSEINZADEH - Iran</t>
  </si>
  <si>
    <t>Ali NEMATI - Iran</t>
  </si>
  <si>
    <t>Shahriyar MOGHANLOO - Iran</t>
  </si>
  <si>
    <t>Mohammad GHORBANI - Iran</t>
  </si>
  <si>
    <t>Hossein HOSSEINI - Iran</t>
  </si>
  <si>
    <t>Ramin REZAEIAN - Iran</t>
  </si>
  <si>
    <t>Dennis DARGAHI - Iran</t>
  </si>
  <si>
    <t>Danial IRI - Iran</t>
  </si>
  <si>
    <t>Amirmohammad RAZAGHINIA - Iran</t>
  </si>
  <si>
    <t>Iraq</t>
  </si>
  <si>
    <t>Fahad TALIB - Iraq</t>
  </si>
  <si>
    <t>Rebin GHAREEB - Iraq</t>
  </si>
  <si>
    <t>Hussein ALI - Iraq</t>
  </si>
  <si>
    <t>Zaid TAHSEEN - Iraq</t>
  </si>
  <si>
    <t>Akam HASHIM - Iraq</t>
  </si>
  <si>
    <t>Munaf YOUNUS - Iraq</t>
  </si>
  <si>
    <t>Youssef AMYN - Iraq</t>
  </si>
  <si>
    <t>Ibrahim BAYESH - Iraq</t>
  </si>
  <si>
    <t>Ali ALHAMADI - Iraq</t>
  </si>
  <si>
    <t>Mohanad ALI - Iraq</t>
  </si>
  <si>
    <t>Ahmed QASIM - Iraq</t>
  </si>
  <si>
    <t>Jalal HASSAN - Iraq</t>
  </si>
  <si>
    <t>Ali YOUSIF - Iraq</t>
  </si>
  <si>
    <t>Zidane IQBAL - Iraq</t>
  </si>
  <si>
    <t>Amir ALAMMARI - Iraq</t>
  </si>
  <si>
    <t>Ali JASIM - Iraq</t>
  </si>
  <si>
    <t>Aymen HUSSEIN - Iraq</t>
  </si>
  <si>
    <t>Kevin YAKOB - Iraq</t>
  </si>
  <si>
    <t>Aimar SHER - Iraq</t>
  </si>
  <si>
    <t>Marko FARJI - Iraq</t>
  </si>
  <si>
    <t>Ahmed BASIL - Iraq</t>
  </si>
  <si>
    <t>Merchas DOSKI - Iraq</t>
  </si>
  <si>
    <t>Zaid ISMAEL - Iraq</t>
  </si>
  <si>
    <t>Mustafa SAADOON - Iraq</t>
  </si>
  <si>
    <t>Frans PUTROS - Iraq</t>
  </si>
  <si>
    <t>Japan</t>
  </si>
  <si>
    <t>Zion SUZUKI - Japan</t>
  </si>
  <si>
    <t>Yukinari SUGAWARA - Japan</t>
  </si>
  <si>
    <t>Shogo TANIGUCHI - Japan</t>
  </si>
  <si>
    <t>Kou ITAKURA - Japan</t>
  </si>
  <si>
    <t>Yuto NAGATOMO - Japan</t>
  </si>
  <si>
    <t>Ao TANAKA - Japan</t>
  </si>
  <si>
    <t>Takefusa KUBO - Japan</t>
  </si>
  <si>
    <t>Keisuke GOTO - Japan</t>
  </si>
  <si>
    <t>Ritsu DOAN - Japan</t>
  </si>
  <si>
    <t>Daizen MAEDA - Japan</t>
  </si>
  <si>
    <t>Keisuke OSAKO - Japan</t>
  </si>
  <si>
    <t>Keito NAKAMURA - Japan</t>
  </si>
  <si>
    <t>Junya ITO - Japan</t>
  </si>
  <si>
    <t>Daichi KAMADA - Japan</t>
  </si>
  <si>
    <t>Tsuyoshi WATANABE - Japan</t>
  </si>
  <si>
    <t>Yuito SUZUKI - Japan</t>
  </si>
  <si>
    <t>Ayase UEDA - Japan</t>
  </si>
  <si>
    <t>Koki OGAWA - Japan</t>
  </si>
  <si>
    <t>Ayumu SEKO - Japan</t>
  </si>
  <si>
    <t>Hiroki ITO - Japan</t>
  </si>
  <si>
    <t>Takehiro TOMIYASU - Japan</t>
  </si>
  <si>
    <t>Tomoki HAYAKAWA - Japan</t>
  </si>
  <si>
    <t>Kaishu SANO - Japan</t>
  </si>
  <si>
    <t>Junnosuke SUZUKI - Japan</t>
  </si>
  <si>
    <t>Kento SHIOGAI - Japan</t>
  </si>
  <si>
    <t>Yazeed ABULAILA - Jordan</t>
  </si>
  <si>
    <t>Mohammad ABUHASHEESH - Jordan</t>
  </si>
  <si>
    <t>Abdallah NASIB - Jordan</t>
  </si>
  <si>
    <t>Husam ABUDAHAB - Jordan</t>
  </si>
  <si>
    <t>Yazan ALARAB - Jordan</t>
  </si>
  <si>
    <t>Amer JAMOUS - Jordan</t>
  </si>
  <si>
    <t>Mohammad ABUZRAIQ - Jordan</t>
  </si>
  <si>
    <t>Noor ALRAWABDEH - Jordan</t>
  </si>
  <si>
    <t>Ali OLWAN - Jordan</t>
  </si>
  <si>
    <t>Mousa ALTAMARI - Jordan</t>
  </si>
  <si>
    <t>Odeh FAKHOURY - Jordan</t>
  </si>
  <si>
    <t>Nour BANIATEYAH - Jordan</t>
  </si>
  <si>
    <t>Mahmoud ALMARDI - Jordan</t>
  </si>
  <si>
    <t>Rajaei AYED - Jordan</t>
  </si>
  <si>
    <t>Ibrahim SADEH - Jordan</t>
  </si>
  <si>
    <t>Mohammad ABUALNADI - Jordan</t>
  </si>
  <si>
    <t>Saleem OBAID - Jordan</t>
  </si>
  <si>
    <t>Saed ALROSAN - Jordan</t>
  </si>
  <si>
    <t>Mohannad ABUTAHA - Jordan</t>
  </si>
  <si>
    <t>Nizar ALRASHDAN - Jordan</t>
  </si>
  <si>
    <t>Abdallah ALFAKHORI - Jordan</t>
  </si>
  <si>
    <t>Ehsan HADDAD - Jordan</t>
  </si>
  <si>
    <t>Ali AZAIZEH - Jordan</t>
  </si>
  <si>
    <t>Mohammad ALDAOUD - Jordan</t>
  </si>
  <si>
    <t>Anas BADAWI - Jordan</t>
  </si>
  <si>
    <t>South Korea</t>
  </si>
  <si>
    <t>Seunggyu KIM - South Korea</t>
  </si>
  <si>
    <t>Hanbeom LEE - South Korea</t>
  </si>
  <si>
    <t>Gihyuk LEE - South Korea</t>
  </si>
  <si>
    <t>Minjae KIM - South Korea</t>
  </si>
  <si>
    <t>Taehyeon KIM - South Korea</t>
  </si>
  <si>
    <t>Inbeom HWANG - South Korea</t>
  </si>
  <si>
    <t>Heungmin SON - South Korea</t>
  </si>
  <si>
    <t>Seungho PAIK - South Korea</t>
  </si>
  <si>
    <t>Guesung CHO - South Korea</t>
  </si>
  <si>
    <t>Jaesung LEE - South Korea</t>
  </si>
  <si>
    <t>Heechan HWANG - South Korea</t>
  </si>
  <si>
    <t>Bumkeun SONG - South Korea</t>
  </si>
  <si>
    <t>Taeseok LEE - South Korea</t>
  </si>
  <si>
    <t>Wije CHO - South Korea</t>
  </si>
  <si>
    <t>Moonhwan KIM - South Korea</t>
  </si>
  <si>
    <t>Jinseob PARK - South Korea</t>
  </si>
  <si>
    <t>Junho BAE - South Korea</t>
  </si>
  <si>
    <t>Hyeongyu OH - South Korea</t>
  </si>
  <si>
    <t>Kangin LEE - South Korea</t>
  </si>
  <si>
    <t>Hyunjun YANG - South Korea</t>
  </si>
  <si>
    <t>Hyeonwoo JO - South Korea</t>
  </si>
  <si>
    <t>Youngwoo SEOL - South Korea</t>
  </si>
  <si>
    <t>Jens CASTROP - South Korea</t>
  </si>
  <si>
    <t>Jingyu KIM - South Korea</t>
  </si>
  <si>
    <t>Jisung EOM - South Korea</t>
  </si>
  <si>
    <t>Donggyeong LEE - South Korea</t>
  </si>
  <si>
    <t>Mexico</t>
  </si>
  <si>
    <t>Raul RANGEL - Mexico</t>
  </si>
  <si>
    <t>Jorge SANCHEZ - Mexico</t>
  </si>
  <si>
    <t>Cesar MONTES - Mexico</t>
  </si>
  <si>
    <t>Edson ALVAREZ - Mexico</t>
  </si>
  <si>
    <t>Johan VASQUEZ - Mexico</t>
  </si>
  <si>
    <t>Erik LIRA - Mexico</t>
  </si>
  <si>
    <t>Luis ROMO - Mexico</t>
  </si>
  <si>
    <t>Alvaro FIDALGO - Mexico</t>
  </si>
  <si>
    <t>Raul JIMENEZ - Mexico</t>
  </si>
  <si>
    <t>Alexis VEGA - Mexico</t>
  </si>
  <si>
    <t>Santiago GIMENEZ - Mexico</t>
  </si>
  <si>
    <t>Carlos ACEVEDO - Mexico</t>
  </si>
  <si>
    <t>Guillermo OCHOA - Mexico</t>
  </si>
  <si>
    <t>Armando GONZALEZ - Mexico</t>
  </si>
  <si>
    <t>Israel REYES - Mexico</t>
  </si>
  <si>
    <t>Julian QUINONES - Mexico</t>
  </si>
  <si>
    <t>Orbelin PINEDA - Mexico</t>
  </si>
  <si>
    <t>Obed VARGAS - Mexico</t>
  </si>
  <si>
    <t>Gilberto MORA - Mexico</t>
  </si>
  <si>
    <t>Mateo CHAVEZ - Mexico</t>
  </si>
  <si>
    <t>Cesar HUERTA - Mexico</t>
  </si>
  <si>
    <t>Guillermo MARTINEZ - Mexico</t>
  </si>
  <si>
    <t>Jesus GALLARDO - Mexico</t>
  </si>
  <si>
    <t>Luis CHAVEZ - Mexico</t>
  </si>
  <si>
    <t>Roberto ALVARADO - Mexico</t>
  </si>
  <si>
    <t>Brian GUTIERREZ - Mexico</t>
  </si>
  <si>
    <t>Morocco</t>
  </si>
  <si>
    <t>Yassine BOUNOU - Morocco</t>
  </si>
  <si>
    <t>Achraf HAKIMI - Morocco</t>
  </si>
  <si>
    <t>Noussair MAZRAOUI - Morocco</t>
  </si>
  <si>
    <t>Sofyan AMRABAT - Morocco</t>
  </si>
  <si>
    <t>Ayyoub BOUADDI - Morocco</t>
  </si>
  <si>
    <t>Chemsdine TALBI - Morocco</t>
  </si>
  <si>
    <t>Azzedine OUNAHI - Morocco</t>
  </si>
  <si>
    <t>Souane RAHIMI - Morocco</t>
  </si>
  <si>
    <t>Brahim DIAZ - Morocco</t>
  </si>
  <si>
    <t>Ismael SAIBARI - Morocco</t>
  </si>
  <si>
    <t>Munir EL KAJOUI - Morocco</t>
  </si>
  <si>
    <t>Zakaria EL OUAHDI - Morocco</t>
  </si>
  <si>
    <t>Issa DIOP - Morocco</t>
  </si>
  <si>
    <t>Samir EL MOURABET - Morocco</t>
  </si>
  <si>
    <t>Gessime YASSINE - Morocco</t>
  </si>
  <si>
    <t>Chadi RIAD - Morocco</t>
  </si>
  <si>
    <t>Youssef BELAMMARI - Morocco</t>
  </si>
  <si>
    <t>Ayoub EL KAABI - Morocco</t>
  </si>
  <si>
    <t>Ayoub AMAIMOUNI - Morocco</t>
  </si>
  <si>
    <t>Ahmed Reda TAGNAOUTI - Morocco</t>
  </si>
  <si>
    <t>Bilal EL KHANNOUSS - Morocco</t>
  </si>
  <si>
    <t>Neil EL AYNAOUI - Morocco</t>
  </si>
  <si>
    <t>Redouane HALHAL - Morocco</t>
  </si>
  <si>
    <t>Anass SALAH EDDINE - Morocco</t>
  </si>
  <si>
    <t>Netherlands</t>
  </si>
  <si>
    <t>Bart VERBRUGGEN - Netherlands</t>
  </si>
  <si>
    <t>Lutsharel GEERTRUIDA - Netherlands</t>
  </si>
  <si>
    <t>Marten DE ROON - Netherlands</t>
  </si>
  <si>
    <t>Virgil VAN DIJK - Netherlands</t>
  </si>
  <si>
    <t>Nathan AKE - Netherlands</t>
  </si>
  <si>
    <t>Jan Paul VAN HECKE - Netherlands</t>
  </si>
  <si>
    <t>Justin KLUIVERT - Netherlands</t>
  </si>
  <si>
    <t>Ryan GRAVENBERCH - Netherlands</t>
  </si>
  <si>
    <t>Wout WEGHORST - Netherlands</t>
  </si>
  <si>
    <t>Memphis DEPAY - Netherlands</t>
  </si>
  <si>
    <t>Cody GAKPO - Netherlands</t>
  </si>
  <si>
    <t>Mats WIEFFER - Netherlands</t>
  </si>
  <si>
    <t>Robin ROEFS - Netherlands</t>
  </si>
  <si>
    <t>Tijjani REIJNDERS - Netherlands</t>
  </si>
  <si>
    <t>Micky VAN DE VEN - Netherlands</t>
  </si>
  <si>
    <t>Guus TIL - Netherlands</t>
  </si>
  <si>
    <t>Noa LANG - Netherlands</t>
  </si>
  <si>
    <t>Donyell MALEN - Netherlands</t>
  </si>
  <si>
    <t>Brian BROBBEY - Netherlands</t>
  </si>
  <si>
    <t>Teun KOOPMEINERS - Netherlands</t>
  </si>
  <si>
    <t>Frenkie DE JONG - Netherlands</t>
  </si>
  <si>
    <t>Denzel DUMFRIES - Netherlands</t>
  </si>
  <si>
    <t>Mark FLEKKEN - Netherlands</t>
  </si>
  <si>
    <t>Crysencio SUMMERVILLE - Netherlands</t>
  </si>
  <si>
    <t>Jorrel HATO - Netherlands</t>
  </si>
  <si>
    <t>Quinten TIMBER - Netherlands</t>
  </si>
  <si>
    <t>New Zealand</t>
  </si>
  <si>
    <t>Max CROCOMBE - New Zealand</t>
  </si>
  <si>
    <t>Tim PAYNE - New Zealand</t>
  </si>
  <si>
    <t>Francis DE VRIES - New Zealand</t>
  </si>
  <si>
    <t>Tyler BINDON - New Zealand</t>
  </si>
  <si>
    <t>Michael BOXALL - New Zealand</t>
  </si>
  <si>
    <t>Joe BELL - New Zealand</t>
  </si>
  <si>
    <t>Marko STAMENIC - New Zealand</t>
  </si>
  <si>
    <t>Chris WOOD - New Zealand</t>
  </si>
  <si>
    <t>Sarpreet SINGH - New Zealand</t>
  </si>
  <si>
    <t>Elijah JUST - New Zealand</t>
  </si>
  <si>
    <t>Alex PAULSEN - New Zealand</t>
  </si>
  <si>
    <t>Liberato CACACE - New Zealand</t>
  </si>
  <si>
    <t>Alex RUFER - New Zealand</t>
  </si>
  <si>
    <t>Nando PIJNAKER - New Zealand</t>
  </si>
  <si>
    <t>Finn SURMAN - New Zealand</t>
  </si>
  <si>
    <t>Kosta BARBAROUSES - New Zealand</t>
  </si>
  <si>
    <t>Ben WAINE - New Zealand</t>
  </si>
  <si>
    <t>Ben OLD - New Zealand</t>
  </si>
  <si>
    <t>Callum McCOWATT - New Zealand</t>
  </si>
  <si>
    <t>Jesse RANDALL - New Zealand</t>
  </si>
  <si>
    <t>Michael WOUD - New Zealand</t>
  </si>
  <si>
    <t>Ryan THOMAS - New Zealand</t>
  </si>
  <si>
    <t>Callan ELLIOT - New Zealand</t>
  </si>
  <si>
    <t>Lachlan BAYLISS - New Zealand</t>
  </si>
  <si>
    <t>Tommy SMITH - New Zealand</t>
  </si>
  <si>
    <t>Norway</t>
  </si>
  <si>
    <t>Orjan NYLAND - Norway</t>
  </si>
  <si>
    <t>Morten THORSBY - Norway</t>
  </si>
  <si>
    <t>Kristoffer AJER - Norway</t>
  </si>
  <si>
    <t>Leo OSTIGARD - Norway</t>
  </si>
  <si>
    <t>David MOLLER WOLFE - Norway</t>
  </si>
  <si>
    <t>Patrick BERG - Norway</t>
  </si>
  <si>
    <t>Alexander SORLOTH - Norway</t>
  </si>
  <si>
    <t>Sander BERGE - Norway</t>
  </si>
  <si>
    <t>Erling HAALAND - Norway</t>
  </si>
  <si>
    <t>Martin ODEGAARD - Norway</t>
  </si>
  <si>
    <t>Jorgen STRAND LARSEN - Norway</t>
  </si>
  <si>
    <t>Sander TANGVIK - Norway</t>
  </si>
  <si>
    <t>Egil SELVIK - Norway</t>
  </si>
  <si>
    <t>Fredrik AURSNES - Norway</t>
  </si>
  <si>
    <t>Fredrik Andre BJORKAN - Norway</t>
  </si>
  <si>
    <t>Marcus Holmgren PEDERSEN - Norway</t>
  </si>
  <si>
    <t>Torbjorn HEGGEM - Norway</t>
  </si>
  <si>
    <t>Kristian THORSTVEDT - Norway</t>
  </si>
  <si>
    <t>Thelo AASGAARD - Norway</t>
  </si>
  <si>
    <t>Antonio NUSA - Norway</t>
  </si>
  <si>
    <t>Andreas SCHJELDERUP - Norway</t>
  </si>
  <si>
    <t>Oscar BOBB - Norway</t>
  </si>
  <si>
    <t>Jens Petter HAUGE - Norway</t>
  </si>
  <si>
    <t>Sondre LANGAS - Norway</t>
  </si>
  <si>
    <t>Henrik FALCHENER - Norway</t>
  </si>
  <si>
    <t>Julian RYERSON - Norway</t>
  </si>
  <si>
    <t>Panama</t>
  </si>
  <si>
    <t>Luis MEJIA - Panama</t>
  </si>
  <si>
    <t>Cesar BLACKMAN - Panama</t>
  </si>
  <si>
    <t>Jose CORDOBA - Panama</t>
  </si>
  <si>
    <t>Fidel ESCOBAR - Panama</t>
  </si>
  <si>
    <t>Edgardo FARINA - Panama</t>
  </si>
  <si>
    <t>Cristian MARTINEZ - Panama</t>
  </si>
  <si>
    <t>Jose Luis RODRIGUEZ - Panama</t>
  </si>
  <si>
    <t>Adalberto CARRASQUILLA - Panama</t>
  </si>
  <si>
    <t>Tomas RODRIGUEZ - Panama</t>
  </si>
  <si>
    <t>Ismael DIAZ - Panama</t>
  </si>
  <si>
    <t>Edgar Yoel BARCENAS - Panama</t>
  </si>
  <si>
    <t>Cesar SAMUDIO - Panama</t>
  </si>
  <si>
    <t>Jiovany RAMOS - Panama</t>
  </si>
  <si>
    <t>Carlos HARVEY - Panama</t>
  </si>
  <si>
    <t>Eric DAVIS - Panama</t>
  </si>
  <si>
    <t>Andres ANDRADE - Panama</t>
  </si>
  <si>
    <t>Jose FAJARDO - Panama</t>
  </si>
  <si>
    <t>Cecilio WATERMAN - Panama</t>
  </si>
  <si>
    <t>Alberto QUINTERO - Panama</t>
  </si>
  <si>
    <t>Anibal GODOY - Panama</t>
  </si>
  <si>
    <t>Cesar YANIS - Panama</t>
  </si>
  <si>
    <t>Orlando MOSQUERA - Panama</t>
  </si>
  <si>
    <t>Amir MURILLO - Panama</t>
  </si>
  <si>
    <t>Azarias LONDONO - Panama</t>
  </si>
  <si>
    <t>Roderick MILLER - Panama</t>
  </si>
  <si>
    <t>Jorge GUTIERREZ - Panama</t>
  </si>
  <si>
    <t>Paraguay</t>
  </si>
  <si>
    <t>Gatito FERNANDEZ - Paraguay</t>
  </si>
  <si>
    <t>Gustavo VELAZQUEZ - Paraguay</t>
  </si>
  <si>
    <t>Omar ALDERETE - Paraguay</t>
  </si>
  <si>
    <t>Juan Jose CACERES - Paraguay</t>
  </si>
  <si>
    <t>Fabian BALBUENA - Paraguay</t>
  </si>
  <si>
    <t>Junior ALONSO - Paraguay</t>
  </si>
  <si>
    <t>Ramon SOSA - Paraguay</t>
  </si>
  <si>
    <t>Diego GOMEZ - Paraguay</t>
  </si>
  <si>
    <t>Antonio SANABRIA - Paraguay</t>
  </si>
  <si>
    <t>Miguel ALMIRON - Paraguay</t>
  </si>
  <si>
    <t>Mauricio MAURICIO - Paraguay</t>
  </si>
  <si>
    <t>Orlando GILL - Paraguay</t>
  </si>
  <si>
    <t>Jose CANALE - Paraguay</t>
  </si>
  <si>
    <t>Andres CUBAS - Paraguay</t>
  </si>
  <si>
    <t>Gustavo GOMEZ - Paraguay</t>
  </si>
  <si>
    <t>Damian BOBADILLA - Paraguay</t>
  </si>
  <si>
    <t>Alejandro ROMERO GAMARRA - Paraguay</t>
  </si>
  <si>
    <t>Alex ARCE - Paraguay</t>
  </si>
  <si>
    <t>Julio ENCISO - Paraguay</t>
  </si>
  <si>
    <t>Braian OJEDA - Paraguay</t>
  </si>
  <si>
    <t>Gabriel AVALOS - Paraguay</t>
  </si>
  <si>
    <t>Gaston OLVEIRA - Paraguay</t>
  </si>
  <si>
    <t>Matias GALARZA - Paraguay</t>
  </si>
  <si>
    <t>Gustavo CABALLERO - Paraguay</t>
  </si>
  <si>
    <t>Isidro PITTA - Paraguay</t>
  </si>
  <si>
    <t>Alexandro MAIDANA - Paraguay</t>
  </si>
  <si>
    <t>Portugal</t>
  </si>
  <si>
    <t>Diogo COSTA - Portugal</t>
  </si>
  <si>
    <t>Nelson SEMEDO - Portugal</t>
  </si>
  <si>
    <t>Ruben DIAS - Portugal</t>
  </si>
  <si>
    <t>Tomas ARAUJO - Portugal</t>
  </si>
  <si>
    <t>Diogo DALOT - Portugal</t>
  </si>
  <si>
    <t>Matheus NUNES - Portugal</t>
  </si>
  <si>
    <t>Cristiano RONALDO - Portugal</t>
  </si>
  <si>
    <t>Bruno FERNANDES - Portugal</t>
  </si>
  <si>
    <t>Goncalo RAMOS - Portugal</t>
  </si>
  <si>
    <t>Bernardo SILVA - Portugal</t>
  </si>
  <si>
    <t>Joao FELIX - Portugal</t>
  </si>
  <si>
    <t>Jose SA - Portugal</t>
  </si>
  <si>
    <t>Renato VEIGA - Portugal</t>
  </si>
  <si>
    <t>Goncalo INACIO - Portugal</t>
  </si>
  <si>
    <t>Joao NEVES - Portugal</t>
  </si>
  <si>
    <t>Francisco TRINCAO - Portugal</t>
  </si>
  <si>
    <t>Rafael LEAO - Portugal</t>
  </si>
  <si>
    <t>Pedro NETO - Portugal</t>
  </si>
  <si>
    <t>Goncalo GUEDES - Portugal</t>
  </si>
  <si>
    <t>Joao CANCELO - Portugal</t>
  </si>
  <si>
    <t>Ruben NEVES - Portugal</t>
  </si>
  <si>
    <t>Rui SILVA - Portugal</t>
  </si>
  <si>
    <t>Vitinha VITINHA - Portugal</t>
  </si>
  <si>
    <t>Samu COSTA - Portugal</t>
  </si>
  <si>
    <t>Nuno MENDES - Portugal</t>
  </si>
  <si>
    <t>Francisco CONCEICAO - Portugal</t>
  </si>
  <si>
    <t>Qatar</t>
  </si>
  <si>
    <t>Mahmoud ABUNADA - Qatar</t>
  </si>
  <si>
    <t>Pedro MIGUEL - Qatar</t>
  </si>
  <si>
    <t>Lucas MENDES - Qatar</t>
  </si>
  <si>
    <t>Issa Laye GUEYE - Qatar</t>
  </si>
  <si>
    <t>Jassem GABER - Qatar</t>
  </si>
  <si>
    <t>Abdulaziz HATEM - Qatar</t>
  </si>
  <si>
    <t>Ahmed ALAAELDIN - Qatar</t>
  </si>
  <si>
    <t>Edmilson Junior EDMILSON JUNIOR - Qatar</t>
  </si>
  <si>
    <t>Mohammed MUNTARI - Qatar</t>
  </si>
  <si>
    <t>Hassan ALHAYDOS - Qatar</t>
  </si>
  <si>
    <t>Akram AFIF - Qatar</t>
  </si>
  <si>
    <t>Karim BOUDIAF - Qatar</t>
  </si>
  <si>
    <t>Ayoub ALOUI - Qatar</t>
  </si>
  <si>
    <t>Homam AHMED - Qatar</t>
  </si>
  <si>
    <t>Yusuf ABDURISAG - Qatar</t>
  </si>
  <si>
    <t>Boualem KHOUKHI - Qatar</t>
  </si>
  <si>
    <t>Ahmed ALGANEHI - Qatar</t>
  </si>
  <si>
    <t>Sultan ALBRAKE - Qatar</t>
  </si>
  <si>
    <t>Almoez ALI - Qatar</t>
  </si>
  <si>
    <t>Ahmed FATHY - Qatar</t>
  </si>
  <si>
    <t>Salah ZAKARIA - Qatar</t>
  </si>
  <si>
    <t>Meshaal BARSHAM - Qatar</t>
  </si>
  <si>
    <t>Assim MADIBO - Qatar</t>
  </si>
  <si>
    <t>Tahsin JAMSHID - Qatar</t>
  </si>
  <si>
    <t>Alhashmi ALHUSSEIN - Qatar</t>
  </si>
  <si>
    <t>Mohamed MANAI - Qatar</t>
  </si>
  <si>
    <t>Saudi Arabia</t>
  </si>
  <si>
    <t>Nawaf ALAQIDI - Saudi Arabia</t>
  </si>
  <si>
    <t>Ali MAJRASHI - Saudi Arabia</t>
  </si>
  <si>
    <t>Ali LAJAMI - Saudi Arabia</t>
  </si>
  <si>
    <t>Abdulelah ALAMRI - Saudi Arabia</t>
  </si>
  <si>
    <t>Hassan ALTAMBAKTI - Saudi Arabia</t>
  </si>
  <si>
    <t>Nasser ALDAWSARI - Saudi Arabia</t>
  </si>
  <si>
    <t>Musab ALJUWAYR - Saudi Arabia</t>
  </si>
  <si>
    <t>Aiman YAHYA - Saudi Arabia</t>
  </si>
  <si>
    <t>Feras ALBRIKAN - Saudi Arabia</t>
  </si>
  <si>
    <t>Salem ALDAWSARI - Saudi Arabia</t>
  </si>
  <si>
    <t>Saleh ALSHEHRI - Saudi Arabia</t>
  </si>
  <si>
    <t>Saud ABDULHAMID - Saudi Arabia</t>
  </si>
  <si>
    <t>Nawaf BU WASHL - Saudi Arabia</t>
  </si>
  <si>
    <t>Hassan KADISH - Saudi Arabia</t>
  </si>
  <si>
    <t>Abdullah ALKHAIBARI - Saudi Arabia</t>
  </si>
  <si>
    <t>Ziyad ALJOHANI - Saudi Arabia</t>
  </si>
  <si>
    <t>Khalid ALGHANNAM - Saudi Arabia</t>
  </si>
  <si>
    <t>Ala ALHAJJI - Saudi Arabia</t>
  </si>
  <si>
    <t>Abdullah ALHAMDDAN - Saudi Arabia</t>
  </si>
  <si>
    <t>Sultan MANDASH - Saudi Arabia</t>
  </si>
  <si>
    <t>Mohammed ALOWAIS - Saudi Arabia</t>
  </si>
  <si>
    <t>Ahmed ALKASSAR - Saudi Arabia</t>
  </si>
  <si>
    <t>Mohamed KANNO - Saudi Arabia</t>
  </si>
  <si>
    <t>Moteb ALHARBI - Saudi Arabia</t>
  </si>
  <si>
    <t>Jehad THIKRI - Saudi Arabia</t>
  </si>
  <si>
    <t>Mohammed ABU ALSHAMAT - Saudi Arabia</t>
  </si>
  <si>
    <t>Scotland</t>
  </si>
  <si>
    <t>Angus GUNN - Scotland</t>
  </si>
  <si>
    <t>Aaron HICKEY - Scotland</t>
  </si>
  <si>
    <t>Andy ROBERTSON - Scotland</t>
  </si>
  <si>
    <t>Scott McTOMINAY - Scotland</t>
  </si>
  <si>
    <t>Grant HANLEY - Scotland</t>
  </si>
  <si>
    <t>Kieran TIERNEY - Scotland</t>
  </si>
  <si>
    <t>John McGINN - Scotland</t>
  </si>
  <si>
    <t>Tyler FLETCHER - Scotland</t>
  </si>
  <si>
    <t>Lyndon DYKES - Scotland</t>
  </si>
  <si>
    <t>Che ADAMS - Scotland</t>
  </si>
  <si>
    <t>Ryan CHRISTIE - Scotland</t>
  </si>
  <si>
    <t>Liam KELLY - Scotland</t>
  </si>
  <si>
    <t>Jack HENDRY - Scotland</t>
  </si>
  <si>
    <t>Ross STEWART - Scotland</t>
  </si>
  <si>
    <t>John SOUTTAR - Scotland</t>
  </si>
  <si>
    <t>Dominic HYAM - Scotland</t>
  </si>
  <si>
    <t>Ben GANNON-DOAK - Scotland</t>
  </si>
  <si>
    <t>George HIRST - Scotland</t>
  </si>
  <si>
    <t>Lewis FERGUSON - Scotland</t>
  </si>
  <si>
    <t>Lawrence SHANKLAND - Scotland</t>
  </si>
  <si>
    <t>Craig GORDON - Scotland</t>
  </si>
  <si>
    <t>Nathan PATTERSON - Scotland</t>
  </si>
  <si>
    <t>Kenny McLEAN - Scotland</t>
  </si>
  <si>
    <t>Anthony RALSTON - Scotland</t>
  </si>
  <si>
    <t>Findlay CURTIS - Scotland</t>
  </si>
  <si>
    <t>Scott McKENNA - Scotland</t>
  </si>
  <si>
    <t>Senegal</t>
  </si>
  <si>
    <t>Yehvann DIOUF - Senegal</t>
  </si>
  <si>
    <t>Mamadou SARR - Senegal</t>
  </si>
  <si>
    <t>Kalidou KOULIBALY - Senegal</t>
  </si>
  <si>
    <t>Abdoulaye SECK - Senegal</t>
  </si>
  <si>
    <t>Idrissa GUEYE - Senegal</t>
  </si>
  <si>
    <t>Pathe CISS - Senegal</t>
  </si>
  <si>
    <t>Assane DIAO - Senegal</t>
  </si>
  <si>
    <t>Lamine CAMARA - Senegal</t>
  </si>
  <si>
    <t>Bamba DIENG - Senegal</t>
  </si>
  <si>
    <t>Sadio MANE - Senegal</t>
  </si>
  <si>
    <t>Nicolas JACKSON - Senegal</t>
  </si>
  <si>
    <t>Pape Cherif NDIAYE - Senegal</t>
  </si>
  <si>
    <t>Iliman NDIAYE - Senegal</t>
  </si>
  <si>
    <t>Ismail JAKOBS - Senegal</t>
  </si>
  <si>
    <t>Krepin DIATTA - Senegal</t>
  </si>
  <si>
    <t>Edouard MENDY - Senegal</t>
  </si>
  <si>
    <t>Pape Matar SARR - Senegal</t>
  </si>
  <si>
    <t>Ismaila SARR - Senegal</t>
  </si>
  <si>
    <t>Moussa NIAKHATE - Senegal</t>
  </si>
  <si>
    <t>Ibrahim MBAYE - Senegal</t>
  </si>
  <si>
    <t>Habib DIARRA - Senegal</t>
  </si>
  <si>
    <t>Bara Sapoko NDIAYE - Senegal</t>
  </si>
  <si>
    <t>Mory DIAW - Senegal</t>
  </si>
  <si>
    <t>Antoine MENDY - Senegal</t>
  </si>
  <si>
    <t>El Hadji Malick DIOUF - Senegal</t>
  </si>
  <si>
    <t>Pape GUEYE - Senegal</t>
  </si>
  <si>
    <t>South Africa</t>
  </si>
  <si>
    <t>Ronwen WILLIAMS - South Africa</t>
  </si>
  <si>
    <t>Thabang MATULUDI - South Africa</t>
  </si>
  <si>
    <t>Khulumani NDAMANE - South Africa</t>
  </si>
  <si>
    <t>Teboho MOKOENA - South Africa</t>
  </si>
  <si>
    <t>Thalente MBATHA - South Africa</t>
  </si>
  <si>
    <t>Aubrey MODIBA - South Africa</t>
  </si>
  <si>
    <t>Oswin APPOLLIS - South Africa</t>
  </si>
  <si>
    <t>Tshepang MOREMI - South Africa</t>
  </si>
  <si>
    <t>Lyle FOSTER - South Africa</t>
  </si>
  <si>
    <t>Relebohile MOFOKENG - South Africa</t>
  </si>
  <si>
    <t>Themba ZWANE - South Africa</t>
  </si>
  <si>
    <t>Thapelo MASEKO - South Africa</t>
  </si>
  <si>
    <t>Sphephelo SITHOLE - South Africa</t>
  </si>
  <si>
    <t>Mbekezeli MBOKAZI - South Africa</t>
  </si>
  <si>
    <t>Iqraam RAYNERS - South Africa</t>
  </si>
  <si>
    <t>Sipho CHAINE - South Africa</t>
  </si>
  <si>
    <t>Evidence MAKGOPA - South Africa</t>
  </si>
  <si>
    <t>Samukelo KABINI - South Africa</t>
  </si>
  <si>
    <t>Nkosinathi SIBISI - South Africa</t>
  </si>
  <si>
    <t>Khuliso MUDAU - South Africa</t>
  </si>
  <si>
    <t>Ime OKON - South Africa</t>
  </si>
  <si>
    <t>Ricardo GOSS - South Africa</t>
  </si>
  <si>
    <t>Jayden ADAMS - South Africa</t>
  </si>
  <si>
    <t>Olwethu MAKHANYA - South Africa</t>
  </si>
  <si>
    <t>Kamogelo SEBELEBELE - South Africa</t>
  </si>
  <si>
    <t>Bradley CROSS - South Africa</t>
  </si>
  <si>
    <t>Spain</t>
  </si>
  <si>
    <t>David RAYA - Spain</t>
  </si>
  <si>
    <t>Marc PUBILL - Spain</t>
  </si>
  <si>
    <t>Alex GRIMALDO - Spain</t>
  </si>
  <si>
    <t>Eric GARCIA - Spain</t>
  </si>
  <si>
    <t>Marcos LLORENTE - Spain</t>
  </si>
  <si>
    <t>Mikel MERINO - Spain</t>
  </si>
  <si>
    <t>Ferran TORRES - Spain</t>
  </si>
  <si>
    <t>Fabian RUIZ - Spain</t>
  </si>
  <si>
    <t>Gavi GAVI - Spain</t>
  </si>
  <si>
    <t>Dani OLMO - Spain</t>
  </si>
  <si>
    <t>Yeremy PINO - Spain</t>
  </si>
  <si>
    <t>Pedro PORRO - Spain</t>
  </si>
  <si>
    <t>Joan GARCIA - Spain</t>
  </si>
  <si>
    <t>Aymeric LAPORTE - Spain</t>
  </si>
  <si>
    <t>Alex BAENA - Spain</t>
  </si>
  <si>
    <t>Rodri RODRI - Spain</t>
  </si>
  <si>
    <t>Nico WILLIAMS - Spain</t>
  </si>
  <si>
    <t>Martin ZUBIMENDI - Spain</t>
  </si>
  <si>
    <t>Lamine YAMAL - Spain</t>
  </si>
  <si>
    <t>Pedri PEDRI - Spain</t>
  </si>
  <si>
    <t>Mikel OYARZABAL - Spain</t>
  </si>
  <si>
    <t>Pau CUBARSI - Spain</t>
  </si>
  <si>
    <t>Unai SIMON - Spain</t>
  </si>
  <si>
    <t>Marc CUCURELLA - Spain</t>
  </si>
  <si>
    <t>Victor MUNOZ - Spain</t>
  </si>
  <si>
    <t>Borja IGLESIAS - Spain</t>
  </si>
  <si>
    <t>Sweden</t>
  </si>
  <si>
    <t>Jacob WIDELL ZETTERSTROM - Sweden</t>
  </si>
  <si>
    <t>Gustaf LAGERBIELKE - Sweden</t>
  </si>
  <si>
    <t>Victor LINDELOF - Sweden</t>
  </si>
  <si>
    <t>Isak HIEN - Sweden</t>
  </si>
  <si>
    <t>Gabriel GUDMUNDSSON - Sweden</t>
  </si>
  <si>
    <t>Herman JOHANSSON - Sweden</t>
  </si>
  <si>
    <t>Lucas BERGVALL - Sweden</t>
  </si>
  <si>
    <t>Daniel SVENSSON - Sweden</t>
  </si>
  <si>
    <t>Alexander ISAK - Sweden</t>
  </si>
  <si>
    <t>Benjamin NYGREN - Sweden</t>
  </si>
  <si>
    <t>Anthony ELANGA - Sweden</t>
  </si>
  <si>
    <t>Viktor JOHANSSON - Sweden</t>
  </si>
  <si>
    <t>Ken SEMA - Sweden</t>
  </si>
  <si>
    <t>Hjalmar EKDAL - Sweden</t>
  </si>
  <si>
    <t>Carl STARFELT - Sweden</t>
  </si>
  <si>
    <t>Jesper KARLSTROM - Sweden</t>
  </si>
  <si>
    <t>Viktor GYOKERES - Sweden</t>
  </si>
  <si>
    <t>Yasin AYARI - Sweden</t>
  </si>
  <si>
    <t>Mattias SVANBERG - Sweden</t>
  </si>
  <si>
    <t>Eric SMITH - Sweden</t>
  </si>
  <si>
    <t>Alexander BERNHARDSSON - Sweden</t>
  </si>
  <si>
    <t>Besfort ZENELI - Sweden</t>
  </si>
  <si>
    <t>Kristoffer NORDFELDT - Sweden</t>
  </si>
  <si>
    <t>Elliot STROUD - Sweden</t>
  </si>
  <si>
    <t>Gustaf NILSSON - Sweden</t>
  </si>
  <si>
    <t>Taha ALI - Sweden</t>
  </si>
  <si>
    <t>Switzerland</t>
  </si>
  <si>
    <t>Gregor KOBEL - Switzerland</t>
  </si>
  <si>
    <t>Miro MUHEIM - Switzerland</t>
  </si>
  <si>
    <t>Silvan WIDMER - Switzerland</t>
  </si>
  <si>
    <t>Nico ELVEDI - Switzerland</t>
  </si>
  <si>
    <t>Manuel AKANJI - Switzerland</t>
  </si>
  <si>
    <t>Denis ZAKARIA - Switzerland</t>
  </si>
  <si>
    <t>Breel EMBOLO - Switzerland</t>
  </si>
  <si>
    <t>Remo FREULER - Switzerland</t>
  </si>
  <si>
    <t>Johan MANZAMBI - Switzerland</t>
  </si>
  <si>
    <t>Granit XHAKA - Switzerland</t>
  </si>
  <si>
    <t>Dan NDOYE - Switzerland</t>
  </si>
  <si>
    <t>Yvon MVOGO - Switzerland</t>
  </si>
  <si>
    <t>Ricardo RODRIGUEZ - Switzerland</t>
  </si>
  <si>
    <t>Ardon JASHARI - Switzerland</t>
  </si>
  <si>
    <t>Djibril SOW - Switzerland</t>
  </si>
  <si>
    <t>Christian FASSNACHT - Switzerland</t>
  </si>
  <si>
    <t>Ruben VARGAS - Switzerland</t>
  </si>
  <si>
    <t>Eray COEMERT - Switzerland</t>
  </si>
  <si>
    <t>Noah OKAFOR - Switzerland</t>
  </si>
  <si>
    <t>Michel AEBISCHER - Switzerland</t>
  </si>
  <si>
    <t>Marvin KELLER - Switzerland</t>
  </si>
  <si>
    <t>Fabian RIEDER - Switzerland</t>
  </si>
  <si>
    <t>Zeki AMDOUNI - Switzerland</t>
  </si>
  <si>
    <t>Aurele AMENDA - Switzerland</t>
  </si>
  <si>
    <t>Luca JAQUEZ - Switzerland</t>
  </si>
  <si>
    <t>Cedric ITTEN - Switzerland</t>
  </si>
  <si>
    <t>Tunisia</t>
  </si>
  <si>
    <t>Mouhib CHAMAKH - Tunisia</t>
  </si>
  <si>
    <t>Ali ABDI - Tunisia</t>
  </si>
  <si>
    <t>Montassar TALBI - Tunisia</t>
  </si>
  <si>
    <t>Omar REKIK - Tunisia</t>
  </si>
  <si>
    <t>Adam AROUS - Tunisia</t>
  </si>
  <si>
    <t>Dylan BRONN - Tunisia</t>
  </si>
  <si>
    <t>Elias ACHOURI - Tunisia</t>
  </si>
  <si>
    <t>Elias SAAD - Tunisia</t>
  </si>
  <si>
    <t>Hazem MASTOURI - Tunisia</t>
  </si>
  <si>
    <t>Hannibal MEJBRI - Tunisia</t>
  </si>
  <si>
    <t>Ismael GHARBI - Tunisia</t>
  </si>
  <si>
    <t>Mortadha BEN OUANES - Tunisia</t>
  </si>
  <si>
    <t>Rani KHEDIRA - Tunisia</t>
  </si>
  <si>
    <t>Khalil AYARI - Tunisia</t>
  </si>
  <si>
    <t>Mohamed HADJ MAHMOUD - Tunisia</t>
  </si>
  <si>
    <t>Aymen DAHMEN - Tunisia</t>
  </si>
  <si>
    <t>Ellyes SKHIRI - Tunisia</t>
  </si>
  <si>
    <t>Rayan ELLOUMI - Tunisia</t>
  </si>
  <si>
    <t>Firas CHAOUAT - Tunisia</t>
  </si>
  <si>
    <t>Yan VALERY - Tunisia</t>
  </si>
  <si>
    <t>Mohamed Amine BEN HMIDA - Tunisia</t>
  </si>
  <si>
    <t>Sabri BEN HESSEN - Tunisia</t>
  </si>
  <si>
    <t>Moutaz NEFFATI - Tunisia</t>
  </si>
  <si>
    <t>Raed CHIKHAOUI - Tunisia</t>
  </si>
  <si>
    <t>Anis SLIMANE - Tunisia</t>
  </si>
  <si>
    <t>Sebastian TOUNEKTI - Tunisia</t>
  </si>
  <si>
    <t>Türkiye</t>
  </si>
  <si>
    <t>Mert GUNOK - Türkiye</t>
  </si>
  <si>
    <t>Zeki CELIK - Türkiye</t>
  </si>
  <si>
    <t>Merih DEMIRAL - Türkiye</t>
  </si>
  <si>
    <t>Caglar SOYUNCU - Türkiye</t>
  </si>
  <si>
    <t>Salih OZCAN - Türkiye</t>
  </si>
  <si>
    <t>Orkun KOKCU - Türkiye</t>
  </si>
  <si>
    <t>Kerem AKTURKOGLU - Türkiye</t>
  </si>
  <si>
    <t>Arda GULER - Türkiye</t>
  </si>
  <si>
    <t>Deniz GUL - Türkiye</t>
  </si>
  <si>
    <t>Hakan CALHANOGLU - Türkiye</t>
  </si>
  <si>
    <t>Kenan YILDIZ - Türkiye</t>
  </si>
  <si>
    <t>Altay BAYINDIR - Türkiye</t>
  </si>
  <si>
    <t>Eren ELMALI - Türkiye</t>
  </si>
  <si>
    <t>Abdulkerim BARDAKCI - Türkiye</t>
  </si>
  <si>
    <t>Ozan KABAK - Türkiye</t>
  </si>
  <si>
    <t>Ismail YUKSEK - Türkiye</t>
  </si>
  <si>
    <t>Irfan Can KAHVECI - Türkiye</t>
  </si>
  <si>
    <t>Mert MULDUR - Türkiye</t>
  </si>
  <si>
    <t>Yunus AKGUN - Türkiye</t>
  </si>
  <si>
    <t>Ferdi KADIOGLU - Türkiye</t>
  </si>
  <si>
    <t>Baris Alper YILMAZ - Türkiye</t>
  </si>
  <si>
    <t>Kaan AYHAN - Türkiye</t>
  </si>
  <si>
    <t>Ugurcan CAKIR - Türkiye</t>
  </si>
  <si>
    <t>Oguz AYDIN - Türkiye</t>
  </si>
  <si>
    <t>Samet AKAYDIN - Türkiye</t>
  </si>
  <si>
    <t>Can UZUN - Türkiye</t>
  </si>
  <si>
    <t>Uruguay</t>
  </si>
  <si>
    <t>Sergio ROCHET - Uruguay</t>
  </si>
  <si>
    <t>Jose Maria GIMENEZ - Uruguay</t>
  </si>
  <si>
    <t>Sebastian CACERES - Uruguay</t>
  </si>
  <si>
    <t>Ronald ARAUJO - Uruguay</t>
  </si>
  <si>
    <t>Manuel UGARTE - Uruguay</t>
  </si>
  <si>
    <t>Rodrigo BENTANCUR - Uruguay</t>
  </si>
  <si>
    <t>Nicolas DE LA CRUZ - Uruguay</t>
  </si>
  <si>
    <t>Federico VALVERDE - Uruguay</t>
  </si>
  <si>
    <t>Darwin NUNEZ - Uruguay</t>
  </si>
  <si>
    <t>Giorgian DE ARRASCAETA - Uruguay</t>
  </si>
  <si>
    <t>Facundo PELLISTRI - Uruguay</t>
  </si>
  <si>
    <t>Santiago MELE - Uruguay</t>
  </si>
  <si>
    <t>Guillermo VARELA - Uruguay</t>
  </si>
  <si>
    <t>Agustin CANOBBIO - Uruguay</t>
  </si>
  <si>
    <t>Emiliano MARTINEZ - Uruguay</t>
  </si>
  <si>
    <t>Mathias OLIVERA - Uruguay</t>
  </si>
  <si>
    <t>Matias VINA - Uruguay</t>
  </si>
  <si>
    <t>Brian RODRIGUEZ - Uruguay</t>
  </si>
  <si>
    <t>Rodrigo AGUIRRE - Uruguay</t>
  </si>
  <si>
    <t>Maxi ARAUJO - Uruguay</t>
  </si>
  <si>
    <t>Federico VINAS - Uruguay</t>
  </si>
  <si>
    <t>Joaquin PIQUEREZ - Uruguay</t>
  </si>
  <si>
    <t>Fernando MUSLERA - Uruguay</t>
  </si>
  <si>
    <t>Santiago BUENO - Uruguay</t>
  </si>
  <si>
    <t>Juan Manuel SANABRIA - Uruguay</t>
  </si>
  <si>
    <t>Rodrigo ZALAZAR - Uruguay</t>
  </si>
  <si>
    <t>Matt TURNER - USA</t>
  </si>
  <si>
    <t>Sergino DEST - USA</t>
  </si>
  <si>
    <t>Chris RICHARDS - USA</t>
  </si>
  <si>
    <t>Tyler ADAMS - USA</t>
  </si>
  <si>
    <t>Antonee ROBINSON - USA</t>
  </si>
  <si>
    <t>Auston TRUSTY - USA</t>
  </si>
  <si>
    <t>Giovanni REYNA - USA</t>
  </si>
  <si>
    <t>Weston McKENNIE - USA</t>
  </si>
  <si>
    <t>Ricardo PEPI - USA</t>
  </si>
  <si>
    <t>Christian PULISIC - USA</t>
  </si>
  <si>
    <t>Brenden AARONSON - USA</t>
  </si>
  <si>
    <t>Miles ROBINSON - USA</t>
  </si>
  <si>
    <t>Tim REAM - USA</t>
  </si>
  <si>
    <t>Sebastian BERHALTER - USA</t>
  </si>
  <si>
    <t>Cristian ROLDAN - USA</t>
  </si>
  <si>
    <t>Alex FREEMAN - USA</t>
  </si>
  <si>
    <t>Malik TILLMAN - USA</t>
  </si>
  <si>
    <t>Max ARFSTEN - USA</t>
  </si>
  <si>
    <t>Haji WRIGHT - USA</t>
  </si>
  <si>
    <t>Folarin BALOGUN - USA</t>
  </si>
  <si>
    <t>Timothy WEAH - USA</t>
  </si>
  <si>
    <t>Mark McKENZIE - USA</t>
  </si>
  <si>
    <t>Joe SCALLY - USA</t>
  </si>
  <si>
    <t>Matt FREESE - USA</t>
  </si>
  <si>
    <t>Chris BRADY - USA</t>
  </si>
  <si>
    <t>Alex ZENDEJAS - USA</t>
  </si>
  <si>
    <t>Uzbekistan</t>
  </si>
  <si>
    <t>Utkir YUSUPOV - Uzbekistan</t>
  </si>
  <si>
    <t>Abdukodir KHUSANOV - Uzbekistan</t>
  </si>
  <si>
    <t>Khojiakbar ALIJONOV - Uzbekistan</t>
  </si>
  <si>
    <t>Farrukh SAYFIEV - Uzbekistan</t>
  </si>
  <si>
    <t>Rustam ASHURMATOV - Uzbekistan</t>
  </si>
  <si>
    <t>Akmal MOZGOVOY - Uzbekistan</t>
  </si>
  <si>
    <t>Otabek SHUKUROV - Uzbekistan</t>
  </si>
  <si>
    <t>Jamshid ISKANDEROV - Uzbekistan</t>
  </si>
  <si>
    <t>Odiljon XAMROBEKOV - Uzbekistan</t>
  </si>
  <si>
    <t>Jaloliddin MASHARIPOV - Uzbekistan</t>
  </si>
  <si>
    <t>Oston URUNOV - Uzbekistan</t>
  </si>
  <si>
    <t>Abduvohid NEMATOV - Uzbekistan</t>
  </si>
  <si>
    <t>Sherzod NASRULLAEV - Uzbekistan</t>
  </si>
  <si>
    <t>Eldor SHOMURODOV - Uzbekistan</t>
  </si>
  <si>
    <t>Umar ESHMURODOV - Uzbekistan</t>
  </si>
  <si>
    <t>Botirali ERGASHEV - Uzbekistan</t>
  </si>
  <si>
    <t>Dostonbek KHAMDAMOV - Uzbekistan</t>
  </si>
  <si>
    <t>Abdulla ABDULLAEV - Uzbekistan</t>
  </si>
  <si>
    <t>Azizjon GANIEV - Uzbekistan</t>
  </si>
  <si>
    <t>Azizbek AMONOV - Uzbekistan</t>
  </si>
  <si>
    <t>Igor SERGEEV - Uzbekistan</t>
  </si>
  <si>
    <t>Abbosbek FAYZULLAEV - Uzbekistan</t>
  </si>
  <si>
    <t>Sherzod ESANOV - Uzbekistan</t>
  </si>
  <si>
    <t>Behruzjon KARIMOV - Uzbekistan</t>
  </si>
  <si>
    <t>Avazbek ULMASALIYEV - Uzbekistan</t>
  </si>
  <si>
    <t>Jakhongir UROZOV - Uzbekistan</t>
  </si>
  <si>
    <t>Dejan LJUBICIC - Austria</t>
  </si>
  <si>
    <t>Arjan MALIC - Bosnia and Herzegovina</t>
  </si>
  <si>
    <t>Jayden NELSON - Canada</t>
  </si>
  <si>
    <t>Trevoh CHALOBAH - England</t>
  </si>
  <si>
    <t>Garven METUSALA - Haiti</t>
  </si>
  <si>
    <t>Ahmed MAKNZI - Iraq</t>
  </si>
  <si>
    <t>Shuto MACHINO - Japan</t>
  </si>
  <si>
    <t>Mohammad TAHA - Jordan</t>
  </si>
  <si>
    <t>Marwane SAADANE - Morocco</t>
  </si>
  <si>
    <t>Amine SBAI - Morocco</t>
  </si>
  <si>
    <t>Logan ROGERSON - New Zealand</t>
  </si>
  <si>
    <t>3-0</t>
  </si>
  <si>
    <t>ARG10, ARG10, ARG10</t>
  </si>
  <si>
    <t>3-1</t>
  </si>
  <si>
    <t>1-4</t>
  </si>
  <si>
    <t>NOR9, IRQ18, NOR9, NOR4, OG</t>
  </si>
  <si>
    <t>FRA10, FRA12, SEN20, FRA10</t>
  </si>
  <si>
    <t>AUT18, JOR9, OG, AUT7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</si>
</sst>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rgb="FFFFFFFF"/>
      <name val="Arial"/>
    </font>
  </fonts>
  <fills count="5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DEEFF"/>
      </patternFill>
    </fill>
    <fill>
      <patternFill patternType="solid">
        <fgColor rgb="FFDDFFEE"/>
      </patternFill>
    </fill>
    <fill>
      <patternFill patternType="solid">
        <fgColor rgb="FFFFEECC"/>
      </patternFill>
    </fill>
    <fill>
      <patternFill patternType="solid">
        <fgColor rgb="FFFFDDE0"/>
      </patternFill>
    </fill>
    <fill>
      <patternFill patternType="solid">
        <fgColor rgb="FFEEE0FF"/>
      </patternFill>
    </fill>
    <fill>
      <patternFill patternType="solid">
        <fgColor rgb="FFFFFACC"/>
      </patternFill>
    </fill>
    <fill>
      <patternFill patternType="solid">
        <fgColor rgb="FFCCF0FF"/>
      </patternFill>
    </fill>
    <fill>
      <patternFill patternType="solid">
        <fgColor rgb="FFFFE8CC"/>
      </patternFill>
    </fill>
    <fill>
      <patternFill patternType="solid">
        <fgColor rgb="FFCCFFE8"/>
      </patternFill>
    </fill>
    <fill>
      <patternFill patternType="solid">
        <fgColor rgb="FFE8CCFF"/>
      </patternFill>
    </fill>
    <fill>
      <patternFill patternType="solid">
        <fgColor rgb="FFFFCCF0"/>
      </patternFill>
    </fill>
    <fill>
      <patternFill patternType="solid">
        <fgColor rgb="FFF0FFCC"/>
      </patternFill>
    </fill>
    <fill>
      <patternFill patternType="solid">
        <fgColor rgb="FFFFD700"/>
      </patternFill>
    </fill>
    <fill>
      <patternFill patternType="solid">
        <fgColor rgb="FFFFA500"/>
      </patternFill>
    </fill>
    <fill>
      <patternFill patternType="solid">
        <fgColor rgb="FFFF6347"/>
      </patternFill>
    </fill>
    <fill>
      <patternFill patternType="solid">
        <fgColor rgb="FFDC143C"/>
      </patternFill>
    </fill>
    <fill>
      <patternFill patternType="solid">
        <fgColor rgb="FFC0C0C0"/>
      </patternFill>
    </fill>
    <fill>
      <patternFill patternType="solid">
        <fgColor rgb="FFE0EEFF"/>
      </patternFill>
    </fill>
    <fill>
      <patternFill patternType="solid">
        <fgColor rgb="FFE0FFE8"/>
      </patternFill>
    </fill>
    <fill>
      <patternFill patternType="solid">
        <fgColor rgb="FFFFE0CC"/>
      </patternFill>
    </fill>
    <fill>
      <patternFill patternType="solid">
        <fgColor rgb="FFFFE0E8"/>
      </patternFill>
    </fill>
    <fill>
      <patternFill patternType="solid">
        <fgColor rgb="FFE8E0FF"/>
      </patternFill>
    </fill>
    <fill>
      <patternFill patternType="solid">
        <fgColor rgb="FFFFFFE0"/>
      </patternFill>
    </fill>
    <fill>
      <patternFill patternType="solid">
        <fgColor rgb="FFE0F8FF"/>
      </patternFill>
    </fill>
    <fill>
      <patternFill patternType="solid">
        <fgColor rgb="FFFFE8E0"/>
      </patternFill>
    </fill>
    <fill>
      <patternFill patternType="solid">
        <fgColor rgb="FFE8FFE8"/>
      </patternFill>
    </fill>
    <fill>
      <patternFill patternType="solid">
        <fgColor rgb="FFF0E8FF"/>
      </patternFill>
    </fill>
    <fill>
      <patternFill patternType="solid">
        <fgColor rgb="FFFFE0F8"/>
      </patternFill>
    </fill>
    <fill>
      <patternFill patternType="solid">
        <fgColor rgb="FFF8FFE0"/>
      </patternFill>
    </fill>
    <fill>
      <patternFill patternType="solid">
        <fgColor rgb="FFE0E8FF"/>
      </patternFill>
    </fill>
    <fill>
      <patternFill patternType="solid">
        <fgColor rgb="FFFFE8F0"/>
      </patternFill>
    </fill>
    <fill>
      <patternFill patternType="solid">
        <fgColor rgb="FFE8F0FF"/>
      </patternFill>
    </fill>
    <fill>
      <patternFill patternType="solid">
        <fgColor rgb="FFF0FFE0"/>
      </patternFill>
    </fill>
    <fill>
      <patternFill patternType="solid">
        <fgColor rgb="FFFFE0E0"/>
      </patternFill>
    </fill>
    <fill>
      <patternFill patternType="solid">
        <fgColor rgb="FFE0FFE0"/>
      </patternFill>
    </fill>
    <fill>
      <patternFill patternType="solid">
        <fgColor rgb="FFF8E0FF"/>
      </patternFill>
    </fill>
    <fill>
      <patternFill patternType="solid">
        <fgColor rgb="FFE0F0FF"/>
      </patternFill>
    </fill>
    <fill>
      <patternFill patternType="solid">
        <fgColor rgb="FFFFE8E8"/>
      </patternFill>
    </fill>
    <fill>
      <patternFill patternType="solid">
        <fgColor rgb="FFE8FFE0"/>
      </patternFill>
    </fill>
    <fill>
      <patternFill patternType="solid">
        <fgColor rgb="FFF0E0FF"/>
      </patternFill>
    </fill>
    <fill>
      <patternFill patternType="solid">
        <fgColor rgb="FFFFEEE0"/>
      </patternFill>
    </fill>
    <fill>
      <patternFill patternType="solid">
        <fgColor rgb="FFF0FFE8"/>
      </patternFill>
    </fill>
    <fill>
      <patternFill patternType="solid">
        <fgColor rgb="FFE0F8E0"/>
      </patternFill>
    </fill>
    <fill>
      <patternFill patternType="solid">
        <fgColor rgb="FFFFE0F0"/>
      </patternFill>
    </fill>
    <fill>
      <patternFill patternType="solid">
        <fgColor rgb="FFE8E0F0"/>
      </patternFill>
    </fill>
    <fill>
      <patternFill patternType="solid">
        <fgColor rgb="FFFFFAE0"/>
      </patternFill>
    </fill>
    <fill>
      <patternFill patternType="solid">
        <fgColor rgb="FFE8F0E0"/>
      </patternFill>
    </fill>
    <fill>
      <patternFill patternType="solid">
        <fgColor rgb="FFF0E8E0"/>
      </patternFill>
    </fill>
    <fill>
      <patternFill patternType="solid">
        <fgColor rgb="FFE0E8F0"/>
      </patternFill>
    </fill>
    <fill>
      <patternFill patternType="solid">
        <fgColor rgb="FFE0F0E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/>
    </xf>
    <xf numFmtId="0" fontId="2" fillId="10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/>
    </xf>
    <xf numFmtId="0" fontId="2" fillId="11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vertical="center"/>
    </xf>
    <xf numFmtId="0" fontId="2" fillId="1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vertical="center"/>
    </xf>
    <xf numFmtId="0" fontId="2" fillId="13" borderId="1" xfId="0" applyFont="1" applyFill="1" applyBorder="1" applyAlignment="1">
      <alignment vertical="center" wrapText="1"/>
    </xf>
    <xf numFmtId="0" fontId="2" fillId="13" borderId="1" xfId="0" applyFont="1" applyFill="1" applyBorder="1" applyAlignment="1">
      <alignment vertical="center"/>
    </xf>
    <xf numFmtId="0" fontId="2" fillId="14" borderId="1" xfId="0" applyFont="1" applyFill="1" applyBorder="1" applyAlignment="1">
      <alignment vertical="center" wrapText="1"/>
    </xf>
    <xf numFmtId="0" fontId="2" fillId="14" borderId="1" xfId="0" applyFont="1" applyFill="1" applyBorder="1" applyAlignment="1">
      <alignment vertical="center"/>
    </xf>
    <xf numFmtId="0" fontId="2" fillId="15" borderId="1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vertical="center"/>
    </xf>
    <xf numFmtId="0" fontId="2" fillId="16" borderId="1" xfId="0" applyFont="1" applyFill="1" applyBorder="1" applyAlignment="1">
      <alignment vertical="center" wrapText="1"/>
    </xf>
    <xf numFmtId="0" fontId="2" fillId="16" borderId="1" xfId="0" applyFont="1" applyFill="1" applyBorder="1" applyAlignment="1">
      <alignment vertical="center"/>
    </xf>
    <xf numFmtId="0" fontId="2" fillId="17" borderId="1" xfId="0" applyFont="1" applyFill="1" applyBorder="1" applyAlignment="1">
      <alignment vertical="center" wrapText="1"/>
    </xf>
    <xf numFmtId="0" fontId="2" fillId="17" borderId="1" xfId="0" applyFont="1" applyFill="1" applyBorder="1" applyAlignment="1">
      <alignment vertical="center"/>
    </xf>
    <xf numFmtId="0" fontId="2" fillId="18" borderId="1" xfId="0" applyFont="1" applyFill="1" applyBorder="1" applyAlignment="1">
      <alignment vertical="center" wrapText="1"/>
    </xf>
    <xf numFmtId="0" fontId="2" fillId="18" borderId="1" xfId="0" applyFont="1" applyFill="1" applyBorder="1" applyAlignment="1">
      <alignment vertical="center"/>
    </xf>
    <xf numFmtId="0" fontId="2" fillId="19" borderId="1" xfId="0" applyFont="1" applyFill="1" applyBorder="1" applyAlignment="1">
      <alignment vertical="center" wrapText="1"/>
    </xf>
    <xf numFmtId="0" fontId="2" fillId="19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left" vertical="center"/>
    </xf>
    <xf numFmtId="0" fontId="2" fillId="14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left" vertical="center"/>
    </xf>
    <xf numFmtId="0" fontId="2" fillId="20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left" vertical="center"/>
    </xf>
    <xf numFmtId="0" fontId="2" fillId="21" borderId="1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left" vertical="center"/>
    </xf>
    <xf numFmtId="0" fontId="2" fillId="22" borderId="1" xfId="0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left" vertical="center"/>
    </xf>
    <xf numFmtId="0" fontId="2" fillId="23" borderId="1" xfId="0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horizontal="left" vertical="center"/>
    </xf>
    <xf numFmtId="0" fontId="2" fillId="24" borderId="1" xfId="0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left" vertical="center"/>
    </xf>
    <xf numFmtId="0" fontId="2" fillId="25" borderId="1" xfId="0" applyFont="1" applyFill="1" applyBorder="1" applyAlignment="1">
      <alignment horizontal="center" vertical="center"/>
    </xf>
    <xf numFmtId="0" fontId="2" fillId="25" borderId="1" xfId="0" applyFont="1" applyFill="1" applyBorder="1" applyAlignment="1">
      <alignment horizontal="left" vertical="center"/>
    </xf>
    <xf numFmtId="0" fontId="2" fillId="26" borderId="1" xfId="0" applyFont="1" applyFill="1" applyBorder="1" applyAlignment="1">
      <alignment horizontal="center" vertical="center"/>
    </xf>
    <xf numFmtId="0" fontId="2" fillId="26" borderId="1" xfId="0" applyFont="1" applyFill="1" applyBorder="1" applyAlignment="1">
      <alignment horizontal="left" vertical="center"/>
    </xf>
    <xf numFmtId="0" fontId="2" fillId="27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left" vertical="center"/>
    </xf>
    <xf numFmtId="0" fontId="2" fillId="28" borderId="1" xfId="0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left" vertical="center"/>
    </xf>
    <xf numFmtId="0" fontId="2" fillId="29" borderId="1" xfId="0" applyFont="1" applyFill="1" applyBorder="1" applyAlignment="1">
      <alignment horizontal="center" vertical="center"/>
    </xf>
    <xf numFmtId="0" fontId="2" fillId="29" borderId="1" xfId="0" applyFont="1" applyFill="1" applyBorder="1" applyAlignment="1">
      <alignment horizontal="left" vertical="center"/>
    </xf>
    <xf numFmtId="0" fontId="2" fillId="30" borderId="1" xfId="0" applyFont="1" applyFill="1" applyBorder="1" applyAlignment="1">
      <alignment horizontal="center" vertical="center"/>
    </xf>
    <xf numFmtId="0" fontId="2" fillId="30" borderId="1" xfId="0" applyFont="1" applyFill="1" applyBorder="1" applyAlignment="1">
      <alignment horizontal="left" vertical="center"/>
    </xf>
    <xf numFmtId="0" fontId="2" fillId="31" borderId="1" xfId="0" applyFont="1" applyFill="1" applyBorder="1" applyAlignment="1">
      <alignment horizontal="center" vertical="center"/>
    </xf>
    <xf numFmtId="0" fontId="2" fillId="31" borderId="1" xfId="0" applyFont="1" applyFill="1" applyBorder="1" applyAlignment="1">
      <alignment horizontal="left" vertical="center"/>
    </xf>
    <xf numFmtId="0" fontId="2" fillId="32" borderId="1" xfId="0" applyFont="1" applyFill="1" applyBorder="1" applyAlignment="1">
      <alignment horizontal="center" vertical="center"/>
    </xf>
    <xf numFmtId="0" fontId="2" fillId="32" borderId="1" xfId="0" applyFont="1" applyFill="1" applyBorder="1" applyAlignment="1">
      <alignment horizontal="left" vertical="center"/>
    </xf>
    <xf numFmtId="0" fontId="2" fillId="33" borderId="1" xfId="0" applyFont="1" applyFill="1" applyBorder="1" applyAlignment="1">
      <alignment horizontal="center" vertical="center"/>
    </xf>
    <xf numFmtId="0" fontId="2" fillId="33" borderId="1" xfId="0" applyFont="1" applyFill="1" applyBorder="1" applyAlignment="1">
      <alignment horizontal="left" vertical="center"/>
    </xf>
    <xf numFmtId="0" fontId="2" fillId="34" borderId="1" xfId="0" applyFont="1" applyFill="1" applyBorder="1" applyAlignment="1">
      <alignment horizontal="center" vertical="center"/>
    </xf>
    <xf numFmtId="0" fontId="2" fillId="34" borderId="1" xfId="0" applyFont="1" applyFill="1" applyBorder="1" applyAlignment="1">
      <alignment horizontal="left" vertical="center"/>
    </xf>
    <xf numFmtId="0" fontId="2" fillId="35" borderId="1" xfId="0" applyFont="1" applyFill="1" applyBorder="1" applyAlignment="1">
      <alignment horizontal="center" vertical="center"/>
    </xf>
    <xf numFmtId="0" fontId="2" fillId="35" borderId="1" xfId="0" applyFont="1" applyFill="1" applyBorder="1" applyAlignment="1">
      <alignment horizontal="left" vertical="center"/>
    </xf>
    <xf numFmtId="0" fontId="2" fillId="36" borderId="1" xfId="0" applyFont="1" applyFill="1" applyBorder="1" applyAlignment="1">
      <alignment horizontal="center" vertical="center"/>
    </xf>
    <xf numFmtId="0" fontId="2" fillId="36" borderId="1" xfId="0" applyFont="1" applyFill="1" applyBorder="1" applyAlignment="1">
      <alignment horizontal="left" vertical="center"/>
    </xf>
    <xf numFmtId="0" fontId="2" fillId="37" borderId="1" xfId="0" applyFont="1" applyFill="1" applyBorder="1" applyAlignment="1">
      <alignment horizontal="center" vertical="center"/>
    </xf>
    <xf numFmtId="0" fontId="2" fillId="37" borderId="1" xfId="0" applyFont="1" applyFill="1" applyBorder="1" applyAlignment="1">
      <alignment horizontal="left" vertical="center"/>
    </xf>
    <xf numFmtId="0" fontId="2" fillId="38" borderId="1" xfId="0" applyFont="1" applyFill="1" applyBorder="1" applyAlignment="1">
      <alignment horizontal="center" vertical="center"/>
    </xf>
    <xf numFmtId="0" fontId="2" fillId="38" borderId="1" xfId="0" applyFont="1" applyFill="1" applyBorder="1" applyAlignment="1">
      <alignment horizontal="left" vertical="center"/>
    </xf>
    <xf numFmtId="0" fontId="2" fillId="39" borderId="1" xfId="0" applyFont="1" applyFill="1" applyBorder="1" applyAlignment="1">
      <alignment horizontal="center" vertical="center"/>
    </xf>
    <xf numFmtId="0" fontId="2" fillId="39" borderId="1" xfId="0" applyFont="1" applyFill="1" applyBorder="1" applyAlignment="1">
      <alignment horizontal="left" vertical="center"/>
    </xf>
    <xf numFmtId="0" fontId="2" fillId="40" borderId="1" xfId="0" applyFont="1" applyFill="1" applyBorder="1" applyAlignment="1">
      <alignment horizontal="center" vertical="center"/>
    </xf>
    <xf numFmtId="0" fontId="2" fillId="40" borderId="1" xfId="0" applyFont="1" applyFill="1" applyBorder="1" applyAlignment="1">
      <alignment horizontal="left" vertical="center"/>
    </xf>
    <xf numFmtId="0" fontId="2" fillId="41" borderId="1" xfId="0" applyFont="1" applyFill="1" applyBorder="1" applyAlignment="1">
      <alignment horizontal="center" vertical="center"/>
    </xf>
    <xf numFmtId="0" fontId="2" fillId="41" borderId="1" xfId="0" applyFont="1" applyFill="1" applyBorder="1" applyAlignment="1">
      <alignment horizontal="left" vertical="center"/>
    </xf>
    <xf numFmtId="0" fontId="2" fillId="42" borderId="1" xfId="0" applyFont="1" applyFill="1" applyBorder="1" applyAlignment="1">
      <alignment horizontal="center" vertical="center"/>
    </xf>
    <xf numFmtId="0" fontId="2" fillId="42" borderId="1" xfId="0" applyFont="1" applyFill="1" applyBorder="1" applyAlignment="1">
      <alignment horizontal="left" vertical="center"/>
    </xf>
    <xf numFmtId="0" fontId="2" fillId="43" borderId="1" xfId="0" applyFont="1" applyFill="1" applyBorder="1" applyAlignment="1">
      <alignment horizontal="center" vertical="center"/>
    </xf>
    <xf numFmtId="0" fontId="2" fillId="43" borderId="1" xfId="0" applyFont="1" applyFill="1" applyBorder="1" applyAlignment="1">
      <alignment horizontal="left" vertical="center"/>
    </xf>
    <xf numFmtId="0" fontId="2" fillId="44" borderId="1" xfId="0" applyFont="1" applyFill="1" applyBorder="1" applyAlignment="1">
      <alignment horizontal="center" vertical="center"/>
    </xf>
    <xf numFmtId="0" fontId="2" fillId="44" borderId="1" xfId="0" applyFont="1" applyFill="1" applyBorder="1" applyAlignment="1">
      <alignment horizontal="left" vertical="center"/>
    </xf>
    <xf numFmtId="0" fontId="2" fillId="45" borderId="1" xfId="0" applyFont="1" applyFill="1" applyBorder="1" applyAlignment="1">
      <alignment horizontal="center" vertical="center"/>
    </xf>
    <xf numFmtId="0" fontId="2" fillId="45" borderId="1" xfId="0" applyFont="1" applyFill="1" applyBorder="1" applyAlignment="1">
      <alignment horizontal="left" vertical="center"/>
    </xf>
    <xf numFmtId="0" fontId="2" fillId="46" borderId="1" xfId="0" applyFont="1" applyFill="1" applyBorder="1" applyAlignment="1">
      <alignment horizontal="center" vertical="center"/>
    </xf>
    <xf numFmtId="0" fontId="2" fillId="46" borderId="1" xfId="0" applyFont="1" applyFill="1" applyBorder="1" applyAlignment="1">
      <alignment horizontal="left" vertical="center"/>
    </xf>
    <xf numFmtId="0" fontId="2" fillId="47" borderId="1" xfId="0" applyFont="1" applyFill="1" applyBorder="1" applyAlignment="1">
      <alignment horizontal="center" vertical="center"/>
    </xf>
    <xf numFmtId="0" fontId="2" fillId="47" borderId="1" xfId="0" applyFont="1" applyFill="1" applyBorder="1" applyAlignment="1">
      <alignment horizontal="left" vertical="center"/>
    </xf>
    <xf numFmtId="0" fontId="2" fillId="48" borderId="1" xfId="0" applyFont="1" applyFill="1" applyBorder="1" applyAlignment="1">
      <alignment horizontal="center" vertical="center"/>
    </xf>
    <xf numFmtId="0" fontId="2" fillId="48" borderId="1" xfId="0" applyFont="1" applyFill="1" applyBorder="1" applyAlignment="1">
      <alignment horizontal="left" vertical="center"/>
    </xf>
    <xf numFmtId="0" fontId="2" fillId="49" borderId="1" xfId="0" applyFont="1" applyFill="1" applyBorder="1" applyAlignment="1">
      <alignment horizontal="center" vertical="center"/>
    </xf>
    <xf numFmtId="0" fontId="2" fillId="49" borderId="1" xfId="0" applyFont="1" applyFill="1" applyBorder="1" applyAlignment="1">
      <alignment horizontal="left" vertical="center"/>
    </xf>
    <xf numFmtId="0" fontId="2" fillId="50" borderId="1" xfId="0" applyFont="1" applyFill="1" applyBorder="1" applyAlignment="1">
      <alignment horizontal="center" vertical="center"/>
    </xf>
    <xf numFmtId="0" fontId="2" fillId="50" borderId="1" xfId="0" applyFont="1" applyFill="1" applyBorder="1" applyAlignment="1">
      <alignment horizontal="left" vertical="center"/>
    </xf>
    <xf numFmtId="0" fontId="2" fillId="51" borderId="1" xfId="0" applyFont="1" applyFill="1" applyBorder="1" applyAlignment="1">
      <alignment horizontal="center" vertical="center"/>
    </xf>
    <xf numFmtId="0" fontId="2" fillId="51" borderId="1" xfId="0" applyFont="1" applyFill="1" applyBorder="1" applyAlignment="1">
      <alignment horizontal="left" vertical="center"/>
    </xf>
    <xf numFmtId="0" fontId="2" fillId="52" borderId="1" xfId="0" applyFont="1" applyFill="1" applyBorder="1" applyAlignment="1">
      <alignment horizontal="center" vertical="center"/>
    </xf>
    <xf numFmtId="0" fontId="2" fillId="5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49" fontId="0" fillId="0" borderId="0" xfId="0" applyNumberFormat="1"/>
    <xf numFmtId="0" fontId="4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vertical="center"/>
    </xf>
    <xf numFmtId="49" fontId="2" fillId="4" borderId="1" xfId="0" applyNumberFormat="1" applyFont="1" applyFill="1" applyBorder="1" applyAlignment="1">
      <alignment vertical="center"/>
    </xf>
    <xf numFmtId="49" fontId="2" fillId="5" borderId="1" xfId="0" applyNumberFormat="1" applyFont="1" applyFill="1" applyBorder="1" applyAlignment="1">
      <alignment vertical="center"/>
    </xf>
    <xf numFmtId="49" fontId="2" fillId="6" borderId="1" xfId="0" applyNumberFormat="1" applyFont="1" applyFill="1" applyBorder="1" applyAlignment="1">
      <alignment vertical="center"/>
    </xf>
    <xf numFmtId="49" fontId="2" fillId="7" borderId="1" xfId="0" applyNumberFormat="1" applyFont="1" applyFill="1" applyBorder="1" applyAlignment="1">
      <alignment vertical="center"/>
    </xf>
    <xf numFmtId="49" fontId="2" fillId="8" borderId="1" xfId="0" applyNumberFormat="1" applyFont="1" applyFill="1" applyBorder="1" applyAlignment="1">
      <alignment vertical="center"/>
    </xf>
    <xf numFmtId="49" fontId="2" fillId="9" borderId="1" xfId="0" applyNumberFormat="1" applyFont="1" applyFill="1" applyBorder="1" applyAlignment="1">
      <alignment vertical="center"/>
    </xf>
    <xf numFmtId="49" fontId="2" fillId="10" borderId="1" xfId="0" applyNumberFormat="1" applyFont="1" applyFill="1" applyBorder="1" applyAlignment="1">
      <alignment vertical="center"/>
    </xf>
    <xf numFmtId="49" fontId="2" fillId="11" borderId="1" xfId="0" applyNumberFormat="1" applyFont="1" applyFill="1" applyBorder="1" applyAlignment="1">
      <alignment vertical="center"/>
    </xf>
    <xf numFmtId="49" fontId="2" fillId="12" borderId="1" xfId="0" applyNumberFormat="1" applyFont="1" applyFill="1" applyBorder="1" applyAlignment="1">
      <alignment vertical="center"/>
    </xf>
    <xf numFmtId="49" fontId="2" fillId="13" borderId="1" xfId="0" applyNumberFormat="1" applyFont="1" applyFill="1" applyBorder="1" applyAlignment="1">
      <alignment vertical="center"/>
    </xf>
    <xf numFmtId="49" fontId="2" fillId="14" borderId="1" xfId="0" applyNumberFormat="1" applyFont="1" applyFill="1" applyBorder="1" applyAlignment="1">
      <alignment vertical="center"/>
    </xf>
    <xf numFmtId="49" fontId="2" fillId="15" borderId="1" xfId="0" applyNumberFormat="1" applyFont="1" applyFill="1" applyBorder="1" applyAlignment="1">
      <alignment vertical="center"/>
    </xf>
    <xf numFmtId="49" fontId="2" fillId="16" borderId="1" xfId="0" applyNumberFormat="1" applyFont="1" applyFill="1" applyBorder="1" applyAlignment="1">
      <alignment vertical="center"/>
    </xf>
    <xf numFmtId="49" fontId="2" fillId="17" borderId="1" xfId="0" applyNumberFormat="1" applyFont="1" applyFill="1" applyBorder="1" applyAlignment="1">
      <alignment vertical="center"/>
    </xf>
    <xf numFmtId="49" fontId="2" fillId="18" borderId="1" xfId="0" applyNumberFormat="1" applyFont="1" applyFill="1" applyBorder="1" applyAlignment="1">
      <alignment vertical="center"/>
    </xf>
    <xf numFmtId="49" fontId="2" fillId="19" borderId="1" xfId="0" applyNumberFormat="1" applyFont="1" applyFill="1" applyBorder="1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5"/>
  <sheetViews>
    <sheetView tabSelected="1" zoomScale="80" zoomScaleNormal="80" workbookViewId="0">
      <pane ySplit="1" topLeftCell="A2" activePane="bottomLeft" state="frozen"/>
      <selection pane="bottomLeft" activeCell="M13" sqref="M13"/>
    </sheetView>
  </sheetViews>
  <sheetFormatPr defaultRowHeight="14.5" x14ac:dyDescent="0.35"/>
  <cols>
    <col min="1" max="1" width="35" customWidth="1"/>
    <col min="2" max="4" width="14" customWidth="1"/>
    <col min="5" max="5" width="30" customWidth="1"/>
    <col min="6" max="6" width="15.81640625" customWidth="1"/>
    <col min="7" max="7" width="30" style="143" customWidth="1"/>
    <col min="8" max="8" width="30" style="163" customWidth="1"/>
    <col min="9" max="9" width="20.7265625" customWidth="1"/>
    <col min="10" max="10" width="19.7265625" customWidth="1"/>
  </cols>
  <sheetData>
    <row r="1" spans="1:10" ht="31" customHeight="1" x14ac:dyDescent="0.35">
      <c r="A1" s="1" t="s">
        <v>0</v>
      </c>
      <c r="B1" s="1" t="s">
        <v>1</v>
      </c>
      <c r="C1" s="1" t="s">
        <v>2</v>
      </c>
      <c r="D1" s="1" t="s">
        <v>2453</v>
      </c>
      <c r="E1" s="1" t="s">
        <v>3</v>
      </c>
      <c r="F1" s="1" t="s">
        <v>2332</v>
      </c>
      <c r="G1" s="145" t="s">
        <v>2458</v>
      </c>
      <c r="H1" s="1" t="s">
        <v>2459</v>
      </c>
      <c r="I1" s="1" t="s">
        <v>2428</v>
      </c>
      <c r="J1" s="1" t="s">
        <v>2460</v>
      </c>
    </row>
    <row r="2" spans="1:10" ht="16" customHeight="1" x14ac:dyDescent="0.35">
      <c r="A2" s="2" t="s">
        <v>4</v>
      </c>
      <c r="B2" s="3" t="s">
        <v>5</v>
      </c>
      <c r="C2" s="3" t="s">
        <v>6</v>
      </c>
      <c r="D2" s="3" t="s">
        <v>2441</v>
      </c>
      <c r="E2" s="3" t="s">
        <v>7</v>
      </c>
      <c r="F2" s="126" t="s">
        <v>2432</v>
      </c>
      <c r="G2" s="146" t="s">
        <v>2454</v>
      </c>
      <c r="H2" s="2" t="s">
        <v>2456</v>
      </c>
      <c r="I2" s="3" t="str" cm="1">
        <f t="array" ref="I2">_xlfn.IFS(LEFT(G2,1)-RIGHT(G2,1) &gt; 0, "W1",LEFT(G2,1)-RIGHT(G2,1) = 0, "D",LEFT(G2,1)-RIGHT(G2,1) &lt; 0, "W2", ISBLANK(G2), "")</f>
        <v>W1</v>
      </c>
      <c r="J2" s="3">
        <f>LEFT(G2,1)-RIGHT(G2,1)</f>
        <v>2</v>
      </c>
    </row>
    <row r="3" spans="1:10" ht="16" customHeight="1" x14ac:dyDescent="0.35">
      <c r="A3" s="2" t="s">
        <v>8</v>
      </c>
      <c r="B3" s="3" t="s">
        <v>9</v>
      </c>
      <c r="C3" s="3" t="s">
        <v>24</v>
      </c>
      <c r="D3" s="3" t="s">
        <v>2449</v>
      </c>
      <c r="E3" s="3" t="s">
        <v>7</v>
      </c>
      <c r="F3" s="126" t="s">
        <v>2433</v>
      </c>
      <c r="G3" s="146" t="s">
        <v>2455</v>
      </c>
      <c r="H3" s="2" t="s">
        <v>2457</v>
      </c>
      <c r="I3" s="3" t="str" cm="1">
        <f t="array" ref="I3">_xlfn.IFS(LEFT(G3,1)-RIGHT(G3,1) &gt; 0, "W1",LEFT(G3,1)-RIGHT(G3,1) = 0, "D",LEFT(G3,1)-RIGHT(G3,1) &lt; 0, "W2", ISBLANK(G3), "")</f>
        <v>W1</v>
      </c>
      <c r="J3" s="3">
        <f>LEFT(G3,1)-RIGHT(G3,1)</f>
        <v>1</v>
      </c>
    </row>
    <row r="4" spans="1:10" ht="16" customHeight="1" x14ac:dyDescent="0.35">
      <c r="A4" s="2" t="s">
        <v>10</v>
      </c>
      <c r="B4" s="3" t="s">
        <v>11</v>
      </c>
      <c r="C4" s="3" t="s">
        <v>12</v>
      </c>
      <c r="D4" s="3" t="s">
        <v>2465</v>
      </c>
      <c r="E4" s="3" t="s">
        <v>13</v>
      </c>
      <c r="F4" s="126" t="s">
        <v>2333</v>
      </c>
      <c r="G4" s="146"/>
      <c r="H4" s="2"/>
      <c r="I4" s="3" t="e" cm="1">
        <f t="array" ref="I4">_xlfn.IFS(LEFT(G4,1)-RIGHT(G4,1)&gt;0,"W1",LEFT(G4,1)-RIGHT(G4,1)=0,"D",LEFT(G4,1)-RIGHT(G4,1)&lt;0,"W2",ISBLANK(G4),"")</f>
        <v>#VALUE!</v>
      </c>
      <c r="J4" s="3" t="e">
        <f t="shared" ref="J4:J24" si="0">LEFT(G4,1)-RIGHT(G4,1)</f>
        <v>#VALUE!</v>
      </c>
    </row>
    <row r="5" spans="1:10" ht="16" customHeight="1" x14ac:dyDescent="0.35">
      <c r="A5" s="2" t="s">
        <v>14</v>
      </c>
      <c r="B5" s="3" t="s">
        <v>15</v>
      </c>
      <c r="C5" s="3" t="s">
        <v>46</v>
      </c>
      <c r="D5" s="3" t="s">
        <v>2444</v>
      </c>
      <c r="E5" s="3" t="s">
        <v>13</v>
      </c>
      <c r="F5" s="126" t="s">
        <v>2334</v>
      </c>
      <c r="G5" s="146"/>
      <c r="H5" s="2"/>
      <c r="I5" s="3" t="e" cm="1">
        <f t="array" ref="I5">_xlfn.IFS(LEFT(G5,1)-RIGHT(G5,1) &gt; 0, "W1",LEFT(G5,1)-RIGHT(G5,1) = 0, "D",LEFT(G5,1)-RIGHT(G5,1) &lt; 0, "W2", ISBLANK(G5), "")</f>
        <v>#VALUE!</v>
      </c>
      <c r="J5" s="3" t="e">
        <f t="shared" si="0"/>
        <v>#VALUE!</v>
      </c>
    </row>
    <row r="6" spans="1:10" ht="16" customHeight="1" x14ac:dyDescent="0.35">
      <c r="A6" s="2" t="s">
        <v>16</v>
      </c>
      <c r="B6" s="3" t="s">
        <v>17</v>
      </c>
      <c r="C6" s="3" t="s">
        <v>67</v>
      </c>
      <c r="D6" s="3" t="s">
        <v>2444</v>
      </c>
      <c r="E6" s="3" t="s">
        <v>19</v>
      </c>
      <c r="F6" s="126" t="s">
        <v>2335</v>
      </c>
      <c r="G6" s="146"/>
      <c r="H6" s="2"/>
      <c r="I6" s="3" t="e" cm="1">
        <f t="array" ref="I6">_xlfn.IFS(LEFT(G6,1)-RIGHT(G6,1) &gt; 0, "W1",LEFT(G6,1)-RIGHT(G6,1) = 0, "D",LEFT(G6,1)-RIGHT(G6,1) &lt; 0, "W2", ISBLANK(G6), "")</f>
        <v>#VALUE!</v>
      </c>
      <c r="J6" s="3" t="e">
        <f t="shared" si="0"/>
        <v>#VALUE!</v>
      </c>
    </row>
    <row r="7" spans="1:10" ht="16" customHeight="1" x14ac:dyDescent="0.35">
      <c r="A7" s="2" t="s">
        <v>20</v>
      </c>
      <c r="B7" s="3" t="s">
        <v>21</v>
      </c>
      <c r="C7" s="3" t="s">
        <v>67</v>
      </c>
      <c r="D7" s="3" t="s">
        <v>2444</v>
      </c>
      <c r="E7" s="3" t="s">
        <v>19</v>
      </c>
      <c r="F7" s="126" t="s">
        <v>2336</v>
      </c>
      <c r="G7" s="146"/>
      <c r="H7" s="2"/>
      <c r="I7" s="3" t="e" cm="1">
        <f t="array" ref="I7">_xlfn.IFS(LEFT(G7,1)-RIGHT(G7,1) &gt; 0, "W1",LEFT(G7,1)-RIGHT(G7,1) = 0, "D",LEFT(G7,1)-RIGHT(G7,1) &lt; 0, "W2", ISBLANK(G7), "")</f>
        <v>#VALUE!</v>
      </c>
      <c r="J7" s="3" t="e">
        <f t="shared" si="0"/>
        <v>#VALUE!</v>
      </c>
    </row>
    <row r="8" spans="1:10" ht="16" customHeight="1" x14ac:dyDescent="0.35">
      <c r="A8" s="4" t="s">
        <v>22</v>
      </c>
      <c r="B8" s="5" t="s">
        <v>23</v>
      </c>
      <c r="C8" s="5" t="s">
        <v>24</v>
      </c>
      <c r="D8" s="5" t="s">
        <v>2441</v>
      </c>
      <c r="E8" s="5" t="s">
        <v>25</v>
      </c>
      <c r="F8" s="127" t="s">
        <v>2434</v>
      </c>
      <c r="G8" s="147" t="s">
        <v>2461</v>
      </c>
      <c r="H8" s="4" t="s">
        <v>2463</v>
      </c>
      <c r="I8" s="5" t="str" cm="1">
        <f t="array" ref="I8">_xlfn.IFS(LEFT(G8,1)-RIGHT(G8,1) &gt; 0, "W1",LEFT(G8,1)-RIGHT(G8,1) = 0, "D",LEFT(G8,1)-RIGHT(G8,1) &lt; 0, "W2", ISBLANK(G8), "")</f>
        <v>D</v>
      </c>
      <c r="J8" s="5">
        <f t="shared" si="0"/>
        <v>0</v>
      </c>
    </row>
    <row r="9" spans="1:10" ht="16" customHeight="1" x14ac:dyDescent="0.35">
      <c r="A9" s="4" t="s">
        <v>26</v>
      </c>
      <c r="B9" s="5" t="s">
        <v>27</v>
      </c>
      <c r="C9" s="5" t="s">
        <v>28</v>
      </c>
      <c r="D9" s="5" t="s">
        <v>2441</v>
      </c>
      <c r="E9" s="5" t="s">
        <v>25</v>
      </c>
      <c r="F9" s="127" t="s">
        <v>2435</v>
      </c>
      <c r="G9" s="147" t="s">
        <v>2461</v>
      </c>
      <c r="H9" s="4" t="s">
        <v>2473</v>
      </c>
      <c r="I9" s="5" t="str" cm="1">
        <f t="array" ref="I9">_xlfn.IFS(LEFT(G9,1)-RIGHT(G9,1) &gt; 0, "W1",LEFT(G9,1)-RIGHT(G9,1) = 0, "D",LEFT(G9,1)-RIGHT(G9,1) &lt; 0, "W2", ISBLANK(G9), "")</f>
        <v>D</v>
      </c>
      <c r="J9" s="5">
        <f t="shared" si="0"/>
        <v>0</v>
      </c>
    </row>
    <row r="10" spans="1:10" ht="16" customHeight="1" x14ac:dyDescent="0.35">
      <c r="A10" s="4" t="s">
        <v>29</v>
      </c>
      <c r="B10" s="5" t="s">
        <v>30</v>
      </c>
      <c r="C10" s="5" t="s">
        <v>12</v>
      </c>
      <c r="D10" s="5" t="s">
        <v>2441</v>
      </c>
      <c r="E10" s="5" t="s">
        <v>31</v>
      </c>
      <c r="F10" s="127" t="s">
        <v>2337</v>
      </c>
      <c r="G10" s="147"/>
      <c r="H10" s="4"/>
      <c r="I10" s="5" t="e" cm="1">
        <f t="array" ref="I10">_xlfn.IFS(LEFT(G10,1)-RIGHT(G10,1) &gt; 0, "W1",LEFT(G10,1)-RIGHT(G10,1) = 0, "D",LEFT(G10,1)-RIGHT(G10,1) &lt; 0, "W2", ISBLANK(G10), "")</f>
        <v>#VALUE!</v>
      </c>
      <c r="J10" s="5" t="e">
        <f t="shared" si="0"/>
        <v>#VALUE!</v>
      </c>
    </row>
    <row r="11" spans="1:10" ht="16" customHeight="1" x14ac:dyDescent="0.35">
      <c r="A11" s="4" t="s">
        <v>32</v>
      </c>
      <c r="B11" s="5" t="s">
        <v>33</v>
      </c>
      <c r="C11" s="5" t="s">
        <v>46</v>
      </c>
      <c r="D11" s="5" t="s">
        <v>2445</v>
      </c>
      <c r="E11" s="5" t="s">
        <v>31</v>
      </c>
      <c r="F11" s="127" t="s">
        <v>2338</v>
      </c>
      <c r="G11" s="147"/>
      <c r="H11" s="4"/>
      <c r="I11" s="5" t="e" cm="1">
        <f t="array" ref="I11">_xlfn.IFS(LEFT(G11,1)-RIGHT(G11,1) &gt; 0, "W1",LEFT(G11,1)-RIGHT(G11,1) = 0, "D",LEFT(G11,1)-RIGHT(G11,1) &lt; 0, "W2", ISBLANK(G11), "")</f>
        <v>#VALUE!</v>
      </c>
      <c r="J11" s="5" t="e">
        <f t="shared" si="0"/>
        <v>#VALUE!</v>
      </c>
    </row>
    <row r="12" spans="1:10" ht="16" customHeight="1" x14ac:dyDescent="0.35">
      <c r="A12" s="4" t="s">
        <v>34</v>
      </c>
      <c r="B12" s="5" t="s">
        <v>35</v>
      </c>
      <c r="C12" s="5" t="s">
        <v>18</v>
      </c>
      <c r="D12" s="5" t="s">
        <v>2441</v>
      </c>
      <c r="E12" s="5" t="s">
        <v>36</v>
      </c>
      <c r="F12" s="127" t="s">
        <v>2339</v>
      </c>
      <c r="G12" s="147"/>
      <c r="H12" s="4"/>
      <c r="I12" s="5" t="e" cm="1">
        <f t="array" ref="I12">_xlfn.IFS(LEFT(G12,1)-RIGHT(G12,1) &gt; 0, "W1",LEFT(G12,1)-RIGHT(G12,1) = 0, "D",LEFT(G12,1)-RIGHT(G12,1) &lt; 0, "W2", ISBLANK(G12), "")</f>
        <v>#VALUE!</v>
      </c>
      <c r="J12" s="5" t="e">
        <f t="shared" si="0"/>
        <v>#VALUE!</v>
      </c>
    </row>
    <row r="13" spans="1:10" ht="16" customHeight="1" x14ac:dyDescent="0.35">
      <c r="A13" s="4" t="s">
        <v>37</v>
      </c>
      <c r="B13" s="5" t="s">
        <v>38</v>
      </c>
      <c r="C13" s="5" t="s">
        <v>18</v>
      </c>
      <c r="D13" s="5" t="s">
        <v>2441</v>
      </c>
      <c r="E13" s="5" t="s">
        <v>36</v>
      </c>
      <c r="F13" s="127" t="s">
        <v>2340</v>
      </c>
      <c r="G13" s="147"/>
      <c r="H13" s="4"/>
      <c r="I13" s="5" t="e" cm="1">
        <f t="array" ref="I13">_xlfn.IFS(LEFT(G13,1)-RIGHT(G13,1) &gt; 0, "W1",LEFT(G13,1)-RIGHT(G13,1) = 0, "D",LEFT(G13,1)-RIGHT(G13,1) &lt; 0, "W2", ISBLANK(G13), "")</f>
        <v>#VALUE!</v>
      </c>
      <c r="J13" s="5" t="e">
        <f t="shared" si="0"/>
        <v>#VALUE!</v>
      </c>
    </row>
    <row r="14" spans="1:10" ht="16" customHeight="1" x14ac:dyDescent="0.35">
      <c r="A14" s="6" t="s">
        <v>39</v>
      </c>
      <c r="B14" s="7" t="s">
        <v>40</v>
      </c>
      <c r="C14" s="7" t="s">
        <v>73</v>
      </c>
      <c r="D14" s="7" t="s">
        <v>2445</v>
      </c>
      <c r="E14" s="7" t="s">
        <v>41</v>
      </c>
      <c r="F14" s="128" t="s">
        <v>2436</v>
      </c>
      <c r="G14" s="148" t="s">
        <v>2461</v>
      </c>
      <c r="H14" s="6" t="s">
        <v>2474</v>
      </c>
      <c r="I14" s="7" t="str" cm="1">
        <f t="array" ref="I14">_xlfn.IFS(LEFT(G14,1)-RIGHT(G14,1) &gt; 0, "W1",LEFT(G14,1)-RIGHT(G14,1) = 0, "D",LEFT(G14,1)-RIGHT(G14,1) &lt; 0, "W2", ISBLANK(G14), "")</f>
        <v>D</v>
      </c>
      <c r="J14" s="7">
        <f t="shared" si="0"/>
        <v>0</v>
      </c>
    </row>
    <row r="15" spans="1:10" ht="16" customHeight="1" x14ac:dyDescent="0.35">
      <c r="A15" s="6" t="s">
        <v>42</v>
      </c>
      <c r="B15" s="7" t="s">
        <v>43</v>
      </c>
      <c r="C15" s="7" t="s">
        <v>73</v>
      </c>
      <c r="D15" s="7" t="s">
        <v>2444</v>
      </c>
      <c r="E15" s="7" t="s">
        <v>41</v>
      </c>
      <c r="F15" s="128" t="s">
        <v>2437</v>
      </c>
      <c r="G15" s="148" t="s">
        <v>2471</v>
      </c>
      <c r="H15" s="6" t="s">
        <v>2472</v>
      </c>
      <c r="I15" s="7" t="str" cm="1">
        <f t="array" ref="I15">_xlfn.IFS(LEFT(G15,1)-RIGHT(G15,1) &gt; 0, "W1",LEFT(G15,1)-RIGHT(G15,1) = 0, "D",LEFT(G15,1)-RIGHT(G15,1) &lt; 0, "W2", ISBLANK(G15), "")</f>
        <v>W2</v>
      </c>
      <c r="J15" s="7">
        <f t="shared" si="0"/>
        <v>-1</v>
      </c>
    </row>
    <row r="16" spans="1:10" ht="16" customHeight="1" x14ac:dyDescent="0.35">
      <c r="A16" s="6" t="s">
        <v>44</v>
      </c>
      <c r="B16" s="7" t="s">
        <v>45</v>
      </c>
      <c r="C16" s="7" t="s">
        <v>77</v>
      </c>
      <c r="D16" s="7" t="s">
        <v>2445</v>
      </c>
      <c r="E16" s="7" t="s">
        <v>47</v>
      </c>
      <c r="F16" s="128" t="s">
        <v>2341</v>
      </c>
      <c r="G16" s="148"/>
      <c r="H16" s="6"/>
      <c r="I16" s="7" t="e" cm="1">
        <f t="array" ref="I16">_xlfn.IFS(LEFT(G16,1)-RIGHT(G16,1) &gt; 0, "W1",LEFT(G16,1)-RIGHT(G16,1) = 0, "D",LEFT(G16,1)-RIGHT(G16,1) &lt; 0, "W2", ISBLANK(G16), "")</f>
        <v>#VALUE!</v>
      </c>
      <c r="J16" s="7" t="e">
        <f t="shared" si="0"/>
        <v>#VALUE!</v>
      </c>
    </row>
    <row r="17" spans="1:10" ht="16" customHeight="1" x14ac:dyDescent="0.35">
      <c r="A17" s="6" t="s">
        <v>48</v>
      </c>
      <c r="B17" s="7" t="s">
        <v>49</v>
      </c>
      <c r="C17" s="7" t="s">
        <v>77</v>
      </c>
      <c r="D17" s="7" t="s">
        <v>2466</v>
      </c>
      <c r="E17" s="7" t="s">
        <v>47</v>
      </c>
      <c r="F17" s="128" t="s">
        <v>2342</v>
      </c>
      <c r="G17" s="148"/>
      <c r="H17" s="6"/>
      <c r="I17" s="7" t="e" cm="1">
        <f t="array" ref="I17">_xlfn.IFS(LEFT(G17,1)-RIGHT(G17,1) &gt; 0, "W1",LEFT(G17,1)-RIGHT(G17,1) = 0, "D",LEFT(G17,1)-RIGHT(G17,1) &lt; 0, "W2", ISBLANK(G17), "")</f>
        <v>#VALUE!</v>
      </c>
      <c r="J17" s="7" t="e">
        <f t="shared" si="0"/>
        <v>#VALUE!</v>
      </c>
    </row>
    <row r="18" spans="1:10" ht="16" customHeight="1" x14ac:dyDescent="0.35">
      <c r="A18" s="6" t="s">
        <v>50</v>
      </c>
      <c r="B18" s="7" t="s">
        <v>51</v>
      </c>
      <c r="C18" s="7" t="s">
        <v>67</v>
      </c>
      <c r="D18" s="7" t="s">
        <v>2445</v>
      </c>
      <c r="E18" s="7" t="s">
        <v>52</v>
      </c>
      <c r="F18" s="128" t="s">
        <v>2343</v>
      </c>
      <c r="G18" s="148"/>
      <c r="H18" s="6"/>
      <c r="I18" s="7" t="e" cm="1">
        <f t="array" ref="I18">_xlfn.IFS(LEFT(G18,1)-RIGHT(G18,1) &gt; 0, "W1",LEFT(G18,1)-RIGHT(G18,1) = 0, "D",LEFT(G18,1)-RIGHT(G18,1) &lt; 0, "W2", ISBLANK(G18), "")</f>
        <v>#VALUE!</v>
      </c>
      <c r="J18" s="7" t="e">
        <f t="shared" si="0"/>
        <v>#VALUE!</v>
      </c>
    </row>
    <row r="19" spans="1:10" ht="16" customHeight="1" x14ac:dyDescent="0.35">
      <c r="A19" s="6" t="s">
        <v>53</v>
      </c>
      <c r="B19" s="7" t="s">
        <v>54</v>
      </c>
      <c r="C19" s="7" t="s">
        <v>67</v>
      </c>
      <c r="D19" s="7" t="s">
        <v>2445</v>
      </c>
      <c r="E19" s="7" t="s">
        <v>52</v>
      </c>
      <c r="F19" s="128" t="s">
        <v>2344</v>
      </c>
      <c r="G19" s="148"/>
      <c r="H19" s="6"/>
      <c r="I19" s="7" t="e" cm="1">
        <f t="array" ref="I19">_xlfn.IFS(LEFT(G19,1)-RIGHT(G19,1) &gt; 0, "W1",LEFT(G19,1)-RIGHT(G19,1) = 0, "D",LEFT(G19,1)-RIGHT(G19,1) &lt; 0, "W2", ISBLANK(G19), "")</f>
        <v>#VALUE!</v>
      </c>
      <c r="J19" s="7" t="e">
        <f t="shared" si="0"/>
        <v>#VALUE!</v>
      </c>
    </row>
    <row r="20" spans="1:10" ht="25" x14ac:dyDescent="0.35">
      <c r="A20" s="8" t="s">
        <v>55</v>
      </c>
      <c r="B20" s="9" t="s">
        <v>56</v>
      </c>
      <c r="C20" s="9" t="s">
        <v>28</v>
      </c>
      <c r="D20" s="9" t="s">
        <v>2444</v>
      </c>
      <c r="E20" s="9" t="s">
        <v>57</v>
      </c>
      <c r="F20" s="129" t="s">
        <v>2438</v>
      </c>
      <c r="G20" s="149" t="s">
        <v>2462</v>
      </c>
      <c r="H20" s="8" t="s">
        <v>2464</v>
      </c>
      <c r="I20" s="9" t="str" cm="1">
        <f t="array" ref="I20">_xlfn.IFS(LEFT(G20,1)-RIGHT(G20,1) &gt; 0, "W1",LEFT(G20,1)-RIGHT(G20,1) = 0, "D",LEFT(G20,1)-RIGHT(G20,1) &lt; 0, "W2", ISBLANK(G20), "")</f>
        <v>W1</v>
      </c>
      <c r="J20" s="9">
        <f t="shared" si="0"/>
        <v>3</v>
      </c>
    </row>
    <row r="21" spans="1:10" ht="16" customHeight="1" x14ac:dyDescent="0.35">
      <c r="A21" s="8" t="s">
        <v>58</v>
      </c>
      <c r="B21" s="9" t="s">
        <v>59</v>
      </c>
      <c r="C21" s="9" t="s">
        <v>73</v>
      </c>
      <c r="D21" s="9" t="s">
        <v>2452</v>
      </c>
      <c r="E21" s="9" t="s">
        <v>57</v>
      </c>
      <c r="F21" s="129" t="s">
        <v>2439</v>
      </c>
      <c r="G21" s="149" t="s">
        <v>2454</v>
      </c>
      <c r="H21" s="8" t="s">
        <v>2475</v>
      </c>
      <c r="I21" s="9" t="str" cm="1">
        <f t="array" ref="I21">_xlfn.IFS(LEFT(G21,1)-RIGHT(G21,1) &gt; 0, "W1",LEFT(G21,1)-RIGHT(G21,1) = 0, "D",LEFT(G21,1)-RIGHT(G21,1) &lt; 0, "W2", ISBLANK(G21), "")</f>
        <v>W1</v>
      </c>
      <c r="J21" s="9">
        <f t="shared" si="0"/>
        <v>2</v>
      </c>
    </row>
    <row r="22" spans="1:10" ht="16" customHeight="1" x14ac:dyDescent="0.35">
      <c r="A22" s="8" t="s">
        <v>60</v>
      </c>
      <c r="B22" s="9" t="s">
        <v>61</v>
      </c>
      <c r="C22" s="9" t="s">
        <v>77</v>
      </c>
      <c r="D22" s="9" t="s">
        <v>2451</v>
      </c>
      <c r="E22" s="9" t="s">
        <v>62</v>
      </c>
      <c r="F22" s="129" t="s">
        <v>2345</v>
      </c>
      <c r="G22" s="149"/>
      <c r="H22" s="8"/>
      <c r="I22" s="9" t="e" cm="1">
        <f t="array" ref="I22">_xlfn.IFS(LEFT(G22,1)-RIGHT(G22,1) &gt; 0, "W1",LEFT(G22,1)-RIGHT(G22,1) = 0, "D",LEFT(G22,1)-RIGHT(G22,1) &lt; 0, "W2", ISBLANK(G22), "")</f>
        <v>#VALUE!</v>
      </c>
      <c r="J22" s="9" t="e">
        <f t="shared" si="0"/>
        <v>#VALUE!</v>
      </c>
    </row>
    <row r="23" spans="1:10" ht="16" customHeight="1" x14ac:dyDescent="0.35">
      <c r="A23" s="8" t="s">
        <v>63</v>
      </c>
      <c r="B23" s="9" t="s">
        <v>64</v>
      </c>
      <c r="C23" s="9" t="s">
        <v>46</v>
      </c>
      <c r="D23" s="9" t="s">
        <v>2441</v>
      </c>
      <c r="E23" s="9" t="s">
        <v>62</v>
      </c>
      <c r="F23" s="129" t="s">
        <v>2346</v>
      </c>
      <c r="G23" s="149"/>
      <c r="H23" s="8"/>
      <c r="I23" s="9" t="e" cm="1">
        <f t="array" ref="I23">_xlfn.IFS(LEFT(G23,1)-RIGHT(G23,1) &gt; 0, "W1",LEFT(G23,1)-RIGHT(G23,1) = 0, "D",LEFT(G23,1)-RIGHT(G23,1) &lt; 0, "W2", ISBLANK(G23), "")</f>
        <v>#VALUE!</v>
      </c>
      <c r="J23" s="9" t="e">
        <f t="shared" si="0"/>
        <v>#VALUE!</v>
      </c>
    </row>
    <row r="24" spans="1:10" ht="16" customHeight="1" x14ac:dyDescent="0.35">
      <c r="A24" s="8" t="s">
        <v>65</v>
      </c>
      <c r="B24" s="9" t="s">
        <v>66</v>
      </c>
      <c r="C24" s="9" t="s">
        <v>114</v>
      </c>
      <c r="D24" s="9" t="s">
        <v>2449</v>
      </c>
      <c r="E24" s="9" t="s">
        <v>68</v>
      </c>
      <c r="F24" s="129" t="s">
        <v>2347</v>
      </c>
      <c r="G24" s="149"/>
      <c r="H24" s="8"/>
      <c r="I24" s="9" t="e" cm="1">
        <f t="array" ref="I24">_xlfn.IFS(LEFT(G24,1)-RIGHT(G24,1) &gt; 0, "W1",LEFT(G24,1)-RIGHT(G24,1) = 0, "D",LEFT(G24,1)-RIGHT(G24,1) &lt; 0, "W2", ISBLANK(G24), "")</f>
        <v>#VALUE!</v>
      </c>
      <c r="J24" s="9" t="e">
        <f t="shared" si="0"/>
        <v>#VALUE!</v>
      </c>
    </row>
    <row r="25" spans="1:10" ht="16" customHeight="1" x14ac:dyDescent="0.35">
      <c r="A25" s="8" t="s">
        <v>69</v>
      </c>
      <c r="B25" s="9" t="s">
        <v>70</v>
      </c>
      <c r="C25" s="9" t="s">
        <v>114</v>
      </c>
      <c r="D25" s="9" t="s">
        <v>2449</v>
      </c>
      <c r="E25" s="9" t="s">
        <v>68</v>
      </c>
      <c r="F25" s="129" t="s">
        <v>2348</v>
      </c>
      <c r="G25" s="149"/>
      <c r="H25" s="8"/>
      <c r="I25" s="9" t="e" cm="1">
        <f t="array" ref="I25">_xlfn.IFS(LEFT(G25,1)-RIGHT(G25,1) &gt; 0, "W1",LEFT(G25,1)-RIGHT(G25,1) = 0, "D",LEFT(G25,1)-RIGHT(G25,1) &lt; 0, "W2", ISBLANK(G25), "")</f>
        <v>#VALUE!</v>
      </c>
      <c r="J25" s="9" t="e">
        <f>LEFT(G25,1)-RIGHT(G25,1)</f>
        <v>#VALUE!</v>
      </c>
    </row>
    <row r="26" spans="1:10" ht="32" customHeight="1" x14ac:dyDescent="0.35">
      <c r="A26" s="10" t="s">
        <v>71</v>
      </c>
      <c r="B26" s="11" t="s">
        <v>72</v>
      </c>
      <c r="C26" s="11" t="s">
        <v>73</v>
      </c>
      <c r="D26" s="11" t="s">
        <v>2446</v>
      </c>
      <c r="E26" s="11" t="s">
        <v>74</v>
      </c>
      <c r="F26" s="130" t="s">
        <v>2349</v>
      </c>
      <c r="G26" s="150" t="s">
        <v>2477</v>
      </c>
      <c r="H26" s="10" t="s">
        <v>2476</v>
      </c>
      <c r="I26" s="11" t="str" cm="1">
        <f t="array" ref="I26">_xlfn.IFS(LEFT(G26,1)-RIGHT(G26,1) &gt; 0, "W1",LEFT(G26,1)-RIGHT(G26,1) = 0, "D",LEFT(G26,1)-RIGHT(G26,1) &lt; 0, "W2", ISBLANK(G26), "")</f>
        <v>W1</v>
      </c>
      <c r="J26" s="11">
        <f t="shared" ref="J26:J89" si="1">LEFT(G26,1)-RIGHT(G26,1)</f>
        <v>6</v>
      </c>
    </row>
    <row r="27" spans="1:10" ht="16" customHeight="1" x14ac:dyDescent="0.35">
      <c r="A27" s="10" t="s">
        <v>2429</v>
      </c>
      <c r="B27" s="11" t="s">
        <v>75</v>
      </c>
      <c r="C27" s="11" t="s">
        <v>102</v>
      </c>
      <c r="D27" s="11" t="s">
        <v>2448</v>
      </c>
      <c r="E27" s="11" t="s">
        <v>74</v>
      </c>
      <c r="F27" s="130" t="s">
        <v>2440</v>
      </c>
      <c r="G27" s="150" t="s">
        <v>2478</v>
      </c>
      <c r="H27" s="10" t="s">
        <v>2479</v>
      </c>
      <c r="I27" s="11" t="str" cm="1">
        <f t="array" ref="I27">_xlfn.IFS(LEFT(G27,1)-RIGHT(G27,1) &gt; 0, "W1",LEFT(G27,1)-RIGHT(G27,1) = 0, "D",LEFT(G27,1)-RIGHT(G27,1) &lt; 0, "W2", ISBLANK(G27), "")</f>
        <v>W1</v>
      </c>
      <c r="J27" s="11">
        <f t="shared" si="1"/>
        <v>1</v>
      </c>
    </row>
    <row r="28" spans="1:10" ht="16" customHeight="1" x14ac:dyDescent="0.35">
      <c r="A28" s="10" t="s">
        <v>2430</v>
      </c>
      <c r="B28" s="11" t="s">
        <v>76</v>
      </c>
      <c r="C28" s="11" t="s">
        <v>77</v>
      </c>
      <c r="D28" s="11" t="s">
        <v>2447</v>
      </c>
      <c r="E28" s="11" t="s">
        <v>78</v>
      </c>
      <c r="F28" s="130" t="s">
        <v>2350</v>
      </c>
      <c r="G28" s="150"/>
      <c r="H28" s="10"/>
      <c r="I28" s="11" t="e" cm="1">
        <f t="array" ref="I28">_xlfn.IFS(LEFT(G28,1)-RIGHT(G28,1) &gt; 0, "W1",LEFT(G28,1)-RIGHT(G28,1) = 0, "D",LEFT(G28,1)-RIGHT(G28,1) &lt; 0, "W2", ISBLANK(G28), "")</f>
        <v>#VALUE!</v>
      </c>
      <c r="J28" s="11" t="e">
        <f t="shared" si="1"/>
        <v>#VALUE!</v>
      </c>
    </row>
    <row r="29" spans="1:10" ht="16" customHeight="1" x14ac:dyDescent="0.35">
      <c r="A29" s="10" t="s">
        <v>79</v>
      </c>
      <c r="B29" s="11" t="s">
        <v>80</v>
      </c>
      <c r="C29" s="11" t="s">
        <v>108</v>
      </c>
      <c r="D29" s="11" t="s">
        <v>2442</v>
      </c>
      <c r="E29" s="11" t="s">
        <v>78</v>
      </c>
      <c r="F29" s="130" t="s">
        <v>2351</v>
      </c>
      <c r="G29" s="150"/>
      <c r="H29" s="10"/>
      <c r="I29" s="11" t="e" cm="1">
        <f t="array" ref="I29">_xlfn.IFS(LEFT(G29,1)-RIGHT(G29,1) &gt; 0, "W1",LEFT(G29,1)-RIGHT(G29,1) = 0, "D",LEFT(G29,1)-RIGHT(G29,1) &lt; 0, "W2", ISBLANK(G29), "")</f>
        <v>#VALUE!</v>
      </c>
      <c r="J29" s="11" t="e">
        <f t="shared" si="1"/>
        <v>#VALUE!</v>
      </c>
    </row>
    <row r="30" spans="1:10" ht="16" customHeight="1" x14ac:dyDescent="0.35">
      <c r="A30" s="10" t="s">
        <v>81</v>
      </c>
      <c r="B30" s="11" t="s">
        <v>82</v>
      </c>
      <c r="C30" s="11" t="s">
        <v>67</v>
      </c>
      <c r="D30" s="11" t="s">
        <v>2447</v>
      </c>
      <c r="E30" s="11" t="s">
        <v>83</v>
      </c>
      <c r="F30" s="130" t="s">
        <v>2352</v>
      </c>
      <c r="G30" s="150"/>
      <c r="H30" s="10"/>
      <c r="I30" s="11" t="e" cm="1">
        <f t="array" ref="I30">_xlfn.IFS(LEFT(G30,1)-RIGHT(G30,1) &gt; 0, "W1",LEFT(G30,1)-RIGHT(G30,1) = 0, "D",LEFT(G30,1)-RIGHT(G30,1) &lt; 0, "W2", ISBLANK(G30), "")</f>
        <v>#VALUE!</v>
      </c>
      <c r="J30" s="11" t="e">
        <f t="shared" si="1"/>
        <v>#VALUE!</v>
      </c>
    </row>
    <row r="31" spans="1:10" ht="16" customHeight="1" x14ac:dyDescent="0.35">
      <c r="A31" s="10" t="s">
        <v>2431</v>
      </c>
      <c r="B31" s="11" t="s">
        <v>84</v>
      </c>
      <c r="C31" s="11" t="s">
        <v>67</v>
      </c>
      <c r="D31" s="11" t="s">
        <v>2447</v>
      </c>
      <c r="E31" s="11" t="s">
        <v>83</v>
      </c>
      <c r="F31" s="130" t="s">
        <v>2353</v>
      </c>
      <c r="G31" s="150"/>
      <c r="H31" s="10"/>
      <c r="I31" s="11" t="e" cm="1">
        <f t="array" ref="I31">_xlfn.IFS(LEFT(G31,1)-RIGHT(G31,1) &gt; 0, "W1",LEFT(G31,1)-RIGHT(G31,1) = 0, "D",LEFT(G31,1)-RIGHT(G31,1) &lt; 0, "W2", ISBLANK(G31), "")</f>
        <v>#VALUE!</v>
      </c>
      <c r="J31" s="11" t="e">
        <f t="shared" si="1"/>
        <v>#VALUE!</v>
      </c>
    </row>
    <row r="32" spans="1:10" ht="16" customHeight="1" x14ac:dyDescent="0.35">
      <c r="A32" s="12" t="s">
        <v>85</v>
      </c>
      <c r="B32" s="13" t="s">
        <v>86</v>
      </c>
      <c r="C32" s="13" t="s">
        <v>73</v>
      </c>
      <c r="D32" s="13" t="s">
        <v>2447</v>
      </c>
      <c r="E32" s="13" t="s">
        <v>87</v>
      </c>
      <c r="F32" s="131" t="s">
        <v>2354</v>
      </c>
      <c r="G32" s="151" t="s">
        <v>2480</v>
      </c>
      <c r="H32" s="12" t="s">
        <v>2483</v>
      </c>
      <c r="I32" s="13" t="str" cm="1">
        <f t="array" ref="I32">_xlfn.IFS(LEFT(G32,1)-RIGHT(G32,1) &gt; 0, "W1",LEFT(G32,1)-RIGHT(G32,1) = 0, "D",LEFT(G32,1)-RIGHT(G32,1) &lt; 0, "W2", ISBLANK(G32), "")</f>
        <v>D</v>
      </c>
      <c r="J32" s="13">
        <f t="shared" si="1"/>
        <v>0</v>
      </c>
    </row>
    <row r="33" spans="1:10" ht="32.5" customHeight="1" x14ac:dyDescent="0.35">
      <c r="A33" s="12" t="s">
        <v>88</v>
      </c>
      <c r="B33" s="13" t="s">
        <v>89</v>
      </c>
      <c r="C33" s="13" t="s">
        <v>102</v>
      </c>
      <c r="D33" s="13" t="s">
        <v>2449</v>
      </c>
      <c r="E33" s="13" t="s">
        <v>87</v>
      </c>
      <c r="F33" s="131" t="s">
        <v>2355</v>
      </c>
      <c r="G33" s="151" t="s">
        <v>2482</v>
      </c>
      <c r="H33" s="12" t="s">
        <v>2481</v>
      </c>
      <c r="I33" s="13" t="str" cm="1">
        <f t="array" ref="I33">_xlfn.IFS(LEFT(G33,1)-RIGHT(G33,1) &gt; 0, "W1",LEFT(G33,1)-RIGHT(G33,1) = 0, "D",LEFT(G33,1)-RIGHT(G33,1) &lt; 0, "W2", ISBLANK(G33), "")</f>
        <v>W1</v>
      </c>
      <c r="J33" s="13">
        <f t="shared" si="1"/>
        <v>4</v>
      </c>
    </row>
    <row r="34" spans="1:10" ht="16" customHeight="1" x14ac:dyDescent="0.35">
      <c r="A34" s="12" t="s">
        <v>90</v>
      </c>
      <c r="B34" s="13" t="s">
        <v>91</v>
      </c>
      <c r="C34" s="13" t="s">
        <v>77</v>
      </c>
      <c r="D34" s="13" t="s">
        <v>2446</v>
      </c>
      <c r="E34" s="13" t="s">
        <v>92</v>
      </c>
      <c r="F34" s="131" t="s">
        <v>2356</v>
      </c>
      <c r="G34" s="151"/>
      <c r="H34" s="12"/>
      <c r="I34" s="13" t="e" cm="1">
        <f t="array" ref="I34">_xlfn.IFS(LEFT(G34,1)-RIGHT(G34,1) &gt; 0, "W1",LEFT(G34,1)-RIGHT(G34,1) = 0, "D",LEFT(G34,1)-RIGHT(G34,1) &lt; 0, "W2", ISBLANK(G34), "")</f>
        <v>#VALUE!</v>
      </c>
      <c r="J34" s="13" t="e">
        <f t="shared" si="1"/>
        <v>#VALUE!</v>
      </c>
    </row>
    <row r="35" spans="1:10" ht="16" customHeight="1" x14ac:dyDescent="0.35">
      <c r="A35" s="12" t="s">
        <v>93</v>
      </c>
      <c r="B35" s="13" t="s">
        <v>94</v>
      </c>
      <c r="C35" s="13" t="s">
        <v>108</v>
      </c>
      <c r="D35" s="13" t="s">
        <v>2452</v>
      </c>
      <c r="E35" s="13" t="s">
        <v>92</v>
      </c>
      <c r="F35" s="131" t="s">
        <v>2357</v>
      </c>
      <c r="G35" s="151"/>
      <c r="H35" s="12"/>
      <c r="I35" s="13" t="e" cm="1">
        <f t="array" ref="I35">_xlfn.IFS(LEFT(G35,1)-RIGHT(G35,1) &gt; 0, "W1",LEFT(G35,1)-RIGHT(G35,1) = 0, "D",LEFT(G35,1)-RIGHT(G35,1) &lt; 0, "W2", ISBLANK(G35), "")</f>
        <v>#VALUE!</v>
      </c>
      <c r="J35" s="13" t="e">
        <f t="shared" si="1"/>
        <v>#VALUE!</v>
      </c>
    </row>
    <row r="36" spans="1:10" ht="16" customHeight="1" x14ac:dyDescent="0.35">
      <c r="A36" s="12" t="s">
        <v>95</v>
      </c>
      <c r="B36" s="13" t="s">
        <v>96</v>
      </c>
      <c r="C36" s="13" t="s">
        <v>114</v>
      </c>
      <c r="D36" s="13" t="s">
        <v>2448</v>
      </c>
      <c r="E36" s="13" t="s">
        <v>97</v>
      </c>
      <c r="F36" s="131" t="s">
        <v>2358</v>
      </c>
      <c r="G36" s="151"/>
      <c r="H36" s="12"/>
      <c r="I36" s="13" t="e" cm="1">
        <f t="array" ref="I36">_xlfn.IFS(LEFT(G36,1)-RIGHT(G36,1) &gt; 0, "W1",LEFT(G36,1)-RIGHT(G36,1) = 0, "D",LEFT(G36,1)-RIGHT(G36,1) &lt; 0, "W2", ISBLANK(G36), "")</f>
        <v>#VALUE!</v>
      </c>
      <c r="J36" s="13" t="e">
        <f t="shared" si="1"/>
        <v>#VALUE!</v>
      </c>
    </row>
    <row r="37" spans="1:10" ht="16" customHeight="1" x14ac:dyDescent="0.35">
      <c r="A37" s="12" t="s">
        <v>98</v>
      </c>
      <c r="B37" s="13" t="s">
        <v>99</v>
      </c>
      <c r="C37" s="13" t="s">
        <v>114</v>
      </c>
      <c r="D37" s="13" t="s">
        <v>2448</v>
      </c>
      <c r="E37" s="13" t="s">
        <v>97</v>
      </c>
      <c r="F37" s="131" t="s">
        <v>2359</v>
      </c>
      <c r="G37" s="151"/>
      <c r="H37" s="12"/>
      <c r="I37" s="13" t="e" cm="1">
        <f t="array" ref="I37">_xlfn.IFS(LEFT(G37,1)-RIGHT(G37,1) &gt; 0, "W1",LEFT(G37,1)-RIGHT(G37,1) = 0, "D",LEFT(G37,1)-RIGHT(G37,1) &lt; 0, "W2", ISBLANK(G37), "")</f>
        <v>#VALUE!</v>
      </c>
      <c r="J37" s="13" t="e">
        <f t="shared" si="1"/>
        <v>#VALUE!</v>
      </c>
    </row>
    <row r="38" spans="1:10" ht="16" customHeight="1" x14ac:dyDescent="0.35">
      <c r="A38" s="14" t="s">
        <v>100</v>
      </c>
      <c r="B38" s="15" t="s">
        <v>101</v>
      </c>
      <c r="C38" s="15" t="s">
        <v>102</v>
      </c>
      <c r="D38" s="15" t="s">
        <v>2441</v>
      </c>
      <c r="E38" s="15" t="s">
        <v>103</v>
      </c>
      <c r="F38" s="132" t="s">
        <v>2360</v>
      </c>
      <c r="G38" s="152" t="s">
        <v>2461</v>
      </c>
      <c r="H38" s="14" t="s">
        <v>2486</v>
      </c>
      <c r="I38" s="15" t="str" cm="1">
        <f t="array" ref="I38">_xlfn.IFS(LEFT(G38,1)-RIGHT(G38,1) &gt; 0, "W1",LEFT(G38,1)-RIGHT(G38,1) = 0, "D",LEFT(G38,1)-RIGHT(G38,1) &lt; 0, "W2", ISBLANK(G38), "")</f>
        <v>D</v>
      </c>
      <c r="J38" s="15">
        <f t="shared" si="1"/>
        <v>0</v>
      </c>
    </row>
    <row r="39" spans="1:10" ht="16" customHeight="1" x14ac:dyDescent="0.35">
      <c r="A39" s="14" t="s">
        <v>104</v>
      </c>
      <c r="B39" s="15" t="s">
        <v>105</v>
      </c>
      <c r="C39" s="15" t="s">
        <v>135</v>
      </c>
      <c r="D39" s="15" t="s">
        <v>2444</v>
      </c>
      <c r="E39" s="15" t="s">
        <v>103</v>
      </c>
      <c r="F39" s="132" t="s">
        <v>2361</v>
      </c>
      <c r="G39" s="152" t="s">
        <v>2480</v>
      </c>
      <c r="H39" s="14" t="s">
        <v>2487</v>
      </c>
      <c r="I39" s="15" t="str" cm="1">
        <f t="array" ref="I39">_xlfn.IFS(LEFT(G39,1)-RIGHT(G39,1) &gt; 0, "W1",LEFT(G39,1)-RIGHT(G39,1) = 0, "D",LEFT(G39,1)-RIGHT(G39,1) &lt; 0, "W2", ISBLANK(G39), "")</f>
        <v>D</v>
      </c>
      <c r="J39" s="15">
        <f t="shared" si="1"/>
        <v>0</v>
      </c>
    </row>
    <row r="40" spans="1:10" ht="16" customHeight="1" x14ac:dyDescent="0.35">
      <c r="A40" s="14" t="s">
        <v>106</v>
      </c>
      <c r="B40" s="15" t="s">
        <v>107</v>
      </c>
      <c r="C40" s="15" t="s">
        <v>108</v>
      </c>
      <c r="D40" s="15" t="s">
        <v>2441</v>
      </c>
      <c r="E40" s="15" t="s">
        <v>109</v>
      </c>
      <c r="F40" s="132" t="s">
        <v>2362</v>
      </c>
      <c r="G40" s="152"/>
      <c r="H40" s="14"/>
      <c r="I40" s="15" t="e" cm="1">
        <f t="array" ref="I40">_xlfn.IFS(LEFT(G40,1)-RIGHT(G40,1) &gt; 0, "W1",LEFT(G40,1)-RIGHT(G40,1) = 0, "D",LEFT(G40,1)-RIGHT(G40,1) &lt; 0, "W2", ISBLANK(G40), "")</f>
        <v>#VALUE!</v>
      </c>
      <c r="J40" s="15" t="e">
        <f t="shared" si="1"/>
        <v>#VALUE!</v>
      </c>
    </row>
    <row r="41" spans="1:10" ht="16" customHeight="1" x14ac:dyDescent="0.35">
      <c r="A41" s="14" t="s">
        <v>110</v>
      </c>
      <c r="B41" s="15" t="s">
        <v>111</v>
      </c>
      <c r="C41" s="15" t="s">
        <v>141</v>
      </c>
      <c r="D41" s="15" t="s">
        <v>2444</v>
      </c>
      <c r="E41" s="15" t="s">
        <v>109</v>
      </c>
      <c r="F41" s="132" t="s">
        <v>2363</v>
      </c>
      <c r="G41" s="152"/>
      <c r="H41" s="14"/>
      <c r="I41" s="15" t="e" cm="1">
        <f t="array" ref="I41">_xlfn.IFS(LEFT(G41,1)-RIGHT(G41,1) &gt; 0, "W1",LEFT(G41,1)-RIGHT(G41,1) = 0, "D",LEFT(G41,1)-RIGHT(G41,1) &lt; 0, "W2", ISBLANK(G41), "")</f>
        <v>#VALUE!</v>
      </c>
      <c r="J41" s="15" t="e">
        <f t="shared" si="1"/>
        <v>#VALUE!</v>
      </c>
    </row>
    <row r="42" spans="1:10" ht="16" customHeight="1" x14ac:dyDescent="0.35">
      <c r="A42" s="14" t="s">
        <v>112</v>
      </c>
      <c r="B42" s="15" t="s">
        <v>113</v>
      </c>
      <c r="C42" s="15" t="s">
        <v>162</v>
      </c>
      <c r="D42" s="15" t="s">
        <v>2451</v>
      </c>
      <c r="E42" s="15" t="s">
        <v>115</v>
      </c>
      <c r="F42" s="132" t="s">
        <v>2364</v>
      </c>
      <c r="G42" s="152"/>
      <c r="H42" s="14"/>
      <c r="I42" s="15" t="e" cm="1">
        <f t="array" ref="I42">_xlfn.IFS(LEFT(G42,1)-RIGHT(G42,1) &gt; 0, "W1",LEFT(G42,1)-RIGHT(G42,1) = 0, "D",LEFT(G42,1)-RIGHT(G42,1) &lt; 0, "W2", ISBLANK(G42), "")</f>
        <v>#VALUE!</v>
      </c>
      <c r="J42" s="15" t="e">
        <f t="shared" si="1"/>
        <v>#VALUE!</v>
      </c>
    </row>
    <row r="43" spans="1:10" ht="16" customHeight="1" x14ac:dyDescent="0.35">
      <c r="A43" s="14" t="s">
        <v>116</v>
      </c>
      <c r="B43" s="15" t="s">
        <v>117</v>
      </c>
      <c r="C43" s="15" t="s">
        <v>162</v>
      </c>
      <c r="D43" s="15" t="s">
        <v>2451</v>
      </c>
      <c r="E43" s="15" t="s">
        <v>115</v>
      </c>
      <c r="F43" s="132" t="s">
        <v>2365</v>
      </c>
      <c r="G43" s="152"/>
      <c r="H43" s="14"/>
      <c r="I43" s="15" t="e" cm="1">
        <f t="array" ref="I43">_xlfn.IFS(LEFT(G43,1)-RIGHT(G43,1) &gt; 0, "W1",LEFT(G43,1)-RIGHT(G43,1) = 0, "D",LEFT(G43,1)-RIGHT(G43,1) &lt; 0, "W2", ISBLANK(G43), "")</f>
        <v>#VALUE!</v>
      </c>
      <c r="J43" s="15" t="e">
        <f t="shared" si="1"/>
        <v>#VALUE!</v>
      </c>
    </row>
    <row r="44" spans="1:10" ht="16" customHeight="1" x14ac:dyDescent="0.35">
      <c r="A44" s="16" t="s">
        <v>118</v>
      </c>
      <c r="B44" s="17" t="s">
        <v>119</v>
      </c>
      <c r="C44" s="17" t="s">
        <v>102</v>
      </c>
      <c r="D44" s="17" t="s">
        <v>2465</v>
      </c>
      <c r="E44" s="17" t="s">
        <v>120</v>
      </c>
      <c r="F44" s="133" t="s">
        <v>2366</v>
      </c>
      <c r="G44" s="153" t="s">
        <v>2484</v>
      </c>
      <c r="H44" s="16"/>
      <c r="I44" s="17" t="str" cm="1">
        <f t="array" ref="I44">_xlfn.IFS(LEFT(G44,1)-RIGHT(G44,1) &gt; 0, "W1",LEFT(G44,1)-RIGHT(G44,1) = 0, "D",LEFT(G44,1)-RIGHT(G44,1) &lt; 0, "W2", ISBLANK(G44), "")</f>
        <v>D</v>
      </c>
      <c r="J44" s="17">
        <f t="shared" si="1"/>
        <v>0</v>
      </c>
    </row>
    <row r="45" spans="1:10" ht="16" customHeight="1" x14ac:dyDescent="0.35">
      <c r="A45" s="16" t="s">
        <v>121</v>
      </c>
      <c r="B45" s="17" t="s">
        <v>122</v>
      </c>
      <c r="C45" s="17" t="s">
        <v>135</v>
      </c>
      <c r="D45" s="17" t="s">
        <v>2445</v>
      </c>
      <c r="E45" s="17" t="s">
        <v>120</v>
      </c>
      <c r="F45" s="133" t="s">
        <v>2367</v>
      </c>
      <c r="G45" s="153" t="s">
        <v>2461</v>
      </c>
      <c r="H45" s="16" t="s">
        <v>2485</v>
      </c>
      <c r="I45" s="17" t="str" cm="1">
        <f t="array" ref="I45">_xlfn.IFS(LEFT(G45,1)-RIGHT(G45,1) &gt; 0, "W1",LEFT(G45,1)-RIGHT(G45,1) = 0, "D",LEFT(G45,1)-RIGHT(G45,1) &lt; 0, "W2", ISBLANK(G45), "")</f>
        <v>D</v>
      </c>
      <c r="J45" s="17">
        <f t="shared" si="1"/>
        <v>0</v>
      </c>
    </row>
    <row r="46" spans="1:10" ht="16" customHeight="1" x14ac:dyDescent="0.35">
      <c r="A46" s="16" t="s">
        <v>123</v>
      </c>
      <c r="B46" s="17" t="s">
        <v>124</v>
      </c>
      <c r="C46" s="17" t="s">
        <v>108</v>
      </c>
      <c r="D46" s="17" t="s">
        <v>2465</v>
      </c>
      <c r="E46" s="17" t="s">
        <v>125</v>
      </c>
      <c r="F46" s="133" t="s">
        <v>2368</v>
      </c>
      <c r="G46" s="153"/>
      <c r="H46" s="16"/>
      <c r="I46" s="17" t="e" cm="1">
        <f t="array" ref="I46">_xlfn.IFS(LEFT(G46,1)-RIGHT(G46,1) &gt; 0, "W1",LEFT(G46,1)-RIGHT(G46,1) = 0, "D",LEFT(G46,1)-RIGHT(G46,1) &lt; 0, "W2", ISBLANK(G46), "")</f>
        <v>#VALUE!</v>
      </c>
      <c r="J46" s="17" t="e">
        <f t="shared" si="1"/>
        <v>#VALUE!</v>
      </c>
    </row>
    <row r="47" spans="1:10" ht="16" customHeight="1" x14ac:dyDescent="0.35">
      <c r="A47" s="16" t="s">
        <v>126</v>
      </c>
      <c r="B47" s="17" t="s">
        <v>127</v>
      </c>
      <c r="C47" s="17" t="s">
        <v>141</v>
      </c>
      <c r="D47" s="17" t="s">
        <v>2445</v>
      </c>
      <c r="E47" s="17" t="s">
        <v>125</v>
      </c>
      <c r="F47" s="133" t="s">
        <v>2369</v>
      </c>
      <c r="G47" s="153"/>
      <c r="H47" s="16"/>
      <c r="I47" s="17" t="e" cm="1">
        <f t="array" ref="I47">_xlfn.IFS(LEFT(G47,1)-RIGHT(G47,1) &gt; 0, "W1",LEFT(G47,1)-RIGHT(G47,1) = 0, "D",LEFT(G47,1)-RIGHT(G47,1) &lt; 0, "W2", ISBLANK(G47), "")</f>
        <v>#VALUE!</v>
      </c>
      <c r="J47" s="17" t="e">
        <f t="shared" si="1"/>
        <v>#VALUE!</v>
      </c>
    </row>
    <row r="48" spans="1:10" ht="16" customHeight="1" x14ac:dyDescent="0.35">
      <c r="A48" s="16" t="s">
        <v>128</v>
      </c>
      <c r="B48" s="17" t="s">
        <v>129</v>
      </c>
      <c r="C48" s="17" t="s">
        <v>162</v>
      </c>
      <c r="D48" s="17" t="s">
        <v>2442</v>
      </c>
      <c r="E48" s="17" t="s">
        <v>130</v>
      </c>
      <c r="F48" s="133" t="s">
        <v>2370</v>
      </c>
      <c r="G48" s="153"/>
      <c r="H48" s="16"/>
      <c r="I48" s="17" t="e" cm="1">
        <f t="array" ref="I48">_xlfn.IFS(LEFT(G48,1)-RIGHT(G48,1) &gt; 0, "W1",LEFT(G48,1)-RIGHT(G48,1) = 0, "D",LEFT(G48,1)-RIGHT(G48,1) &lt; 0, "W2", ISBLANK(G48), "")</f>
        <v>#VALUE!</v>
      </c>
      <c r="J48" s="17" t="e">
        <f t="shared" si="1"/>
        <v>#VALUE!</v>
      </c>
    </row>
    <row r="49" spans="1:10" ht="16" customHeight="1" x14ac:dyDescent="0.35">
      <c r="A49" s="16" t="s">
        <v>131</v>
      </c>
      <c r="B49" s="17" t="s">
        <v>132</v>
      </c>
      <c r="C49" s="17" t="s">
        <v>162</v>
      </c>
      <c r="D49" s="17" t="s">
        <v>2442</v>
      </c>
      <c r="E49" s="17" t="s">
        <v>130</v>
      </c>
      <c r="F49" s="133" t="s">
        <v>2371</v>
      </c>
      <c r="G49" s="153"/>
      <c r="H49" s="16"/>
      <c r="I49" s="17" t="e" cm="1">
        <f t="array" ref="I49">_xlfn.IFS(LEFT(G49,1)-RIGHT(G49,1) &gt; 0, "W1",LEFT(G49,1)-RIGHT(G49,1) = 0, "D",LEFT(G49,1)-RIGHT(G49,1) &lt; 0, "W2", ISBLANK(G49), "")</f>
        <v>#VALUE!</v>
      </c>
      <c r="J49" s="17" t="e">
        <f t="shared" si="1"/>
        <v>#VALUE!</v>
      </c>
    </row>
    <row r="50" spans="1:10" ht="16" customHeight="1" x14ac:dyDescent="0.35">
      <c r="A50" s="18" t="s">
        <v>133</v>
      </c>
      <c r="B50" s="19" t="s">
        <v>134</v>
      </c>
      <c r="C50" s="19" t="s">
        <v>135</v>
      </c>
      <c r="D50" s="19" t="s">
        <v>2441</v>
      </c>
      <c r="E50" s="19" t="s">
        <v>136</v>
      </c>
      <c r="F50" s="134" t="s">
        <v>2372</v>
      </c>
      <c r="G50" s="154" t="s">
        <v>3809</v>
      </c>
      <c r="H50" s="18" t="s">
        <v>3812</v>
      </c>
      <c r="I50" s="19" t="str" cm="1">
        <f t="array" ref="I50">_xlfn.IFS(LEFT(G50,1)-RIGHT(G50,1) &gt; 0, "W1",LEFT(G50,1)-RIGHT(G50,1) = 0, "D",LEFT(G50,1)-RIGHT(G50,1) &lt; 0, "W2", ISBLANK(G50), "")</f>
        <v>W1</v>
      </c>
      <c r="J50" s="19">
        <f t="shared" si="1"/>
        <v>2</v>
      </c>
    </row>
    <row r="51" spans="1:10" ht="16" customHeight="1" x14ac:dyDescent="0.35">
      <c r="A51" s="18" t="s">
        <v>137</v>
      </c>
      <c r="B51" s="19" t="s">
        <v>138</v>
      </c>
      <c r="C51" s="19" t="s">
        <v>168</v>
      </c>
      <c r="D51" s="19" t="s">
        <v>2445</v>
      </c>
      <c r="E51" s="19" t="s">
        <v>136</v>
      </c>
      <c r="F51" s="134" t="s">
        <v>2373</v>
      </c>
      <c r="G51" s="154" t="s">
        <v>3810</v>
      </c>
      <c r="H51" s="18" t="s">
        <v>3811</v>
      </c>
      <c r="I51" s="19" t="str" cm="1">
        <f t="array" ref="I51">_xlfn.IFS(LEFT(G51,1)-RIGHT(G51,1) &gt; 0, "W1",LEFT(G51,1)-RIGHT(G51,1) = 0, "D",LEFT(G51,1)-RIGHT(G51,1) &lt; 0, "W2", ISBLANK(G51), "")</f>
        <v>W2</v>
      </c>
      <c r="J51" s="19">
        <f t="shared" si="1"/>
        <v>-3</v>
      </c>
    </row>
    <row r="52" spans="1:10" ht="16" customHeight="1" x14ac:dyDescent="0.35">
      <c r="A52" s="18" t="s">
        <v>139</v>
      </c>
      <c r="B52" s="19" t="s">
        <v>140</v>
      </c>
      <c r="C52" s="19" t="s">
        <v>174</v>
      </c>
      <c r="D52" s="19" t="s">
        <v>2450</v>
      </c>
      <c r="E52" s="19" t="s">
        <v>142</v>
      </c>
      <c r="F52" s="134" t="s">
        <v>2374</v>
      </c>
      <c r="G52" s="154"/>
      <c r="H52" s="18"/>
      <c r="I52" s="19" t="e" cm="1">
        <f t="array" ref="I52">_xlfn.IFS(LEFT(G52,1)-RIGHT(G52,1) &gt; 0, "W1",LEFT(G52,1)-RIGHT(G52,1) = 0, "D",LEFT(G52,1)-RIGHT(G52,1) &lt; 0, "W2", ISBLANK(G52), "")</f>
        <v>#VALUE!</v>
      </c>
      <c r="J52" s="19" t="e">
        <f t="shared" si="1"/>
        <v>#VALUE!</v>
      </c>
    </row>
    <row r="53" spans="1:10" ht="16" customHeight="1" x14ac:dyDescent="0.35">
      <c r="A53" s="18" t="s">
        <v>143</v>
      </c>
      <c r="B53" s="19" t="s">
        <v>144</v>
      </c>
      <c r="C53" s="19" t="s">
        <v>174</v>
      </c>
      <c r="D53" s="19" t="s">
        <v>2442</v>
      </c>
      <c r="E53" s="19" t="s">
        <v>142</v>
      </c>
      <c r="F53" s="134" t="s">
        <v>2375</v>
      </c>
      <c r="G53" s="154"/>
      <c r="H53" s="18"/>
      <c r="I53" s="19" t="e" cm="1">
        <f t="array" ref="I53">_xlfn.IFS(LEFT(G53,1)-RIGHT(G53,1) &gt; 0, "W1",LEFT(G53,1)-RIGHT(G53,1) = 0, "D",LEFT(G53,1)-RIGHT(G53,1) &lt; 0, "W2", ISBLANK(G53), "")</f>
        <v>#VALUE!</v>
      </c>
      <c r="J53" s="19" t="e">
        <f t="shared" si="1"/>
        <v>#VALUE!</v>
      </c>
    </row>
    <row r="54" spans="1:10" ht="16" customHeight="1" x14ac:dyDescent="0.35">
      <c r="A54" s="18" t="s">
        <v>145</v>
      </c>
      <c r="B54" s="19" t="s">
        <v>146</v>
      </c>
      <c r="C54" s="19" t="s">
        <v>114</v>
      </c>
      <c r="D54" s="19" t="s">
        <v>2441</v>
      </c>
      <c r="E54" s="19" t="s">
        <v>147</v>
      </c>
      <c r="F54" s="134" t="s">
        <v>2376</v>
      </c>
      <c r="G54" s="154"/>
      <c r="H54" s="18"/>
      <c r="I54" s="19" t="e" cm="1">
        <f t="array" ref="I54">_xlfn.IFS(LEFT(G54,1)-RIGHT(G54,1) &gt; 0, "W1",LEFT(G54,1)-RIGHT(G54,1) = 0, "D",LEFT(G54,1)-RIGHT(G54,1) &lt; 0, "W2", ISBLANK(G54), "")</f>
        <v>#VALUE!</v>
      </c>
      <c r="J54" s="19" t="e">
        <f t="shared" si="1"/>
        <v>#VALUE!</v>
      </c>
    </row>
    <row r="55" spans="1:10" ht="16" customHeight="1" x14ac:dyDescent="0.35">
      <c r="A55" s="18" t="s">
        <v>148</v>
      </c>
      <c r="B55" s="19" t="s">
        <v>149</v>
      </c>
      <c r="C55" s="19" t="s">
        <v>114</v>
      </c>
      <c r="D55" s="19" t="s">
        <v>2441</v>
      </c>
      <c r="E55" s="19" t="s">
        <v>147</v>
      </c>
      <c r="F55" s="134" t="s">
        <v>2377</v>
      </c>
      <c r="G55" s="154"/>
      <c r="H55" s="18"/>
      <c r="I55" s="19" t="e" cm="1">
        <f t="array" ref="I55">_xlfn.IFS(LEFT(G55,1)-RIGHT(G55,1) &gt; 0, "W1",LEFT(G55,1)-RIGHT(G55,1) = 0, "D",LEFT(G55,1)-RIGHT(G55,1) &lt; 0, "W2", ISBLANK(G55), "")</f>
        <v>#VALUE!</v>
      </c>
      <c r="J55" s="19" t="e">
        <f t="shared" si="1"/>
        <v>#VALUE!</v>
      </c>
    </row>
    <row r="56" spans="1:10" ht="16" customHeight="1" x14ac:dyDescent="0.35">
      <c r="A56" s="20" t="s">
        <v>150</v>
      </c>
      <c r="B56" s="21" t="s">
        <v>151</v>
      </c>
      <c r="C56" s="21" t="s">
        <v>168</v>
      </c>
      <c r="D56" s="21" t="s">
        <v>2444</v>
      </c>
      <c r="E56" s="21" t="s">
        <v>152</v>
      </c>
      <c r="F56" s="135" t="s">
        <v>2378</v>
      </c>
      <c r="G56" s="155" t="s">
        <v>3807</v>
      </c>
      <c r="H56" s="20" t="s">
        <v>3808</v>
      </c>
      <c r="I56" s="21" t="str" cm="1">
        <f t="array" ref="I56">_xlfn.IFS(LEFT(G56,1)-RIGHT(G56,1) &gt; 0, "W1",LEFT(G56,1)-RIGHT(G56,1) = 0, "D",LEFT(G56,1)-RIGHT(G56,1) &lt; 0, "W2", ISBLANK(G56), "")</f>
        <v>W1</v>
      </c>
      <c r="J56" s="21">
        <f t="shared" si="1"/>
        <v>3</v>
      </c>
    </row>
    <row r="57" spans="1:10" ht="16" customHeight="1" x14ac:dyDescent="0.35">
      <c r="A57" s="20" t="s">
        <v>153</v>
      </c>
      <c r="B57" s="21" t="s">
        <v>154</v>
      </c>
      <c r="C57" s="21" t="s">
        <v>168</v>
      </c>
      <c r="D57" s="21" t="s">
        <v>2452</v>
      </c>
      <c r="E57" s="21" t="s">
        <v>152</v>
      </c>
      <c r="F57" s="135" t="s">
        <v>2379</v>
      </c>
      <c r="G57" s="155" t="s">
        <v>3809</v>
      </c>
      <c r="H57" s="20" t="s">
        <v>3813</v>
      </c>
      <c r="I57" s="21" t="str" cm="1">
        <f t="array" ref="I57">_xlfn.IFS(LEFT(G57,1)-RIGHT(G57,1) &gt; 0, "W1",LEFT(G57,1)-RIGHT(G57,1) = 0, "D",LEFT(G57,1)-RIGHT(G57,1) &lt; 0, "W2", ISBLANK(G57), "")</f>
        <v>W1</v>
      </c>
      <c r="J57" s="21">
        <f t="shared" si="1"/>
        <v>2</v>
      </c>
    </row>
    <row r="58" spans="1:10" ht="16" customHeight="1" x14ac:dyDescent="0.35">
      <c r="A58" s="20" t="s">
        <v>155</v>
      </c>
      <c r="B58" s="21" t="s">
        <v>156</v>
      </c>
      <c r="C58" s="21" t="s">
        <v>141</v>
      </c>
      <c r="D58" s="21" t="s">
        <v>2446</v>
      </c>
      <c r="E58" s="21" t="s">
        <v>157</v>
      </c>
      <c r="F58" s="135" t="s">
        <v>2380</v>
      </c>
      <c r="G58" s="155"/>
      <c r="H58" s="20"/>
      <c r="I58" s="21" t="e" cm="1">
        <f t="array" ref="I58">_xlfn.IFS(LEFT(G58,1)-RIGHT(G58,1) &gt; 0, "W1",LEFT(G58,1)-RIGHT(G58,1) = 0, "D",LEFT(G58,1)-RIGHT(G58,1) &lt; 0, "W2", ISBLANK(G58), "")</f>
        <v>#VALUE!</v>
      </c>
      <c r="J58" s="21" t="e">
        <f t="shared" si="1"/>
        <v>#VALUE!</v>
      </c>
    </row>
    <row r="59" spans="1:10" ht="16" customHeight="1" x14ac:dyDescent="0.35">
      <c r="A59" s="20" t="s">
        <v>158</v>
      </c>
      <c r="B59" s="21" t="s">
        <v>159</v>
      </c>
      <c r="C59" s="21" t="s">
        <v>174</v>
      </c>
      <c r="D59" s="21" t="s">
        <v>2451</v>
      </c>
      <c r="E59" s="21" t="s">
        <v>157</v>
      </c>
      <c r="F59" s="135" t="s">
        <v>2381</v>
      </c>
      <c r="G59" s="155"/>
      <c r="H59" s="20"/>
      <c r="I59" s="21" t="e" cm="1">
        <f t="array" ref="I59">_xlfn.IFS(LEFT(G59,1)-RIGHT(G59,1) &gt; 0, "W1",LEFT(G59,1)-RIGHT(G59,1) = 0, "D",LEFT(G59,1)-RIGHT(G59,1) &lt; 0, "W2", ISBLANK(G59), "")</f>
        <v>#VALUE!</v>
      </c>
      <c r="J59" s="21" t="e">
        <f t="shared" si="1"/>
        <v>#VALUE!</v>
      </c>
    </row>
    <row r="60" spans="1:10" ht="16" customHeight="1" x14ac:dyDescent="0.35">
      <c r="A60" s="20" t="s">
        <v>160</v>
      </c>
      <c r="B60" s="21" t="s">
        <v>161</v>
      </c>
      <c r="C60" s="21" t="s">
        <v>200</v>
      </c>
      <c r="D60" s="21" t="s">
        <v>2449</v>
      </c>
      <c r="E60" s="21" t="s">
        <v>163</v>
      </c>
      <c r="F60" s="135" t="s">
        <v>2382</v>
      </c>
      <c r="G60" s="155"/>
      <c r="H60" s="20"/>
      <c r="I60" s="21" t="e" cm="1">
        <f t="array" ref="I60">_xlfn.IFS(LEFT(G60,1)-RIGHT(G60,1) &gt; 0, "W1",LEFT(G60,1)-RIGHT(G60,1) = 0, "D",LEFT(G60,1)-RIGHT(G60,1) &lt; 0, "W2", ISBLANK(G60), "")</f>
        <v>#VALUE!</v>
      </c>
      <c r="J60" s="21" t="e">
        <f t="shared" si="1"/>
        <v>#VALUE!</v>
      </c>
    </row>
    <row r="61" spans="1:10" ht="16" customHeight="1" x14ac:dyDescent="0.35">
      <c r="A61" s="20" t="s">
        <v>164</v>
      </c>
      <c r="B61" s="21" t="s">
        <v>165</v>
      </c>
      <c r="C61" s="21" t="s">
        <v>200</v>
      </c>
      <c r="D61" s="21" t="s">
        <v>2449</v>
      </c>
      <c r="E61" s="21" t="s">
        <v>163</v>
      </c>
      <c r="F61" s="135" t="s">
        <v>2383</v>
      </c>
      <c r="G61" s="155"/>
      <c r="H61" s="20"/>
      <c r="I61" s="21" t="e" cm="1">
        <f t="array" ref="I61">_xlfn.IFS(LEFT(G61,1)-RIGHT(G61,1) &gt; 0, "W1",LEFT(G61,1)-RIGHT(G61,1) = 0, "D",LEFT(G61,1)-RIGHT(G61,1) &lt; 0, "W2", ISBLANK(G61), "")</f>
        <v>#VALUE!</v>
      </c>
      <c r="J61" s="21" t="e">
        <f t="shared" si="1"/>
        <v>#VALUE!</v>
      </c>
    </row>
    <row r="62" spans="1:10" ht="16" customHeight="1" x14ac:dyDescent="0.35">
      <c r="A62" s="22" t="s">
        <v>166</v>
      </c>
      <c r="B62" s="23" t="s">
        <v>167</v>
      </c>
      <c r="C62" s="23" t="s">
        <v>168</v>
      </c>
      <c r="D62" s="23" t="s">
        <v>2446</v>
      </c>
      <c r="E62" s="23" t="s">
        <v>169</v>
      </c>
      <c r="F62" s="136" t="s">
        <v>2384</v>
      </c>
      <c r="G62" s="156"/>
      <c r="H62" s="22"/>
      <c r="I62" s="23" t="e" cm="1">
        <f t="array" ref="I62">_xlfn.IFS(LEFT(G62,1)-RIGHT(G62,1) &gt; 0, "W1",LEFT(G62,1)-RIGHT(G62,1) = 0, "D",LEFT(G62,1)-RIGHT(G62,1) &lt; 0, "W2", ISBLANK(G62), "")</f>
        <v>#VALUE!</v>
      </c>
      <c r="J62" s="23" t="e">
        <f t="shared" si="1"/>
        <v>#VALUE!</v>
      </c>
    </row>
    <row r="63" spans="1:10" ht="16" customHeight="1" x14ac:dyDescent="0.35">
      <c r="A63" s="22" t="s">
        <v>170</v>
      </c>
      <c r="B63" s="23" t="s">
        <v>171</v>
      </c>
      <c r="C63" s="23" t="s">
        <v>12</v>
      </c>
      <c r="D63" s="23" t="s">
        <v>2449</v>
      </c>
      <c r="E63" s="23" t="s">
        <v>169</v>
      </c>
      <c r="F63" s="136" t="s">
        <v>2385</v>
      </c>
      <c r="G63" s="156"/>
      <c r="H63" s="22"/>
      <c r="I63" s="23" t="e" cm="1">
        <f t="array" ref="I63">_xlfn.IFS(LEFT(G63,1)-RIGHT(G63,1) &gt; 0, "W1",LEFT(G63,1)-RIGHT(G63,1) = 0, "D",LEFT(G63,1)-RIGHT(G63,1) &lt; 0, "W2", ISBLANK(G63), "")</f>
        <v>#VALUE!</v>
      </c>
      <c r="J63" s="23" t="e">
        <f t="shared" si="1"/>
        <v>#VALUE!</v>
      </c>
    </row>
    <row r="64" spans="1:10" ht="16" customHeight="1" x14ac:dyDescent="0.35">
      <c r="A64" s="22" t="s">
        <v>172</v>
      </c>
      <c r="B64" s="23" t="s">
        <v>173</v>
      </c>
      <c r="C64" s="23" t="s">
        <v>174</v>
      </c>
      <c r="D64" s="23" t="s">
        <v>2446</v>
      </c>
      <c r="E64" s="23" t="s">
        <v>175</v>
      </c>
      <c r="F64" s="136" t="s">
        <v>2386</v>
      </c>
      <c r="G64" s="156"/>
      <c r="H64" s="22"/>
      <c r="I64" s="23" t="e" cm="1">
        <f t="array" ref="I64">_xlfn.IFS(LEFT(G64,1)-RIGHT(G64,1) &gt; 0, "W1",LEFT(G64,1)-RIGHT(G64,1) = 0, "D",LEFT(G64,1)-RIGHT(G64,1) &lt; 0, "W2", ISBLANK(G64), "")</f>
        <v>#VALUE!</v>
      </c>
      <c r="J64" s="23" t="e">
        <f t="shared" si="1"/>
        <v>#VALUE!</v>
      </c>
    </row>
    <row r="65" spans="1:10" ht="16" customHeight="1" x14ac:dyDescent="0.35">
      <c r="A65" s="22" t="s">
        <v>176</v>
      </c>
      <c r="B65" s="23" t="s">
        <v>177</v>
      </c>
      <c r="C65" s="23" t="s">
        <v>18</v>
      </c>
      <c r="D65" s="23" t="s">
        <v>2449</v>
      </c>
      <c r="E65" s="23" t="s">
        <v>175</v>
      </c>
      <c r="F65" s="136" t="s">
        <v>2387</v>
      </c>
      <c r="G65" s="156"/>
      <c r="H65" s="22"/>
      <c r="I65" s="23" t="e" cm="1">
        <f t="array" ref="I65">_xlfn.IFS(LEFT(G65,1)-RIGHT(G65,1) &gt; 0, "W1",LEFT(G65,1)-RIGHT(G65,1) = 0, "D",LEFT(G65,1)-RIGHT(G65,1) &lt; 0, "W2", ISBLANK(G65), "")</f>
        <v>#VALUE!</v>
      </c>
      <c r="J65" s="23" t="e">
        <f t="shared" si="1"/>
        <v>#VALUE!</v>
      </c>
    </row>
    <row r="66" spans="1:10" ht="16" customHeight="1" x14ac:dyDescent="0.35">
      <c r="A66" s="22" t="s">
        <v>178</v>
      </c>
      <c r="B66" s="23" t="s">
        <v>179</v>
      </c>
      <c r="C66" s="23" t="s">
        <v>200</v>
      </c>
      <c r="D66" s="23" t="s">
        <v>2467</v>
      </c>
      <c r="E66" s="23" t="s">
        <v>180</v>
      </c>
      <c r="F66" s="136" t="s">
        <v>2388</v>
      </c>
      <c r="G66" s="156"/>
      <c r="H66" s="22"/>
      <c r="I66" s="23" t="e" cm="1">
        <f t="array" ref="I66">_xlfn.IFS(LEFT(G66,1)-RIGHT(G66,1) &gt; 0, "W1",LEFT(G66,1)-RIGHT(G66,1) = 0, "D",LEFT(G66,1)-RIGHT(G66,1) &lt; 0, "W2", ISBLANK(G66), "")</f>
        <v>#VALUE!</v>
      </c>
      <c r="J66" s="23" t="e">
        <f t="shared" si="1"/>
        <v>#VALUE!</v>
      </c>
    </row>
    <row r="67" spans="1:10" ht="16" customHeight="1" x14ac:dyDescent="0.35">
      <c r="A67" s="22" t="s">
        <v>181</v>
      </c>
      <c r="B67" s="23" t="s">
        <v>182</v>
      </c>
      <c r="C67" s="23" t="s">
        <v>200</v>
      </c>
      <c r="D67" s="23" t="s">
        <v>2467</v>
      </c>
      <c r="E67" s="23" t="s">
        <v>180</v>
      </c>
      <c r="F67" s="136" t="s">
        <v>2389</v>
      </c>
      <c r="G67" s="156"/>
      <c r="H67" s="22"/>
      <c r="I67" s="23" t="e" cm="1">
        <f t="array" ref="I67">_xlfn.IFS(LEFT(G67,1)-RIGHT(G67,1) &gt; 0, "W1",LEFT(G67,1)-RIGHT(G67,1) = 0, "D",LEFT(G67,1)-RIGHT(G67,1) &lt; 0, "W2", ISBLANK(G67), "")</f>
        <v>#VALUE!</v>
      </c>
      <c r="J67" s="23" t="e">
        <f t="shared" si="1"/>
        <v>#VALUE!</v>
      </c>
    </row>
    <row r="68" spans="1:10" ht="16" customHeight="1" x14ac:dyDescent="0.35">
      <c r="A68" s="24" t="s">
        <v>183</v>
      </c>
      <c r="B68" s="25" t="s">
        <v>184</v>
      </c>
      <c r="C68" s="25" t="s">
        <v>168</v>
      </c>
      <c r="D68" s="25" t="s">
        <v>2447</v>
      </c>
      <c r="E68" s="25" t="s">
        <v>185</v>
      </c>
      <c r="F68" s="137" t="s">
        <v>2390</v>
      </c>
      <c r="G68" s="157"/>
      <c r="H68" s="24"/>
      <c r="I68" s="25" t="e" cm="1">
        <f t="array" ref="I68">_xlfn.IFS(LEFT(G68,1)-RIGHT(G68,1) &gt; 0, "W1",LEFT(G68,1)-RIGHT(G68,1) = 0, "D",LEFT(G68,1)-RIGHT(G68,1) &lt; 0, "W2", ISBLANK(G68), "")</f>
        <v>#VALUE!</v>
      </c>
      <c r="J68" s="25" t="e">
        <f t="shared" si="1"/>
        <v>#VALUE!</v>
      </c>
    </row>
    <row r="69" spans="1:10" ht="16" customHeight="1" x14ac:dyDescent="0.35">
      <c r="A69" s="24" t="s">
        <v>186</v>
      </c>
      <c r="B69" s="25" t="s">
        <v>187</v>
      </c>
      <c r="C69" s="25" t="s">
        <v>12</v>
      </c>
      <c r="D69" s="25" t="s">
        <v>2448</v>
      </c>
      <c r="E69" s="25" t="s">
        <v>185</v>
      </c>
      <c r="F69" s="137" t="s">
        <v>2391</v>
      </c>
      <c r="G69" s="157"/>
      <c r="H69" s="24"/>
      <c r="I69" s="25" t="e" cm="1">
        <f t="array" ref="I69">_xlfn.IFS(LEFT(G69,1)-RIGHT(G69,1) &gt; 0, "W1",LEFT(G69,1)-RIGHT(G69,1) = 0, "D",LEFT(G69,1)-RIGHT(G69,1) &lt; 0, "W2", ISBLANK(G69), "")</f>
        <v>#VALUE!</v>
      </c>
      <c r="J69" s="25" t="e">
        <f t="shared" si="1"/>
        <v>#VALUE!</v>
      </c>
    </row>
    <row r="70" spans="1:10" ht="16" customHeight="1" x14ac:dyDescent="0.35">
      <c r="A70" s="24" t="s">
        <v>188</v>
      </c>
      <c r="B70" s="25" t="s">
        <v>189</v>
      </c>
      <c r="C70" s="25" t="s">
        <v>174</v>
      </c>
      <c r="D70" s="25" t="s">
        <v>2447</v>
      </c>
      <c r="E70" s="25" t="s">
        <v>190</v>
      </c>
      <c r="F70" s="137" t="s">
        <v>2392</v>
      </c>
      <c r="G70" s="157"/>
      <c r="H70" s="24"/>
      <c r="I70" s="25" t="e" cm="1">
        <f t="array" ref="I70">_xlfn.IFS(LEFT(G70,1)-RIGHT(G70,1) &gt; 0, "W1",LEFT(G70,1)-RIGHT(G70,1) = 0, "D",LEFT(G70,1)-RIGHT(G70,1) &lt; 0, "W2", ISBLANK(G70), "")</f>
        <v>#VALUE!</v>
      </c>
      <c r="J70" s="25" t="e">
        <f t="shared" si="1"/>
        <v>#VALUE!</v>
      </c>
    </row>
    <row r="71" spans="1:10" ht="16" customHeight="1" x14ac:dyDescent="0.35">
      <c r="A71" s="24" t="s">
        <v>191</v>
      </c>
      <c r="B71" s="25" t="s">
        <v>192</v>
      </c>
      <c r="C71" s="25" t="s">
        <v>18</v>
      </c>
      <c r="D71" s="25" t="s">
        <v>2448</v>
      </c>
      <c r="E71" s="25" t="s">
        <v>190</v>
      </c>
      <c r="F71" s="137" t="s">
        <v>2393</v>
      </c>
      <c r="G71" s="157"/>
      <c r="H71" s="24"/>
      <c r="I71" s="25" t="e" cm="1">
        <f t="array" ref="I71">_xlfn.IFS(LEFT(G71,1)-RIGHT(G71,1) &gt; 0, "W1",LEFT(G71,1)-RIGHT(G71,1) = 0, "D",LEFT(G71,1)-RIGHT(G71,1) &lt; 0, "W2", ISBLANK(G71), "")</f>
        <v>#VALUE!</v>
      </c>
      <c r="J71" s="25" t="e">
        <f t="shared" si="1"/>
        <v>#VALUE!</v>
      </c>
    </row>
    <row r="72" spans="1:10" ht="16" customHeight="1" x14ac:dyDescent="0.35">
      <c r="A72" s="24" t="s">
        <v>193</v>
      </c>
      <c r="B72" s="25" t="s">
        <v>194</v>
      </c>
      <c r="C72" s="25" t="s">
        <v>200</v>
      </c>
      <c r="D72" s="25" t="s">
        <v>2450</v>
      </c>
      <c r="E72" s="25" t="s">
        <v>195</v>
      </c>
      <c r="F72" s="137" t="s">
        <v>2394</v>
      </c>
      <c r="G72" s="157"/>
      <c r="H72" s="24"/>
      <c r="I72" s="25" t="e" cm="1">
        <f t="array" ref="I72">_xlfn.IFS(LEFT(G72,1)-RIGHT(G72,1) &gt; 0, "W1",LEFT(G72,1)-RIGHT(G72,1) = 0, "D",LEFT(G72,1)-RIGHT(G72,1) &lt; 0, "W2", ISBLANK(G72), "")</f>
        <v>#VALUE!</v>
      </c>
      <c r="J72" s="25" t="e">
        <f t="shared" si="1"/>
        <v>#VALUE!</v>
      </c>
    </row>
    <row r="73" spans="1:10" ht="16" customHeight="1" x14ac:dyDescent="0.35">
      <c r="A73" s="24" t="s">
        <v>196</v>
      </c>
      <c r="B73" s="25" t="s">
        <v>197</v>
      </c>
      <c r="C73" s="25" t="s">
        <v>200</v>
      </c>
      <c r="D73" s="25" t="s">
        <v>2450</v>
      </c>
      <c r="E73" s="25" t="s">
        <v>195</v>
      </c>
      <c r="F73" s="137" t="s">
        <v>2395</v>
      </c>
      <c r="G73" s="157"/>
      <c r="H73" s="24"/>
      <c r="I73" s="25" t="e" cm="1">
        <f t="array" ref="I73">_xlfn.IFS(LEFT(G73,1)-RIGHT(G73,1) &gt; 0, "W1",LEFT(G73,1)-RIGHT(G73,1) = 0, "D",LEFT(G73,1)-RIGHT(G73,1) &lt; 0, "W2", ISBLANK(G73), "")</f>
        <v>#VALUE!</v>
      </c>
      <c r="J73" s="25" t="e">
        <f t="shared" si="1"/>
        <v>#VALUE!</v>
      </c>
    </row>
    <row r="74" spans="1:10" ht="16" customHeight="1" x14ac:dyDescent="0.35">
      <c r="A74" s="26" t="s">
        <v>198</v>
      </c>
      <c r="B74" s="27" t="s">
        <v>199</v>
      </c>
      <c r="C74" s="27" t="s">
        <v>200</v>
      </c>
      <c r="D74" s="27" t="s">
        <v>2441</v>
      </c>
      <c r="E74" s="27" t="s">
        <v>201</v>
      </c>
      <c r="F74" s="138" t="s">
        <v>2396</v>
      </c>
      <c r="G74" s="158"/>
      <c r="H74" s="26"/>
      <c r="I74" s="27" t="e" cm="1">
        <f t="array" ref="I74">_xlfn.IFS(LEFT(G74,1)-RIGHT(G74,1) &gt; 0, "W1",LEFT(G74,1)-RIGHT(G74,1) = 0, "D",LEFT(G74,1)-RIGHT(G74,1) &lt; 0, "W2", ISBLANK(G74), "")</f>
        <v>#VALUE!</v>
      </c>
      <c r="J74" s="27" t="e">
        <f t="shared" si="1"/>
        <v>#VALUE!</v>
      </c>
    </row>
    <row r="75" spans="1:10" ht="16" customHeight="1" x14ac:dyDescent="0.35">
      <c r="A75" s="26" t="s">
        <v>202</v>
      </c>
      <c r="B75" s="27" t="s">
        <v>199</v>
      </c>
      <c r="C75" s="27" t="s">
        <v>203</v>
      </c>
      <c r="D75" s="27" t="s">
        <v>2468</v>
      </c>
      <c r="E75" s="27" t="s">
        <v>201</v>
      </c>
      <c r="F75" s="138" t="s">
        <v>2397</v>
      </c>
      <c r="G75" s="158"/>
      <c r="H75" s="26"/>
      <c r="I75" s="27" t="e" cm="1">
        <f t="array" ref="I75">_xlfn.IFS(LEFT(G75,1)-RIGHT(G75,1) &gt; 0, "W1",LEFT(G75,1)-RIGHT(G75,1) = 0, "D",LEFT(G75,1)-RIGHT(G75,1) &lt; 0, "W2", ISBLANK(G75), "")</f>
        <v>#VALUE!</v>
      </c>
      <c r="J75" s="27" t="e">
        <f t="shared" si="1"/>
        <v>#VALUE!</v>
      </c>
    </row>
    <row r="76" spans="1:10" ht="16" customHeight="1" x14ac:dyDescent="0.35">
      <c r="A76" s="26" t="s">
        <v>204</v>
      </c>
      <c r="B76" s="27" t="s">
        <v>199</v>
      </c>
      <c r="C76" s="27" t="s">
        <v>208</v>
      </c>
      <c r="D76" s="27" t="s">
        <v>2444</v>
      </c>
      <c r="E76" s="27" t="s">
        <v>205</v>
      </c>
      <c r="F76" s="138" t="s">
        <v>2398</v>
      </c>
      <c r="G76" s="158"/>
      <c r="H76" s="26"/>
      <c r="I76" s="27" t="e" cm="1">
        <f t="array" ref="I76">_xlfn.IFS(LEFT(G76,1)-RIGHT(G76,1) &gt; 0, "W1",LEFT(G76,1)-RIGHT(G76,1) = 0, "D",LEFT(G76,1)-RIGHT(G76,1) &lt; 0, "W2", ISBLANK(G76), "")</f>
        <v>#VALUE!</v>
      </c>
      <c r="J76" s="27" t="e">
        <f t="shared" si="1"/>
        <v>#VALUE!</v>
      </c>
    </row>
    <row r="77" spans="1:10" ht="16" customHeight="1" x14ac:dyDescent="0.35">
      <c r="A77" s="26" t="s">
        <v>206</v>
      </c>
      <c r="B77" s="27" t="s">
        <v>199</v>
      </c>
      <c r="C77" s="27" t="s">
        <v>203</v>
      </c>
      <c r="D77" s="27" t="s">
        <v>2446</v>
      </c>
      <c r="E77" s="27" t="s">
        <v>205</v>
      </c>
      <c r="F77" s="138" t="s">
        <v>2399</v>
      </c>
      <c r="G77" s="158"/>
      <c r="H77" s="26"/>
      <c r="I77" s="27" t="e" cm="1">
        <f t="array" ref="I77">_xlfn.IFS(LEFT(G77,1)-RIGHT(G77,1) &gt; 0, "W1",LEFT(G77,1)-RIGHT(G77,1) = 0, "D",LEFT(G77,1)-RIGHT(G77,1) &lt; 0, "W2", ISBLANK(G77), "")</f>
        <v>#VALUE!</v>
      </c>
      <c r="J77" s="27" t="e">
        <f t="shared" si="1"/>
        <v>#VALUE!</v>
      </c>
    </row>
    <row r="78" spans="1:10" ht="16" customHeight="1" x14ac:dyDescent="0.35">
      <c r="A78" s="26" t="s">
        <v>207</v>
      </c>
      <c r="B78" s="27" t="s">
        <v>199</v>
      </c>
      <c r="C78" s="27" t="s">
        <v>214</v>
      </c>
      <c r="D78" s="27" t="s">
        <v>2450</v>
      </c>
      <c r="E78" s="27" t="s">
        <v>209</v>
      </c>
      <c r="F78" s="138" t="s">
        <v>2400</v>
      </c>
      <c r="G78" s="158"/>
      <c r="H78" s="26"/>
      <c r="I78" s="27" t="e" cm="1">
        <f t="array" ref="I78">_xlfn.IFS(LEFT(G78,1)-RIGHT(G78,1) &gt; 0, "W1",LEFT(G78,1)-RIGHT(G78,1) = 0, "D",LEFT(G78,1)-RIGHT(G78,1) &lt; 0, "W2", ISBLANK(G78), "")</f>
        <v>#VALUE!</v>
      </c>
      <c r="J78" s="27" t="e">
        <f t="shared" si="1"/>
        <v>#VALUE!</v>
      </c>
    </row>
    <row r="79" spans="1:10" ht="16" customHeight="1" x14ac:dyDescent="0.35">
      <c r="A79" s="26" t="s">
        <v>210</v>
      </c>
      <c r="B79" s="27" t="s">
        <v>199</v>
      </c>
      <c r="C79" s="27" t="s">
        <v>208</v>
      </c>
      <c r="D79" s="27" t="s">
        <v>2446</v>
      </c>
      <c r="E79" s="27" t="s">
        <v>209</v>
      </c>
      <c r="F79" s="138" t="s">
        <v>2401</v>
      </c>
      <c r="G79" s="158"/>
      <c r="H79" s="26"/>
      <c r="I79" s="27" t="e" cm="1">
        <f t="array" ref="I79">_xlfn.IFS(LEFT(G79,1)-RIGHT(G79,1) &gt; 0, "W1",LEFT(G79,1)-RIGHT(G79,1) = 0, "D",LEFT(G79,1)-RIGHT(G79,1) &lt; 0, "W2", ISBLANK(G79), "")</f>
        <v>#VALUE!</v>
      </c>
      <c r="J79" s="27" t="e">
        <f t="shared" si="1"/>
        <v>#VALUE!</v>
      </c>
    </row>
    <row r="80" spans="1:10" ht="16" customHeight="1" x14ac:dyDescent="0.35">
      <c r="A80" s="26" t="s">
        <v>211</v>
      </c>
      <c r="B80" s="27" t="s">
        <v>199</v>
      </c>
      <c r="C80" s="27" t="s">
        <v>214</v>
      </c>
      <c r="D80" s="27" t="s">
        <v>2444</v>
      </c>
      <c r="E80" s="27" t="s">
        <v>212</v>
      </c>
      <c r="F80" s="138" t="s">
        <v>2402</v>
      </c>
      <c r="G80" s="158"/>
      <c r="H80" s="26"/>
      <c r="I80" s="27" t="e" cm="1">
        <f t="array" ref="I80">_xlfn.IFS(LEFT(G80,1)-RIGHT(G80,1) &gt; 0, "W1",LEFT(G80,1)-RIGHT(G80,1) = 0, "D",LEFT(G80,1)-RIGHT(G80,1) &lt; 0, "W2", ISBLANK(G80), "")</f>
        <v>#VALUE!</v>
      </c>
      <c r="J80" s="27" t="e">
        <f t="shared" si="1"/>
        <v>#VALUE!</v>
      </c>
    </row>
    <row r="81" spans="1:10" ht="16" customHeight="1" x14ac:dyDescent="0.35">
      <c r="A81" s="26" t="s">
        <v>213</v>
      </c>
      <c r="B81" s="27" t="s">
        <v>199</v>
      </c>
      <c r="C81" s="27" t="s">
        <v>214</v>
      </c>
      <c r="D81" s="27" t="s">
        <v>2465</v>
      </c>
      <c r="E81" s="27" t="s">
        <v>215</v>
      </c>
      <c r="F81" s="138" t="s">
        <v>2403</v>
      </c>
      <c r="G81" s="158"/>
      <c r="H81" s="26"/>
      <c r="I81" s="27" t="e" cm="1">
        <f t="array" ref="I81">_xlfn.IFS(LEFT(G81,1)-RIGHT(G81,1) &gt; 0, "W1",LEFT(G81,1)-RIGHT(G81,1) = 0, "D",LEFT(G81,1)-RIGHT(G81,1) &lt; 0, "W2", ISBLANK(G81), "")</f>
        <v>#VALUE!</v>
      </c>
      <c r="J81" s="27" t="e">
        <f t="shared" si="1"/>
        <v>#VALUE!</v>
      </c>
    </row>
    <row r="82" spans="1:10" ht="16" customHeight="1" x14ac:dyDescent="0.35">
      <c r="A82" s="26" t="s">
        <v>216</v>
      </c>
      <c r="B82" s="27" t="s">
        <v>199</v>
      </c>
      <c r="C82" s="27" t="s">
        <v>220</v>
      </c>
      <c r="D82" s="27" t="s">
        <v>2442</v>
      </c>
      <c r="E82" s="27" t="s">
        <v>217</v>
      </c>
      <c r="F82" s="138" t="s">
        <v>2404</v>
      </c>
      <c r="G82" s="158"/>
      <c r="H82" s="26"/>
      <c r="I82" s="27" t="e" cm="1">
        <f t="array" ref="I82">_xlfn.IFS(LEFT(G82,1)-RIGHT(G82,1) &gt; 0, "W1",LEFT(G82,1)-RIGHT(G82,1) = 0, "D",LEFT(G82,1)-RIGHT(G82,1) &lt; 0, "W2", ISBLANK(G82), "")</f>
        <v>#VALUE!</v>
      </c>
      <c r="J82" s="27" t="e">
        <f t="shared" si="1"/>
        <v>#VALUE!</v>
      </c>
    </row>
    <row r="83" spans="1:10" ht="16" customHeight="1" x14ac:dyDescent="0.35">
      <c r="A83" s="26" t="s">
        <v>218</v>
      </c>
      <c r="B83" s="27" t="s">
        <v>199</v>
      </c>
      <c r="C83" s="27" t="s">
        <v>214</v>
      </c>
      <c r="D83" s="27" t="s">
        <v>2447</v>
      </c>
      <c r="E83" s="27" t="s">
        <v>201</v>
      </c>
      <c r="F83" s="138" t="s">
        <v>2405</v>
      </c>
      <c r="G83" s="158"/>
      <c r="H83" s="26"/>
      <c r="I83" s="27" t="e" cm="1">
        <f t="array" ref="I83">_xlfn.IFS(LEFT(G83,1)-RIGHT(G83,1) &gt; 0, "W1",LEFT(G83,1)-RIGHT(G83,1) = 0, "D",LEFT(G83,1)-RIGHT(G83,1) &lt; 0, "W2", ISBLANK(G83), "")</f>
        <v>#VALUE!</v>
      </c>
      <c r="J83" s="27" t="e">
        <f t="shared" si="1"/>
        <v>#VALUE!</v>
      </c>
    </row>
    <row r="84" spans="1:10" ht="16" customHeight="1" x14ac:dyDescent="0.35">
      <c r="A84" s="26" t="s">
        <v>219</v>
      </c>
      <c r="B84" s="27" t="s">
        <v>199</v>
      </c>
      <c r="C84" s="27" t="s">
        <v>224</v>
      </c>
      <c r="D84" s="27" t="s">
        <v>2448</v>
      </c>
      <c r="E84" s="27" t="s">
        <v>201</v>
      </c>
      <c r="F84" s="138" t="s">
        <v>2406</v>
      </c>
      <c r="G84" s="158"/>
      <c r="H84" s="26"/>
      <c r="I84" s="27" t="e" cm="1">
        <f t="array" ref="I84">_xlfn.IFS(LEFT(G84,1)-RIGHT(G84,1) &gt; 0, "W1",LEFT(G84,1)-RIGHT(G84,1) = 0, "D",LEFT(G84,1)-RIGHT(G84,1) &lt; 0, "W2", ISBLANK(G84), "")</f>
        <v>#VALUE!</v>
      </c>
      <c r="J84" s="27" t="e">
        <f t="shared" si="1"/>
        <v>#VALUE!</v>
      </c>
    </row>
    <row r="85" spans="1:10" ht="16" customHeight="1" x14ac:dyDescent="0.35">
      <c r="A85" s="26" t="s">
        <v>221</v>
      </c>
      <c r="B85" s="27" t="s">
        <v>199</v>
      </c>
      <c r="C85" s="27" t="s">
        <v>220</v>
      </c>
      <c r="D85" s="27" t="s">
        <v>2441</v>
      </c>
      <c r="E85" s="27" t="s">
        <v>201</v>
      </c>
      <c r="F85" s="138" t="s">
        <v>2407</v>
      </c>
      <c r="G85" s="158"/>
      <c r="H85" s="26"/>
      <c r="I85" s="27" t="e" cm="1">
        <f t="array" ref="I85">_xlfn.IFS(LEFT(G85,1)-RIGHT(G85,1) &gt; 0, "W1",LEFT(G85,1)-RIGHT(G85,1) = 0, "D",LEFT(G85,1)-RIGHT(G85,1) &lt; 0, "W2", ISBLANK(G85), "")</f>
        <v>#VALUE!</v>
      </c>
      <c r="J85" s="27" t="e">
        <f t="shared" si="1"/>
        <v>#VALUE!</v>
      </c>
    </row>
    <row r="86" spans="1:10" ht="16" customHeight="1" x14ac:dyDescent="0.35">
      <c r="A86" s="26" t="s">
        <v>222</v>
      </c>
      <c r="B86" s="27" t="s">
        <v>199</v>
      </c>
      <c r="C86" s="27" t="s">
        <v>224</v>
      </c>
      <c r="D86" s="27" t="s">
        <v>2451</v>
      </c>
      <c r="E86" s="27" t="s">
        <v>201</v>
      </c>
      <c r="F86" s="138" t="s">
        <v>2408</v>
      </c>
      <c r="G86" s="158"/>
      <c r="H86" s="26"/>
      <c r="I86" s="27" t="e" cm="1">
        <f t="array" ref="I86">_xlfn.IFS(LEFT(G86,1)-RIGHT(G86,1) &gt; 0, "W1",LEFT(G86,1)-RIGHT(G86,1) = 0, "D",LEFT(G86,1)-RIGHT(G86,1) &lt; 0, "W2", ISBLANK(G86), "")</f>
        <v>#VALUE!</v>
      </c>
      <c r="J86" s="27" t="e">
        <f t="shared" si="1"/>
        <v>#VALUE!</v>
      </c>
    </row>
    <row r="87" spans="1:10" ht="16" customHeight="1" x14ac:dyDescent="0.35">
      <c r="A87" s="26" t="s">
        <v>223</v>
      </c>
      <c r="B87" s="27" t="s">
        <v>199</v>
      </c>
      <c r="C87" s="27" t="s">
        <v>228</v>
      </c>
      <c r="D87" s="27" t="s">
        <v>2445</v>
      </c>
      <c r="E87" s="27" t="s">
        <v>201</v>
      </c>
      <c r="F87" s="138" t="s">
        <v>2409</v>
      </c>
      <c r="G87" s="158"/>
      <c r="H87" s="26"/>
      <c r="I87" s="27" t="e" cm="1">
        <f t="array" ref="I87">_xlfn.IFS(LEFT(G87,1)-RIGHT(G87,1) &gt; 0, "W1",LEFT(G87,1)-RIGHT(G87,1) = 0, "D",LEFT(G87,1)-RIGHT(G87,1) &lt; 0, "W2", ISBLANK(G87), "")</f>
        <v>#VALUE!</v>
      </c>
      <c r="J87" s="27" t="e">
        <f t="shared" si="1"/>
        <v>#VALUE!</v>
      </c>
    </row>
    <row r="88" spans="1:10" ht="16" customHeight="1" x14ac:dyDescent="0.35">
      <c r="A88" s="26" t="s">
        <v>225</v>
      </c>
      <c r="B88" s="27" t="s">
        <v>199</v>
      </c>
      <c r="C88" s="27" t="s">
        <v>228</v>
      </c>
      <c r="D88" s="27" t="s">
        <v>2469</v>
      </c>
      <c r="E88" s="27" t="s">
        <v>201</v>
      </c>
      <c r="F88" s="138" t="s">
        <v>2410</v>
      </c>
      <c r="G88" s="158"/>
      <c r="H88" s="26"/>
      <c r="I88" s="27" t="e" cm="1">
        <f t="array" ref="I88">_xlfn.IFS(LEFT(G88,1)-RIGHT(G88,1) &gt; 0, "W1",LEFT(G88,1)-RIGHT(G88,1) = 0, "D",LEFT(G88,1)-RIGHT(G88,1) &lt; 0, "W2", ISBLANK(G88), "")</f>
        <v>#VALUE!</v>
      </c>
      <c r="J88" s="27" t="e">
        <f t="shared" si="1"/>
        <v>#VALUE!</v>
      </c>
    </row>
    <row r="89" spans="1:10" ht="16" customHeight="1" x14ac:dyDescent="0.35">
      <c r="A89" s="26" t="s">
        <v>226</v>
      </c>
      <c r="B89" s="27" t="s">
        <v>199</v>
      </c>
      <c r="C89" s="27" t="s">
        <v>224</v>
      </c>
      <c r="D89" s="27" t="s">
        <v>2443</v>
      </c>
      <c r="E89" s="27" t="s">
        <v>201</v>
      </c>
      <c r="F89" s="138" t="s">
        <v>2411</v>
      </c>
      <c r="G89" s="158"/>
      <c r="H89" s="26"/>
      <c r="I89" s="27" t="e" cm="1">
        <f t="array" ref="I89">_xlfn.IFS(LEFT(G89,1)-RIGHT(G89,1) &gt; 0, "W1",LEFT(G89,1)-RIGHT(G89,1) = 0, "D",LEFT(G89,1)-RIGHT(G89,1) &lt; 0, "W2", ISBLANK(G89), "")</f>
        <v>#VALUE!</v>
      </c>
      <c r="J89" s="27" t="e">
        <f t="shared" si="1"/>
        <v>#VALUE!</v>
      </c>
    </row>
    <row r="90" spans="1:10" ht="16" customHeight="1" x14ac:dyDescent="0.35">
      <c r="A90" s="28" t="s">
        <v>227</v>
      </c>
      <c r="B90" s="29" t="s">
        <v>199</v>
      </c>
      <c r="C90" s="29" t="s">
        <v>232</v>
      </c>
      <c r="D90" s="29" t="s">
        <v>2450</v>
      </c>
      <c r="E90" s="29" t="s">
        <v>229</v>
      </c>
      <c r="F90" s="139" t="s">
        <v>2412</v>
      </c>
      <c r="G90" s="159"/>
      <c r="H90" s="28"/>
      <c r="I90" s="29" t="e" cm="1">
        <f t="array" ref="I90">_xlfn.IFS(LEFT(G90,1)-RIGHT(G90,1) &gt; 0, "W1",LEFT(G90,1)-RIGHT(G90,1) = 0, "D",LEFT(G90,1)-RIGHT(G90,1) &lt; 0, "W2", ISBLANK(G90), "")</f>
        <v>#VALUE!</v>
      </c>
      <c r="J90" s="29" t="e">
        <f t="shared" ref="J90:J105" si="2">LEFT(G90,1)-RIGHT(G90,1)</f>
        <v>#VALUE!</v>
      </c>
    </row>
    <row r="91" spans="1:10" ht="16" customHeight="1" x14ac:dyDescent="0.35">
      <c r="A91" s="28" t="s">
        <v>230</v>
      </c>
      <c r="B91" s="29" t="s">
        <v>199</v>
      </c>
      <c r="C91" s="29" t="s">
        <v>228</v>
      </c>
      <c r="D91" s="29" t="s">
        <v>2446</v>
      </c>
      <c r="E91" s="29" t="s">
        <v>229</v>
      </c>
      <c r="F91" s="139" t="s">
        <v>2413</v>
      </c>
      <c r="G91" s="159"/>
      <c r="H91" s="28"/>
      <c r="I91" s="29" t="e" cm="1">
        <f t="array" ref="I91">_xlfn.IFS(LEFT(G91,1)-RIGHT(G91,1) &gt; 0, "W1",LEFT(G91,1)-RIGHT(G91,1) = 0, "D",LEFT(G91,1)-RIGHT(G91,1) &lt; 0, "W2", ISBLANK(G91), "")</f>
        <v>#VALUE!</v>
      </c>
      <c r="J91" s="29" t="e">
        <f t="shared" si="2"/>
        <v>#VALUE!</v>
      </c>
    </row>
    <row r="92" spans="1:10" ht="16" customHeight="1" x14ac:dyDescent="0.35">
      <c r="A92" s="28" t="s">
        <v>231</v>
      </c>
      <c r="B92" s="29" t="s">
        <v>199</v>
      </c>
      <c r="C92" s="29" t="s">
        <v>232</v>
      </c>
      <c r="D92" s="29" t="s">
        <v>2447</v>
      </c>
      <c r="E92" s="29" t="s">
        <v>233</v>
      </c>
      <c r="F92" s="139" t="s">
        <v>2414</v>
      </c>
      <c r="G92" s="159"/>
      <c r="H92" s="28"/>
      <c r="I92" s="29" t="e" cm="1">
        <f t="array" ref="I92">_xlfn.IFS(LEFT(G92,1)-RIGHT(G92,1) &gt; 0, "W1",LEFT(G92,1)-RIGHT(G92,1) = 0, "D",LEFT(G92,1)-RIGHT(G92,1) &lt; 0, "W2", ISBLANK(G92), "")</f>
        <v>#VALUE!</v>
      </c>
      <c r="J92" s="29" t="e">
        <f t="shared" si="2"/>
        <v>#VALUE!</v>
      </c>
    </row>
    <row r="93" spans="1:10" ht="16" customHeight="1" x14ac:dyDescent="0.35">
      <c r="A93" s="28" t="s">
        <v>234</v>
      </c>
      <c r="B93" s="29" t="s">
        <v>199</v>
      </c>
      <c r="C93" s="29" t="s">
        <v>236</v>
      </c>
      <c r="D93" s="29" t="s">
        <v>2442</v>
      </c>
      <c r="E93" s="29" t="s">
        <v>233</v>
      </c>
      <c r="F93" s="139" t="s">
        <v>2415</v>
      </c>
      <c r="G93" s="159"/>
      <c r="H93" s="28"/>
      <c r="I93" s="29" t="e" cm="1">
        <f t="array" ref="I93">_xlfn.IFS(LEFT(G93,1)-RIGHT(G93,1) &gt; 0, "W1",LEFT(G93,1)-RIGHT(G93,1) = 0, "D",LEFT(G93,1)-RIGHT(G93,1) &lt; 0, "W2", ISBLANK(G93), "")</f>
        <v>#VALUE!</v>
      </c>
      <c r="J93" s="29" t="e">
        <f t="shared" si="2"/>
        <v>#VALUE!</v>
      </c>
    </row>
    <row r="94" spans="1:10" ht="16" customHeight="1" x14ac:dyDescent="0.35">
      <c r="A94" s="28" t="s">
        <v>235</v>
      </c>
      <c r="B94" s="29" t="s">
        <v>199</v>
      </c>
      <c r="C94" s="29" t="s">
        <v>236</v>
      </c>
      <c r="D94" s="29" t="s">
        <v>2441</v>
      </c>
      <c r="E94" s="29" t="s">
        <v>237</v>
      </c>
      <c r="F94" s="139" t="s">
        <v>2416</v>
      </c>
      <c r="G94" s="159"/>
      <c r="H94" s="28"/>
      <c r="I94" s="29" t="e" cm="1">
        <f t="array" ref="I94">_xlfn.IFS(LEFT(G94,1)-RIGHT(G94,1) &gt; 0, "W1",LEFT(G94,1)-RIGHT(G94,1) = 0, "D",LEFT(G94,1)-RIGHT(G94,1) &lt; 0, "W2", ISBLANK(G94), "")</f>
        <v>#VALUE!</v>
      </c>
      <c r="J94" s="29" t="e">
        <f t="shared" si="2"/>
        <v>#VALUE!</v>
      </c>
    </row>
    <row r="95" spans="1:10" ht="16" customHeight="1" x14ac:dyDescent="0.35">
      <c r="A95" s="28" t="s">
        <v>238</v>
      </c>
      <c r="B95" s="29" t="s">
        <v>199</v>
      </c>
      <c r="C95" s="29" t="s">
        <v>240</v>
      </c>
      <c r="D95" s="29" t="s">
        <v>2442</v>
      </c>
      <c r="E95" s="29" t="s">
        <v>237</v>
      </c>
      <c r="F95" s="139" t="s">
        <v>2417</v>
      </c>
      <c r="G95" s="159"/>
      <c r="H95" s="28"/>
      <c r="I95" s="29" t="e" cm="1">
        <f t="array" ref="I95">_xlfn.IFS(LEFT(G95,1)-RIGHT(G95,1) &gt; 0, "W1",LEFT(G95,1)-RIGHT(G95,1) = 0, "D",LEFT(G95,1)-RIGHT(G95,1) &lt; 0, "W2", ISBLANK(G95), "")</f>
        <v>#VALUE!</v>
      </c>
      <c r="J95" s="29" t="e">
        <f t="shared" si="2"/>
        <v>#VALUE!</v>
      </c>
    </row>
    <row r="96" spans="1:10" ht="16" customHeight="1" x14ac:dyDescent="0.35">
      <c r="A96" s="28" t="s">
        <v>239</v>
      </c>
      <c r="B96" s="29" t="s">
        <v>199</v>
      </c>
      <c r="C96" s="29" t="s">
        <v>240</v>
      </c>
      <c r="D96" s="29" t="s">
        <v>2465</v>
      </c>
      <c r="E96" s="29" t="s">
        <v>241</v>
      </c>
      <c r="F96" s="139" t="s">
        <v>2418</v>
      </c>
      <c r="G96" s="159"/>
      <c r="H96" s="28"/>
      <c r="I96" s="29" t="e" cm="1">
        <f t="array" ref="I96">_xlfn.IFS(LEFT(G96,1)-RIGHT(G96,1) &gt; 0, "W1",LEFT(G96,1)-RIGHT(G96,1) = 0, "D",LEFT(G96,1)-RIGHT(G96,1) &lt; 0, "W2", ISBLANK(G96), "")</f>
        <v>#VALUE!</v>
      </c>
      <c r="J96" s="29" t="e">
        <f t="shared" si="2"/>
        <v>#VALUE!</v>
      </c>
    </row>
    <row r="97" spans="1:10" ht="16" customHeight="1" x14ac:dyDescent="0.35">
      <c r="A97" s="28" t="s">
        <v>242</v>
      </c>
      <c r="B97" s="29" t="s">
        <v>199</v>
      </c>
      <c r="C97" s="29" t="s">
        <v>240</v>
      </c>
      <c r="D97" s="29" t="s">
        <v>2447</v>
      </c>
      <c r="E97" s="29" t="s">
        <v>243</v>
      </c>
      <c r="F97" s="139" t="s">
        <v>2419</v>
      </c>
      <c r="G97" s="159"/>
      <c r="H97" s="28"/>
      <c r="I97" s="29" t="e" cm="1">
        <f t="array" ref="I97">_xlfn.IFS(LEFT(G97,1)-RIGHT(G97,1) &gt; 0, "W1",LEFT(G97,1)-RIGHT(G97,1) = 0, "D",LEFT(G97,1)-RIGHT(G97,1) &lt; 0, "W2", ISBLANK(G97), "")</f>
        <v>#VALUE!</v>
      </c>
      <c r="J97" s="29" t="e">
        <f t="shared" si="2"/>
        <v>#VALUE!</v>
      </c>
    </row>
    <row r="98" spans="1:10" ht="16" customHeight="1" x14ac:dyDescent="0.35">
      <c r="A98" s="30" t="s">
        <v>244</v>
      </c>
      <c r="B98" s="31" t="s">
        <v>199</v>
      </c>
      <c r="C98" s="31" t="s">
        <v>245</v>
      </c>
      <c r="D98" s="31" t="s">
        <v>2447</v>
      </c>
      <c r="E98" s="31" t="s">
        <v>246</v>
      </c>
      <c r="F98" s="140" t="s">
        <v>2420</v>
      </c>
      <c r="G98" s="160"/>
      <c r="H98" s="30"/>
      <c r="I98" s="31" t="e" cm="1">
        <f t="array" ref="I98">_xlfn.IFS(LEFT(G98,1)-RIGHT(G98,1) &gt; 0, "W1",LEFT(G98,1)-RIGHT(G98,1) = 0, "D",LEFT(G98,1)-RIGHT(G98,1) &lt; 0, "W2", ISBLANK(G98), "")</f>
        <v>#VALUE!</v>
      </c>
      <c r="J98" s="31" t="e">
        <f t="shared" si="2"/>
        <v>#VALUE!</v>
      </c>
    </row>
    <row r="99" spans="1:10" ht="16" customHeight="1" x14ac:dyDescent="0.35">
      <c r="A99" s="30" t="s">
        <v>247</v>
      </c>
      <c r="B99" s="31" t="s">
        <v>199</v>
      </c>
      <c r="C99" s="31" t="s">
        <v>248</v>
      </c>
      <c r="D99" s="31" t="s">
        <v>2441</v>
      </c>
      <c r="E99" s="31" t="s">
        <v>246</v>
      </c>
      <c r="F99" s="140" t="s">
        <v>2421</v>
      </c>
      <c r="G99" s="160"/>
      <c r="H99" s="30"/>
      <c r="I99" s="31" t="e" cm="1">
        <f t="array" ref="I99">_xlfn.IFS(LEFT(G99,1)-RIGHT(G99,1) &gt; 0, "W1",LEFT(G99,1)-RIGHT(G99,1) = 0, "D",LEFT(G99,1)-RIGHT(G99,1) &lt; 0, "W2", ISBLANK(G99), "")</f>
        <v>#VALUE!</v>
      </c>
      <c r="J99" s="31" t="e">
        <f t="shared" si="2"/>
        <v>#VALUE!</v>
      </c>
    </row>
    <row r="100" spans="1:10" ht="16" customHeight="1" x14ac:dyDescent="0.35">
      <c r="A100" s="30" t="s">
        <v>249</v>
      </c>
      <c r="B100" s="31" t="s">
        <v>199</v>
      </c>
      <c r="C100" s="31" t="s">
        <v>2470</v>
      </c>
      <c r="D100" s="31" t="s">
        <v>2450</v>
      </c>
      <c r="E100" s="31" t="s">
        <v>250</v>
      </c>
      <c r="F100" s="140" t="s">
        <v>2422</v>
      </c>
      <c r="G100" s="160"/>
      <c r="H100" s="30"/>
      <c r="I100" s="31" t="e" cm="1">
        <f t="array" ref="I100">_xlfn.IFS(LEFT(G100,1)-RIGHT(G100,1) &gt; 0, "W1",LEFT(G100,1)-RIGHT(G100,1) = 0, "D",LEFT(G100,1)-RIGHT(G100,1) &lt; 0, "W2", ISBLANK(G100), "")</f>
        <v>#VALUE!</v>
      </c>
      <c r="J100" s="31" t="e">
        <f t="shared" si="2"/>
        <v>#VALUE!</v>
      </c>
    </row>
    <row r="101" spans="1:10" ht="16" customHeight="1" x14ac:dyDescent="0.35">
      <c r="A101" s="30" t="s">
        <v>251</v>
      </c>
      <c r="B101" s="31" t="s">
        <v>199</v>
      </c>
      <c r="C101" s="31" t="s">
        <v>2470</v>
      </c>
      <c r="D101" s="31" t="s">
        <v>2444</v>
      </c>
      <c r="E101" s="31" t="s">
        <v>250</v>
      </c>
      <c r="F101" s="140" t="s">
        <v>2423</v>
      </c>
      <c r="G101" s="160"/>
      <c r="H101" s="30"/>
      <c r="I101" s="31" t="e" cm="1">
        <f t="array" ref="I101">_xlfn.IFS(LEFT(G101,1)-RIGHT(G101,1) &gt; 0, "W1",LEFT(G101,1)-RIGHT(G101,1) = 0, "D",LEFT(G101,1)-RIGHT(G101,1) &lt; 0, "W2", ISBLANK(G101), "")</f>
        <v>#VALUE!</v>
      </c>
      <c r="J101" s="31" t="e">
        <f t="shared" si="2"/>
        <v>#VALUE!</v>
      </c>
    </row>
    <row r="102" spans="1:10" ht="16" customHeight="1" x14ac:dyDescent="0.35">
      <c r="A102" s="32" t="s">
        <v>252</v>
      </c>
      <c r="B102" s="33" t="s">
        <v>199</v>
      </c>
      <c r="C102" s="33" t="s">
        <v>253</v>
      </c>
      <c r="D102" s="33" t="s">
        <v>2441</v>
      </c>
      <c r="E102" s="33" t="s">
        <v>254</v>
      </c>
      <c r="F102" s="141" t="s">
        <v>2424</v>
      </c>
      <c r="G102" s="161"/>
      <c r="H102" s="32"/>
      <c r="I102" s="33" t="e" cm="1">
        <f t="array" ref="I102">_xlfn.IFS(LEFT(G102,1)-RIGHT(G102,1) &gt; 0, "W1",LEFT(G102,1)-RIGHT(G102,1) = 0, "D",LEFT(G102,1)-RIGHT(G102,1) &lt; 0, "W2", ISBLANK(G102), "")</f>
        <v>#VALUE!</v>
      </c>
      <c r="J102" s="33" t="e">
        <f t="shared" si="2"/>
        <v>#VALUE!</v>
      </c>
    </row>
    <row r="103" spans="1:10" ht="16" customHeight="1" x14ac:dyDescent="0.35">
      <c r="A103" s="32" t="s">
        <v>255</v>
      </c>
      <c r="B103" s="33" t="s">
        <v>199</v>
      </c>
      <c r="C103" s="33" t="s">
        <v>256</v>
      </c>
      <c r="D103" s="33" t="s">
        <v>2441</v>
      </c>
      <c r="E103" s="33" t="s">
        <v>254</v>
      </c>
      <c r="F103" s="141" t="s">
        <v>2425</v>
      </c>
      <c r="G103" s="161"/>
      <c r="H103" s="32"/>
      <c r="I103" s="33" t="e" cm="1">
        <f t="array" ref="I103">_xlfn.IFS(LEFT(G103,1)-RIGHT(G103,1) &gt; 0, "W1",LEFT(G103,1)-RIGHT(G103,1) = 0, "D",LEFT(G103,1)-RIGHT(G103,1) &lt; 0, "W2", ISBLANK(G103), "")</f>
        <v>#VALUE!</v>
      </c>
      <c r="J103" s="33" t="e">
        <f t="shared" si="2"/>
        <v>#VALUE!</v>
      </c>
    </row>
    <row r="104" spans="1:10" ht="16" customHeight="1" x14ac:dyDescent="0.35">
      <c r="A104" s="34" t="s">
        <v>257</v>
      </c>
      <c r="B104" s="35" t="s">
        <v>199</v>
      </c>
      <c r="C104" s="35" t="s">
        <v>260</v>
      </c>
      <c r="D104" s="35" t="s">
        <v>2450</v>
      </c>
      <c r="E104" s="35" t="s">
        <v>258</v>
      </c>
      <c r="F104" s="142" t="s">
        <v>2426</v>
      </c>
      <c r="G104" s="162"/>
      <c r="H104" s="34"/>
      <c r="I104" s="35" t="e" cm="1">
        <f t="array" ref="I104">_xlfn.IFS(LEFT(G104,1)-RIGHT(G104,1) &gt; 0, "W1",LEFT(G104,1)-RIGHT(G104,1) = 0, "D",LEFT(G104,1)-RIGHT(G104,1) &lt; 0, "W2", ISBLANK(G104), "")</f>
        <v>#VALUE!</v>
      </c>
      <c r="J104" s="35" t="e">
        <f t="shared" si="2"/>
        <v>#VALUE!</v>
      </c>
    </row>
    <row r="105" spans="1:10" ht="16" customHeight="1" x14ac:dyDescent="0.35">
      <c r="A105" s="26" t="s">
        <v>259</v>
      </c>
      <c r="B105" s="27" t="s">
        <v>199</v>
      </c>
      <c r="C105" s="27" t="s">
        <v>260</v>
      </c>
      <c r="D105" s="27" t="s">
        <v>2441</v>
      </c>
      <c r="E105" s="27" t="s">
        <v>261</v>
      </c>
      <c r="F105" s="138" t="s">
        <v>2427</v>
      </c>
      <c r="G105" s="158"/>
      <c r="H105" s="26"/>
      <c r="I105" s="27" t="e" cm="1">
        <f t="array" ref="I105">_xlfn.IFS(LEFT(G105,1)-RIGHT(G105,1) &gt; 0, "W1",LEFT(G105,1)-RIGHT(G105,1) = 0, "D",LEFT(G105,1)-RIGHT(G105,1) &lt; 0, "W2", ISBLANK(G105), "")</f>
        <v>#VALUE!</v>
      </c>
      <c r="J105" s="27" t="e">
        <f t="shared" si="2"/>
        <v>#VALUE!</v>
      </c>
    </row>
  </sheetData>
  <autoFilter ref="A1:E105" xr:uid="{00000000-0009-0000-0000-000000000000}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49"/>
  <sheetViews>
    <sheetView zoomScale="85" zoomScaleNormal="85" workbookViewId="0">
      <pane ySplit="1" topLeftCell="A2" activePane="bottomLeft" state="frozen"/>
      <selection pane="bottomLeft" activeCell="G1253" sqref="G1253"/>
    </sheetView>
  </sheetViews>
  <sheetFormatPr defaultRowHeight="14.5" x14ac:dyDescent="0.35"/>
  <cols>
    <col min="2" max="2" width="6" customWidth="1"/>
    <col min="3" max="3" width="12" customWidth="1"/>
    <col min="4" max="4" width="22" customWidth="1"/>
    <col min="5" max="5" width="25" customWidth="1"/>
    <col min="6" max="6" width="12" customWidth="1"/>
    <col min="7" max="7" width="42.453125" bestFit="1" customWidth="1"/>
    <col min="8" max="8" width="12" customWidth="1"/>
    <col min="9" max="9" width="42.453125" bestFit="1" customWidth="1"/>
  </cols>
  <sheetData>
    <row r="1" spans="1:9" ht="22" customHeight="1" x14ac:dyDescent="0.35">
      <c r="A1" s="144" t="s">
        <v>262</v>
      </c>
      <c r="B1" s="144" t="s">
        <v>263</v>
      </c>
      <c r="C1" s="144" t="s">
        <v>264</v>
      </c>
      <c r="D1" s="144" t="s">
        <v>265</v>
      </c>
      <c r="E1" s="144" t="s">
        <v>266</v>
      </c>
      <c r="F1" s="144" t="s">
        <v>2510</v>
      </c>
      <c r="G1" s="144" t="s">
        <v>2511</v>
      </c>
      <c r="H1" s="144" t="s">
        <v>2512</v>
      </c>
      <c r="I1" s="144" t="s">
        <v>2511</v>
      </c>
    </row>
    <row r="2" spans="1:9" ht="15" customHeight="1" x14ac:dyDescent="0.35">
      <c r="A2" s="36">
        <v>1</v>
      </c>
      <c r="B2" s="36" t="s">
        <v>267</v>
      </c>
      <c r="C2" s="37" t="s">
        <v>268</v>
      </c>
      <c r="D2" s="37" t="s">
        <v>269</v>
      </c>
      <c r="E2" s="36" t="s">
        <v>270</v>
      </c>
      <c r="F2" s="37" t="s">
        <v>2513</v>
      </c>
      <c r="G2" s="37" t="str">
        <f>_xlfn.CONCAT(C2, " ",D2, " - ",F2)</f>
        <v>Melvin MASTIL - Algeria</v>
      </c>
      <c r="H2" s="37" t="str">
        <f>_xlfn.CONCAT(E2,A2)</f>
        <v>DZA1</v>
      </c>
      <c r="I2" s="37" t="s">
        <v>2514</v>
      </c>
    </row>
    <row r="3" spans="1:9" ht="15" customHeight="1" x14ac:dyDescent="0.35">
      <c r="A3" s="36">
        <v>2</v>
      </c>
      <c r="B3" s="36" t="s">
        <v>271</v>
      </c>
      <c r="C3" s="37" t="s">
        <v>272</v>
      </c>
      <c r="D3" s="37" t="s">
        <v>273</v>
      </c>
      <c r="E3" s="36" t="s">
        <v>270</v>
      </c>
      <c r="F3" s="37" t="s">
        <v>2513</v>
      </c>
      <c r="G3" s="37" t="str">
        <f t="shared" ref="G3:G66" si="0">_xlfn.CONCAT(C3, " ",D3, " - ",F3)</f>
        <v>Aissa MANDI - Algeria</v>
      </c>
      <c r="H3" s="37" t="str">
        <f t="shared" ref="H3:H66" si="1">_xlfn.CONCAT(E3,A3)</f>
        <v>DZA2</v>
      </c>
      <c r="I3" s="37" t="s">
        <v>2515</v>
      </c>
    </row>
    <row r="4" spans="1:9" ht="15" customHeight="1" x14ac:dyDescent="0.35">
      <c r="A4" s="36">
        <v>3</v>
      </c>
      <c r="B4" s="36" t="s">
        <v>271</v>
      </c>
      <c r="C4" s="37" t="s">
        <v>274</v>
      </c>
      <c r="D4" s="37" t="s">
        <v>275</v>
      </c>
      <c r="E4" s="36" t="s">
        <v>270</v>
      </c>
      <c r="F4" s="37" t="s">
        <v>2513</v>
      </c>
      <c r="G4" s="37" t="str">
        <f t="shared" si="0"/>
        <v>Achraf ABADA - Algeria</v>
      </c>
      <c r="H4" s="37" t="str">
        <f t="shared" si="1"/>
        <v>DZA3</v>
      </c>
      <c r="I4" s="37" t="s">
        <v>2516</v>
      </c>
    </row>
    <row r="5" spans="1:9" ht="15" customHeight="1" x14ac:dyDescent="0.35">
      <c r="A5" s="36">
        <v>4</v>
      </c>
      <c r="B5" s="36" t="s">
        <v>271</v>
      </c>
      <c r="C5" s="37" t="s">
        <v>276</v>
      </c>
      <c r="D5" s="37" t="s">
        <v>277</v>
      </c>
      <c r="E5" s="36" t="s">
        <v>270</v>
      </c>
      <c r="F5" s="37" t="s">
        <v>2513</v>
      </c>
      <c r="G5" s="37" t="str">
        <f t="shared" si="0"/>
        <v>Mohamed Amine TOUGAI - Algeria</v>
      </c>
      <c r="H5" s="37" t="str">
        <f t="shared" si="1"/>
        <v>DZA4</v>
      </c>
      <c r="I5" s="37" t="s">
        <v>2517</v>
      </c>
    </row>
    <row r="6" spans="1:9" ht="15" customHeight="1" x14ac:dyDescent="0.35">
      <c r="A6" s="36">
        <v>5</v>
      </c>
      <c r="B6" s="36" t="s">
        <v>271</v>
      </c>
      <c r="C6" s="37" t="s">
        <v>278</v>
      </c>
      <c r="D6" s="37" t="s">
        <v>279</v>
      </c>
      <c r="E6" s="36" t="s">
        <v>270</v>
      </c>
      <c r="F6" s="37" t="s">
        <v>2513</v>
      </c>
      <c r="G6" s="37" t="str">
        <f t="shared" si="0"/>
        <v>Zineddine BELAID - Algeria</v>
      </c>
      <c r="H6" s="37" t="str">
        <f t="shared" si="1"/>
        <v>DZA5</v>
      </c>
      <c r="I6" s="37" t="s">
        <v>2518</v>
      </c>
    </row>
    <row r="7" spans="1:9" ht="15" customHeight="1" x14ac:dyDescent="0.35">
      <c r="A7" s="36">
        <v>6</v>
      </c>
      <c r="B7" s="36" t="s">
        <v>280</v>
      </c>
      <c r="C7" s="37" t="s">
        <v>281</v>
      </c>
      <c r="D7" s="37" t="s">
        <v>282</v>
      </c>
      <c r="E7" s="36" t="s">
        <v>270</v>
      </c>
      <c r="F7" s="37" t="s">
        <v>2513</v>
      </c>
      <c r="G7" s="37" t="str">
        <f t="shared" si="0"/>
        <v>Ramiz ZERROUKI - Algeria</v>
      </c>
      <c r="H7" s="37" t="str">
        <f t="shared" si="1"/>
        <v>DZA6</v>
      </c>
      <c r="I7" s="37" t="s">
        <v>2519</v>
      </c>
    </row>
    <row r="8" spans="1:9" ht="15" customHeight="1" x14ac:dyDescent="0.35">
      <c r="A8" s="36">
        <v>7</v>
      </c>
      <c r="B8" s="36" t="s">
        <v>283</v>
      </c>
      <c r="C8" s="37" t="s">
        <v>284</v>
      </c>
      <c r="D8" s="37" t="s">
        <v>285</v>
      </c>
      <c r="E8" s="36" t="s">
        <v>270</v>
      </c>
      <c r="F8" s="37" t="s">
        <v>2513</v>
      </c>
      <c r="G8" s="37" t="str">
        <f t="shared" si="0"/>
        <v>Riyad MAHREZ - Algeria</v>
      </c>
      <c r="H8" s="37" t="str">
        <f t="shared" si="1"/>
        <v>DZA7</v>
      </c>
      <c r="I8" s="37" t="s">
        <v>2520</v>
      </c>
    </row>
    <row r="9" spans="1:9" ht="15" customHeight="1" x14ac:dyDescent="0.35">
      <c r="A9" s="36">
        <v>8</v>
      </c>
      <c r="B9" s="36" t="s">
        <v>280</v>
      </c>
      <c r="C9" s="37" t="s">
        <v>286</v>
      </c>
      <c r="D9" s="37" t="s">
        <v>287</v>
      </c>
      <c r="E9" s="36" t="s">
        <v>270</v>
      </c>
      <c r="F9" s="37" t="s">
        <v>2513</v>
      </c>
      <c r="G9" s="37" t="str">
        <f t="shared" si="0"/>
        <v>Houssem AOUAR - Algeria</v>
      </c>
      <c r="H9" s="37" t="str">
        <f t="shared" si="1"/>
        <v>DZA8</v>
      </c>
      <c r="I9" s="37" t="s">
        <v>2521</v>
      </c>
    </row>
    <row r="10" spans="1:9" ht="15" customHeight="1" x14ac:dyDescent="0.35">
      <c r="A10" s="36">
        <v>9</v>
      </c>
      <c r="B10" s="36" t="s">
        <v>283</v>
      </c>
      <c r="C10" s="37" t="s">
        <v>288</v>
      </c>
      <c r="D10" s="37" t="s">
        <v>289</v>
      </c>
      <c r="E10" s="36" t="s">
        <v>270</v>
      </c>
      <c r="F10" s="37" t="s">
        <v>2513</v>
      </c>
      <c r="G10" s="37" t="str">
        <f t="shared" si="0"/>
        <v>Amine GOUIRI - Algeria</v>
      </c>
      <c r="H10" s="37" t="str">
        <f t="shared" si="1"/>
        <v>DZA9</v>
      </c>
      <c r="I10" s="37" t="s">
        <v>2522</v>
      </c>
    </row>
    <row r="11" spans="1:9" ht="15" customHeight="1" x14ac:dyDescent="0.35">
      <c r="A11" s="36">
        <v>10</v>
      </c>
      <c r="B11" s="36" t="s">
        <v>280</v>
      </c>
      <c r="C11" s="37" t="s">
        <v>290</v>
      </c>
      <c r="D11" s="37" t="s">
        <v>291</v>
      </c>
      <c r="E11" s="36" t="s">
        <v>270</v>
      </c>
      <c r="F11" s="37" t="s">
        <v>2513</v>
      </c>
      <c r="G11" s="37" t="str">
        <f t="shared" si="0"/>
        <v>Fares CHAIBI - Algeria</v>
      </c>
      <c r="H11" s="37" t="str">
        <f t="shared" si="1"/>
        <v>DZA10</v>
      </c>
      <c r="I11" s="37" t="s">
        <v>2523</v>
      </c>
    </row>
    <row r="12" spans="1:9" ht="15" customHeight="1" x14ac:dyDescent="0.35">
      <c r="A12" s="36">
        <v>11</v>
      </c>
      <c r="B12" s="36" t="s">
        <v>283</v>
      </c>
      <c r="C12" s="37" t="s">
        <v>292</v>
      </c>
      <c r="D12" s="37" t="s">
        <v>293</v>
      </c>
      <c r="E12" s="36" t="s">
        <v>270</v>
      </c>
      <c r="F12" s="37" t="s">
        <v>2513</v>
      </c>
      <c r="G12" s="37" t="str">
        <f t="shared" si="0"/>
        <v>Anis HADJ MOUSSA - Algeria</v>
      </c>
      <c r="H12" s="37" t="str">
        <f t="shared" si="1"/>
        <v>DZA11</v>
      </c>
      <c r="I12" s="37" t="s">
        <v>2524</v>
      </c>
    </row>
    <row r="13" spans="1:9" ht="15" customHeight="1" x14ac:dyDescent="0.35">
      <c r="A13" s="36">
        <v>12</v>
      </c>
      <c r="B13" s="36" t="s">
        <v>283</v>
      </c>
      <c r="C13" s="37" t="s">
        <v>294</v>
      </c>
      <c r="D13" s="37" t="s">
        <v>295</v>
      </c>
      <c r="E13" s="36" t="s">
        <v>270</v>
      </c>
      <c r="F13" s="37" t="s">
        <v>2513</v>
      </c>
      <c r="G13" s="37" t="str">
        <f t="shared" si="0"/>
        <v>Nadhir BENBOUALI - Algeria</v>
      </c>
      <c r="H13" s="37" t="str">
        <f t="shared" si="1"/>
        <v>DZA12</v>
      </c>
      <c r="I13" s="37" t="s">
        <v>2525</v>
      </c>
    </row>
    <row r="14" spans="1:9" ht="15" customHeight="1" x14ac:dyDescent="0.35">
      <c r="A14" s="36">
        <v>13</v>
      </c>
      <c r="B14" s="36" t="s">
        <v>271</v>
      </c>
      <c r="C14" s="37" t="s">
        <v>296</v>
      </c>
      <c r="D14" s="37" t="s">
        <v>297</v>
      </c>
      <c r="E14" s="36" t="s">
        <v>270</v>
      </c>
      <c r="F14" s="37" t="s">
        <v>2513</v>
      </c>
      <c r="G14" s="37" t="str">
        <f t="shared" si="0"/>
        <v>Jaouen HADJAM - Algeria</v>
      </c>
      <c r="H14" s="37" t="str">
        <f t="shared" si="1"/>
        <v>DZA13</v>
      </c>
      <c r="I14" s="37" t="s">
        <v>2526</v>
      </c>
    </row>
    <row r="15" spans="1:9" ht="15" customHeight="1" x14ac:dyDescent="0.35">
      <c r="A15" s="36">
        <v>14</v>
      </c>
      <c r="B15" s="36" t="s">
        <v>280</v>
      </c>
      <c r="C15" s="37" t="s">
        <v>298</v>
      </c>
      <c r="D15" s="37" t="s">
        <v>299</v>
      </c>
      <c r="E15" s="36" t="s">
        <v>270</v>
      </c>
      <c r="F15" s="37" t="s">
        <v>2513</v>
      </c>
      <c r="G15" s="37" t="str">
        <f t="shared" si="0"/>
        <v>Hicham BOUDAOUI - Algeria</v>
      </c>
      <c r="H15" s="37" t="str">
        <f t="shared" si="1"/>
        <v>DZA14</v>
      </c>
      <c r="I15" s="37" t="s">
        <v>2527</v>
      </c>
    </row>
    <row r="16" spans="1:9" ht="15" customHeight="1" x14ac:dyDescent="0.35">
      <c r="A16" s="36">
        <v>15</v>
      </c>
      <c r="B16" s="36" t="s">
        <v>271</v>
      </c>
      <c r="C16" s="37" t="s">
        <v>300</v>
      </c>
      <c r="D16" s="37" t="s">
        <v>301</v>
      </c>
      <c r="E16" s="36" t="s">
        <v>270</v>
      </c>
      <c r="F16" s="37" t="s">
        <v>2513</v>
      </c>
      <c r="G16" s="37" t="str">
        <f t="shared" si="0"/>
        <v>Rayan AIT-NOURI - Algeria</v>
      </c>
      <c r="H16" s="37" t="str">
        <f t="shared" si="1"/>
        <v>DZA15</v>
      </c>
      <c r="I16" s="37" t="s">
        <v>2528</v>
      </c>
    </row>
    <row r="17" spans="1:9" ht="15" customHeight="1" x14ac:dyDescent="0.35">
      <c r="A17" s="36">
        <v>16</v>
      </c>
      <c r="B17" s="36" t="s">
        <v>267</v>
      </c>
      <c r="C17" s="37" t="s">
        <v>302</v>
      </c>
      <c r="D17" s="37" t="s">
        <v>303</v>
      </c>
      <c r="E17" s="36" t="s">
        <v>270</v>
      </c>
      <c r="F17" s="37" t="s">
        <v>2513</v>
      </c>
      <c r="G17" s="37" t="str">
        <f t="shared" si="0"/>
        <v>Oussama BENBOT - Algeria</v>
      </c>
      <c r="H17" s="37" t="str">
        <f t="shared" si="1"/>
        <v>DZA16</v>
      </c>
      <c r="I17" s="37" t="s">
        <v>2529</v>
      </c>
    </row>
    <row r="18" spans="1:9" ht="15" customHeight="1" x14ac:dyDescent="0.35">
      <c r="A18" s="36">
        <v>17</v>
      </c>
      <c r="B18" s="36" t="s">
        <v>271</v>
      </c>
      <c r="C18" s="37" t="s">
        <v>304</v>
      </c>
      <c r="D18" s="37" t="s">
        <v>305</v>
      </c>
      <c r="E18" s="36" t="s">
        <v>270</v>
      </c>
      <c r="F18" s="37" t="s">
        <v>2513</v>
      </c>
      <c r="G18" s="37" t="str">
        <f t="shared" si="0"/>
        <v>Rak BELGHALI - Algeria</v>
      </c>
      <c r="H18" s="37" t="str">
        <f t="shared" si="1"/>
        <v>DZA17</v>
      </c>
      <c r="I18" s="37" t="s">
        <v>2530</v>
      </c>
    </row>
    <row r="19" spans="1:9" ht="15" customHeight="1" x14ac:dyDescent="0.35">
      <c r="A19" s="36">
        <v>18</v>
      </c>
      <c r="B19" s="36" t="s">
        <v>283</v>
      </c>
      <c r="C19" s="37" t="s">
        <v>306</v>
      </c>
      <c r="D19" s="37" t="s">
        <v>307</v>
      </c>
      <c r="E19" s="36" t="s">
        <v>270</v>
      </c>
      <c r="F19" s="37" t="s">
        <v>2513</v>
      </c>
      <c r="G19" s="37" t="str">
        <f t="shared" si="0"/>
        <v>Mohamed AMOURA - Algeria</v>
      </c>
      <c r="H19" s="37" t="str">
        <f t="shared" si="1"/>
        <v>DZA18</v>
      </c>
      <c r="I19" s="37" t="s">
        <v>2531</v>
      </c>
    </row>
    <row r="20" spans="1:9" ht="15" customHeight="1" x14ac:dyDescent="0.35">
      <c r="A20" s="36">
        <v>19</v>
      </c>
      <c r="B20" s="36" t="s">
        <v>280</v>
      </c>
      <c r="C20" s="37" t="s">
        <v>308</v>
      </c>
      <c r="D20" s="37" t="s">
        <v>309</v>
      </c>
      <c r="E20" s="36" t="s">
        <v>270</v>
      </c>
      <c r="F20" s="37" t="s">
        <v>2513</v>
      </c>
      <c r="G20" s="37" t="str">
        <f t="shared" si="0"/>
        <v>Nabil BENTALEB - Algeria</v>
      </c>
      <c r="H20" s="37" t="str">
        <f t="shared" si="1"/>
        <v>DZA19</v>
      </c>
      <c r="I20" s="37" t="s">
        <v>2532</v>
      </c>
    </row>
    <row r="21" spans="1:9" ht="15" customHeight="1" x14ac:dyDescent="0.35">
      <c r="A21" s="36">
        <v>20</v>
      </c>
      <c r="B21" s="36" t="s">
        <v>283</v>
      </c>
      <c r="C21" s="37" t="s">
        <v>310</v>
      </c>
      <c r="D21" s="37" t="s">
        <v>311</v>
      </c>
      <c r="E21" s="36" t="s">
        <v>270</v>
      </c>
      <c r="F21" s="37" t="s">
        <v>2513</v>
      </c>
      <c r="G21" s="37" t="str">
        <f t="shared" si="0"/>
        <v>Adil BOULBINA - Algeria</v>
      </c>
      <c r="H21" s="37" t="str">
        <f t="shared" si="1"/>
        <v>DZA20</v>
      </c>
      <c r="I21" s="37" t="s">
        <v>2533</v>
      </c>
    </row>
    <row r="22" spans="1:9" ht="15" customHeight="1" x14ac:dyDescent="0.35">
      <c r="A22" s="36">
        <v>21</v>
      </c>
      <c r="B22" s="36" t="s">
        <v>271</v>
      </c>
      <c r="C22" s="37" t="s">
        <v>312</v>
      </c>
      <c r="D22" s="37" t="s">
        <v>313</v>
      </c>
      <c r="E22" s="36" t="s">
        <v>270</v>
      </c>
      <c r="F22" s="37" t="s">
        <v>2513</v>
      </c>
      <c r="G22" s="37" t="str">
        <f t="shared" si="0"/>
        <v>Ramy BENSEBAINI - Algeria</v>
      </c>
      <c r="H22" s="37" t="str">
        <f t="shared" si="1"/>
        <v>DZA21</v>
      </c>
      <c r="I22" s="37" t="s">
        <v>2534</v>
      </c>
    </row>
    <row r="23" spans="1:9" ht="15" customHeight="1" x14ac:dyDescent="0.35">
      <c r="A23" s="36">
        <v>22</v>
      </c>
      <c r="B23" s="36" t="s">
        <v>280</v>
      </c>
      <c r="C23" s="37" t="s">
        <v>314</v>
      </c>
      <c r="D23" s="37" t="s">
        <v>315</v>
      </c>
      <c r="E23" s="36" t="s">
        <v>270</v>
      </c>
      <c r="F23" s="37" t="s">
        <v>2513</v>
      </c>
      <c r="G23" s="37" t="str">
        <f t="shared" si="0"/>
        <v>Ibrahim MAZA - Algeria</v>
      </c>
      <c r="H23" s="37" t="str">
        <f t="shared" si="1"/>
        <v>DZA22</v>
      </c>
      <c r="I23" s="37" t="s">
        <v>2535</v>
      </c>
    </row>
    <row r="24" spans="1:9" ht="15" customHeight="1" x14ac:dyDescent="0.35">
      <c r="A24" s="36">
        <v>23</v>
      </c>
      <c r="B24" s="36" t="s">
        <v>267</v>
      </c>
      <c r="C24" s="37" t="s">
        <v>316</v>
      </c>
      <c r="D24" s="37" t="s">
        <v>317</v>
      </c>
      <c r="E24" s="36" t="s">
        <v>270</v>
      </c>
      <c r="F24" s="37" t="s">
        <v>2513</v>
      </c>
      <c r="G24" s="37" t="str">
        <f t="shared" si="0"/>
        <v>Luca ZIDANE - Algeria</v>
      </c>
      <c r="H24" s="37" t="str">
        <f t="shared" si="1"/>
        <v>DZA23</v>
      </c>
      <c r="I24" s="37" t="s">
        <v>2536</v>
      </c>
    </row>
    <row r="25" spans="1:9" ht="15" customHeight="1" x14ac:dyDescent="0.35">
      <c r="A25" s="36">
        <v>24</v>
      </c>
      <c r="B25" s="36" t="s">
        <v>280</v>
      </c>
      <c r="C25" s="37" t="s">
        <v>318</v>
      </c>
      <c r="D25" s="37" t="s">
        <v>319</v>
      </c>
      <c r="E25" s="36" t="s">
        <v>270</v>
      </c>
      <c r="F25" s="37" t="s">
        <v>2513</v>
      </c>
      <c r="G25" s="37" t="str">
        <f t="shared" si="0"/>
        <v>Yassine TITRAOUI - Algeria</v>
      </c>
      <c r="H25" s="37" t="str">
        <f t="shared" si="1"/>
        <v>DZA24</v>
      </c>
      <c r="I25" s="37" t="s">
        <v>2537</v>
      </c>
    </row>
    <row r="26" spans="1:9" ht="15" customHeight="1" x14ac:dyDescent="0.35">
      <c r="A26" s="36">
        <v>25</v>
      </c>
      <c r="B26" s="36" t="s">
        <v>283</v>
      </c>
      <c r="C26" s="37" t="s">
        <v>290</v>
      </c>
      <c r="D26" s="37" t="s">
        <v>320</v>
      </c>
      <c r="E26" s="36" t="s">
        <v>270</v>
      </c>
      <c r="F26" s="37" t="s">
        <v>2513</v>
      </c>
      <c r="G26" s="37" t="str">
        <f t="shared" si="0"/>
        <v>Fares GHEDJEMIS - Algeria</v>
      </c>
      <c r="H26" s="37" t="str">
        <f t="shared" si="1"/>
        <v>DZA25</v>
      </c>
      <c r="I26" s="37" t="s">
        <v>2538</v>
      </c>
    </row>
    <row r="27" spans="1:9" ht="15" customHeight="1" x14ac:dyDescent="0.35">
      <c r="A27" s="36">
        <v>26</v>
      </c>
      <c r="B27" s="36" t="s">
        <v>271</v>
      </c>
      <c r="C27" s="37" t="s">
        <v>321</v>
      </c>
      <c r="D27" s="37" t="s">
        <v>322</v>
      </c>
      <c r="E27" s="36" t="s">
        <v>270</v>
      </c>
      <c r="F27" s="37" t="s">
        <v>2513</v>
      </c>
      <c r="G27" s="37" t="str">
        <f t="shared" si="0"/>
        <v>Samir CHERGUI - Algeria</v>
      </c>
      <c r="H27" s="37" t="str">
        <f t="shared" si="1"/>
        <v>DZA26</v>
      </c>
      <c r="I27" s="37" t="s">
        <v>2539</v>
      </c>
    </row>
    <row r="28" spans="1:9" ht="15" customHeight="1" x14ac:dyDescent="0.35">
      <c r="A28" s="38">
        <v>1</v>
      </c>
      <c r="B28" s="38" t="s">
        <v>267</v>
      </c>
      <c r="C28" s="39" t="s">
        <v>323</v>
      </c>
      <c r="D28" s="39" t="s">
        <v>324</v>
      </c>
      <c r="E28" s="38" t="s">
        <v>325</v>
      </c>
      <c r="F28" s="39" t="s">
        <v>2540</v>
      </c>
      <c r="G28" s="39" t="str">
        <f t="shared" si="0"/>
        <v>Juan MUSSO - Argentina</v>
      </c>
      <c r="H28" s="39" t="str">
        <f t="shared" si="1"/>
        <v>ARG1</v>
      </c>
      <c r="I28" s="39" t="s">
        <v>2541</v>
      </c>
    </row>
    <row r="29" spans="1:9" ht="15" customHeight="1" x14ac:dyDescent="0.35">
      <c r="A29" s="38">
        <v>2</v>
      </c>
      <c r="B29" s="38" t="s">
        <v>271</v>
      </c>
      <c r="C29" s="39" t="s">
        <v>2023</v>
      </c>
      <c r="D29" s="39" t="s">
        <v>2504</v>
      </c>
      <c r="E29" s="38" t="s">
        <v>325</v>
      </c>
      <c r="F29" s="39" t="s">
        <v>2540</v>
      </c>
      <c r="G29" s="39" t="str">
        <f t="shared" si="0"/>
        <v>Marcos SENESI - Argentina</v>
      </c>
      <c r="H29" s="39" t="str">
        <f t="shared" si="1"/>
        <v>ARG2</v>
      </c>
      <c r="I29" s="39" t="s">
        <v>2542</v>
      </c>
    </row>
    <row r="30" spans="1:9" ht="15" customHeight="1" x14ac:dyDescent="0.35">
      <c r="A30" s="38">
        <v>3</v>
      </c>
      <c r="B30" s="38" t="s">
        <v>271</v>
      </c>
      <c r="C30" s="39" t="s">
        <v>326</v>
      </c>
      <c r="D30" s="39" t="s">
        <v>327</v>
      </c>
      <c r="E30" s="38" t="s">
        <v>325</v>
      </c>
      <c r="F30" s="39" t="s">
        <v>2540</v>
      </c>
      <c r="G30" s="39" t="str">
        <f t="shared" si="0"/>
        <v>Nicolas TAGLIAFICO - Argentina</v>
      </c>
      <c r="H30" s="39" t="str">
        <f t="shared" si="1"/>
        <v>ARG3</v>
      </c>
      <c r="I30" s="39" t="s">
        <v>2543</v>
      </c>
    </row>
    <row r="31" spans="1:9" ht="15" customHeight="1" x14ac:dyDescent="0.35">
      <c r="A31" s="38">
        <v>4</v>
      </c>
      <c r="B31" s="38" t="s">
        <v>271</v>
      </c>
      <c r="C31" s="39" t="s">
        <v>328</v>
      </c>
      <c r="D31" s="39" t="s">
        <v>329</v>
      </c>
      <c r="E31" s="38" t="s">
        <v>325</v>
      </c>
      <c r="F31" s="39" t="s">
        <v>2540</v>
      </c>
      <c r="G31" s="39" t="str">
        <f t="shared" si="0"/>
        <v>Gonzalo MONTIEL - Argentina</v>
      </c>
      <c r="H31" s="39" t="str">
        <f t="shared" si="1"/>
        <v>ARG4</v>
      </c>
      <c r="I31" s="39" t="s">
        <v>2544</v>
      </c>
    </row>
    <row r="32" spans="1:9" ht="15" customHeight="1" x14ac:dyDescent="0.35">
      <c r="A32" s="38">
        <v>5</v>
      </c>
      <c r="B32" s="38" t="s">
        <v>280</v>
      </c>
      <c r="C32" s="39" t="s">
        <v>330</v>
      </c>
      <c r="D32" s="39" t="s">
        <v>331</v>
      </c>
      <c r="E32" s="38" t="s">
        <v>325</v>
      </c>
      <c r="F32" s="39" t="s">
        <v>2540</v>
      </c>
      <c r="G32" s="39" t="str">
        <f t="shared" si="0"/>
        <v>Leandro PAREDES - Argentina</v>
      </c>
      <c r="H32" s="39" t="str">
        <f t="shared" si="1"/>
        <v>ARG5</v>
      </c>
      <c r="I32" s="39" t="s">
        <v>2545</v>
      </c>
    </row>
    <row r="33" spans="1:9" ht="15" customHeight="1" x14ac:dyDescent="0.35">
      <c r="A33" s="38">
        <v>6</v>
      </c>
      <c r="B33" s="38" t="s">
        <v>271</v>
      </c>
      <c r="C33" s="39" t="s">
        <v>332</v>
      </c>
      <c r="D33" s="39" t="s">
        <v>333</v>
      </c>
      <c r="E33" s="38" t="s">
        <v>325</v>
      </c>
      <c r="F33" s="39" t="s">
        <v>2540</v>
      </c>
      <c r="G33" s="39" t="str">
        <f t="shared" si="0"/>
        <v>Lisandro MARTINEZ - Argentina</v>
      </c>
      <c r="H33" s="39" t="str">
        <f t="shared" si="1"/>
        <v>ARG6</v>
      </c>
      <c r="I33" s="39" t="s">
        <v>2546</v>
      </c>
    </row>
    <row r="34" spans="1:9" ht="15" customHeight="1" x14ac:dyDescent="0.35">
      <c r="A34" s="38">
        <v>7</v>
      </c>
      <c r="B34" s="38" t="s">
        <v>280</v>
      </c>
      <c r="C34" s="39" t="s">
        <v>334</v>
      </c>
      <c r="D34" s="39" t="s">
        <v>335</v>
      </c>
      <c r="E34" s="38" t="s">
        <v>325</v>
      </c>
      <c r="F34" s="39" t="s">
        <v>2540</v>
      </c>
      <c r="G34" s="39" t="str">
        <f t="shared" si="0"/>
        <v>Rodrigo DE PAUL - Argentina</v>
      </c>
      <c r="H34" s="39" t="str">
        <f t="shared" si="1"/>
        <v>ARG7</v>
      </c>
      <c r="I34" s="39" t="s">
        <v>2547</v>
      </c>
    </row>
    <row r="35" spans="1:9" ht="15" customHeight="1" x14ac:dyDescent="0.35">
      <c r="A35" s="38">
        <v>8</v>
      </c>
      <c r="B35" s="38" t="s">
        <v>280</v>
      </c>
      <c r="C35" s="39" t="s">
        <v>336</v>
      </c>
      <c r="D35" s="39" t="s">
        <v>337</v>
      </c>
      <c r="E35" s="38" t="s">
        <v>325</v>
      </c>
      <c r="F35" s="39" t="s">
        <v>2540</v>
      </c>
      <c r="G35" s="39" t="str">
        <f t="shared" si="0"/>
        <v>Valentin BARCO - Argentina</v>
      </c>
      <c r="H35" s="39" t="str">
        <f t="shared" si="1"/>
        <v>ARG8</v>
      </c>
      <c r="I35" s="39" t="s">
        <v>2548</v>
      </c>
    </row>
    <row r="36" spans="1:9" ht="15" customHeight="1" x14ac:dyDescent="0.35">
      <c r="A36" s="38">
        <v>9</v>
      </c>
      <c r="B36" s="38" t="s">
        <v>283</v>
      </c>
      <c r="C36" s="39" t="s">
        <v>338</v>
      </c>
      <c r="D36" s="39" t="s">
        <v>339</v>
      </c>
      <c r="E36" s="38" t="s">
        <v>325</v>
      </c>
      <c r="F36" s="39" t="s">
        <v>2540</v>
      </c>
      <c r="G36" s="39" t="str">
        <f t="shared" si="0"/>
        <v>Julian ALVAREZ - Argentina</v>
      </c>
      <c r="H36" s="39" t="str">
        <f t="shared" si="1"/>
        <v>ARG9</v>
      </c>
      <c r="I36" s="39" t="s">
        <v>2549</v>
      </c>
    </row>
    <row r="37" spans="1:9" ht="15" customHeight="1" x14ac:dyDescent="0.35">
      <c r="A37" s="38">
        <v>10</v>
      </c>
      <c r="B37" s="38" t="s">
        <v>283</v>
      </c>
      <c r="C37" s="39" t="s">
        <v>340</v>
      </c>
      <c r="D37" s="39" t="s">
        <v>341</v>
      </c>
      <c r="E37" s="38" t="s">
        <v>325</v>
      </c>
      <c r="F37" s="39" t="s">
        <v>2540</v>
      </c>
      <c r="G37" s="39" t="str">
        <f t="shared" si="0"/>
        <v>Lionel MESSI - Argentina</v>
      </c>
      <c r="H37" s="39" t="str">
        <f t="shared" si="1"/>
        <v>ARG10</v>
      </c>
      <c r="I37" s="39" t="s">
        <v>2550</v>
      </c>
    </row>
    <row r="38" spans="1:9" ht="15" customHeight="1" x14ac:dyDescent="0.35">
      <c r="A38" s="38">
        <v>11</v>
      </c>
      <c r="B38" s="38" t="s">
        <v>280</v>
      </c>
      <c r="C38" s="39" t="s">
        <v>342</v>
      </c>
      <c r="D38" s="39" t="s">
        <v>343</v>
      </c>
      <c r="E38" s="38" t="s">
        <v>325</v>
      </c>
      <c r="F38" s="39" t="s">
        <v>2540</v>
      </c>
      <c r="G38" s="39" t="str">
        <f t="shared" si="0"/>
        <v>Giovani LO CELSO - Argentina</v>
      </c>
      <c r="H38" s="39" t="str">
        <f t="shared" si="1"/>
        <v>ARG11</v>
      </c>
      <c r="I38" s="39" t="s">
        <v>2551</v>
      </c>
    </row>
    <row r="39" spans="1:9" ht="15" customHeight="1" x14ac:dyDescent="0.35">
      <c r="A39" s="38">
        <v>12</v>
      </c>
      <c r="B39" s="38" t="s">
        <v>267</v>
      </c>
      <c r="C39" s="39" t="s">
        <v>344</v>
      </c>
      <c r="D39" s="39" t="s">
        <v>345</v>
      </c>
      <c r="E39" s="38" t="s">
        <v>325</v>
      </c>
      <c r="F39" s="39" t="s">
        <v>2540</v>
      </c>
      <c r="G39" s="39" t="str">
        <f t="shared" si="0"/>
        <v>Geronimo RULLI - Argentina</v>
      </c>
      <c r="H39" s="39" t="str">
        <f t="shared" si="1"/>
        <v>ARG12</v>
      </c>
      <c r="I39" s="39" t="s">
        <v>2552</v>
      </c>
    </row>
    <row r="40" spans="1:9" ht="15" customHeight="1" x14ac:dyDescent="0.35">
      <c r="A40" s="38">
        <v>13</v>
      </c>
      <c r="B40" s="38" t="s">
        <v>271</v>
      </c>
      <c r="C40" s="39" t="s">
        <v>346</v>
      </c>
      <c r="D40" s="39" t="s">
        <v>347</v>
      </c>
      <c r="E40" s="38" t="s">
        <v>325</v>
      </c>
      <c r="F40" s="39" t="s">
        <v>2540</v>
      </c>
      <c r="G40" s="39" t="str">
        <f t="shared" si="0"/>
        <v>Cristian ROMERO - Argentina</v>
      </c>
      <c r="H40" s="39" t="str">
        <f t="shared" si="1"/>
        <v>ARG13</v>
      </c>
      <c r="I40" s="39" t="s">
        <v>2553</v>
      </c>
    </row>
    <row r="41" spans="1:9" ht="15" customHeight="1" x14ac:dyDescent="0.35">
      <c r="A41" s="38">
        <v>14</v>
      </c>
      <c r="B41" s="38" t="s">
        <v>280</v>
      </c>
      <c r="C41" s="39" t="s">
        <v>348</v>
      </c>
      <c r="D41" s="39" t="s">
        <v>349</v>
      </c>
      <c r="E41" s="38" t="s">
        <v>325</v>
      </c>
      <c r="F41" s="39" t="s">
        <v>2540</v>
      </c>
      <c r="G41" s="39" t="str">
        <f t="shared" si="0"/>
        <v>Exequiel PALACIOS - Argentina</v>
      </c>
      <c r="H41" s="39" t="str">
        <f t="shared" si="1"/>
        <v>ARG14</v>
      </c>
      <c r="I41" s="39" t="s">
        <v>2554</v>
      </c>
    </row>
    <row r="42" spans="1:9" ht="15" customHeight="1" x14ac:dyDescent="0.35">
      <c r="A42" s="38">
        <v>15</v>
      </c>
      <c r="B42" s="38" t="s">
        <v>280</v>
      </c>
      <c r="C42" s="39" t="s">
        <v>350</v>
      </c>
      <c r="D42" s="39" t="s">
        <v>351</v>
      </c>
      <c r="E42" s="38" t="s">
        <v>325</v>
      </c>
      <c r="F42" s="39" t="s">
        <v>2540</v>
      </c>
      <c r="G42" s="39" t="str">
        <f t="shared" si="0"/>
        <v>Nico GONZALEZ - Argentina</v>
      </c>
      <c r="H42" s="39" t="str">
        <f t="shared" si="1"/>
        <v>ARG15</v>
      </c>
      <c r="I42" s="39" t="s">
        <v>2555</v>
      </c>
    </row>
    <row r="43" spans="1:9" ht="15" customHeight="1" x14ac:dyDescent="0.35">
      <c r="A43" s="38">
        <v>16</v>
      </c>
      <c r="B43" s="38" t="s">
        <v>283</v>
      </c>
      <c r="C43" s="39" t="s">
        <v>352</v>
      </c>
      <c r="D43" s="39" t="s">
        <v>353</v>
      </c>
      <c r="E43" s="38" t="s">
        <v>325</v>
      </c>
      <c r="F43" s="39" t="s">
        <v>2540</v>
      </c>
      <c r="G43" s="39" t="str">
        <f t="shared" si="0"/>
        <v>Thiago ALMADA - Argentina</v>
      </c>
      <c r="H43" s="39" t="str">
        <f t="shared" si="1"/>
        <v>ARG16</v>
      </c>
      <c r="I43" s="39" t="s">
        <v>2556</v>
      </c>
    </row>
    <row r="44" spans="1:9" ht="15" customHeight="1" x14ac:dyDescent="0.35">
      <c r="A44" s="38">
        <v>17</v>
      </c>
      <c r="B44" s="38" t="s">
        <v>283</v>
      </c>
      <c r="C44" s="39" t="s">
        <v>354</v>
      </c>
      <c r="D44" s="39" t="s">
        <v>355</v>
      </c>
      <c r="E44" s="38" t="s">
        <v>325</v>
      </c>
      <c r="F44" s="39" t="s">
        <v>2540</v>
      </c>
      <c r="G44" s="39" t="str">
        <f t="shared" si="0"/>
        <v>Giuliano SIMEONE - Argentina</v>
      </c>
      <c r="H44" s="39" t="str">
        <f t="shared" si="1"/>
        <v>ARG17</v>
      </c>
      <c r="I44" s="39" t="s">
        <v>2557</v>
      </c>
    </row>
    <row r="45" spans="1:9" ht="15" customHeight="1" x14ac:dyDescent="0.35">
      <c r="A45" s="38">
        <v>18</v>
      </c>
      <c r="B45" s="38" t="s">
        <v>283</v>
      </c>
      <c r="C45" s="39" t="s">
        <v>350</v>
      </c>
      <c r="D45" s="39" t="s">
        <v>356</v>
      </c>
      <c r="E45" s="38" t="s">
        <v>325</v>
      </c>
      <c r="F45" s="39" t="s">
        <v>2540</v>
      </c>
      <c r="G45" s="39" t="str">
        <f t="shared" si="0"/>
        <v>Nico PAZ - Argentina</v>
      </c>
      <c r="H45" s="39" t="str">
        <f t="shared" si="1"/>
        <v>ARG18</v>
      </c>
      <c r="I45" s="39" t="s">
        <v>2558</v>
      </c>
    </row>
    <row r="46" spans="1:9" ht="15" customHeight="1" x14ac:dyDescent="0.35">
      <c r="A46" s="38">
        <v>19</v>
      </c>
      <c r="B46" s="38" t="s">
        <v>271</v>
      </c>
      <c r="C46" s="39" t="s">
        <v>326</v>
      </c>
      <c r="D46" s="39" t="s">
        <v>357</v>
      </c>
      <c r="E46" s="38" t="s">
        <v>325</v>
      </c>
      <c r="F46" s="39" t="s">
        <v>2540</v>
      </c>
      <c r="G46" s="39" t="str">
        <f t="shared" si="0"/>
        <v>Nicolas OTAMENDI - Argentina</v>
      </c>
      <c r="H46" s="39" t="str">
        <f t="shared" si="1"/>
        <v>ARG19</v>
      </c>
      <c r="I46" s="39" t="s">
        <v>2559</v>
      </c>
    </row>
    <row r="47" spans="1:9" ht="15" customHeight="1" x14ac:dyDescent="0.35">
      <c r="A47" s="38">
        <v>20</v>
      </c>
      <c r="B47" s="38" t="s">
        <v>280</v>
      </c>
      <c r="C47" s="39" t="s">
        <v>358</v>
      </c>
      <c r="D47" s="39" t="s">
        <v>359</v>
      </c>
      <c r="E47" s="38" t="s">
        <v>325</v>
      </c>
      <c r="F47" s="39" t="s">
        <v>2540</v>
      </c>
      <c r="G47" s="39" t="str">
        <f t="shared" si="0"/>
        <v>Alexis MAC ALLISTER - Argentina</v>
      </c>
      <c r="H47" s="39" t="str">
        <f t="shared" si="1"/>
        <v>ARG20</v>
      </c>
      <c r="I47" s="39" t="s">
        <v>2560</v>
      </c>
    </row>
    <row r="48" spans="1:9" ht="15" customHeight="1" x14ac:dyDescent="0.35">
      <c r="A48" s="38">
        <v>21</v>
      </c>
      <c r="B48" s="38" t="s">
        <v>283</v>
      </c>
      <c r="C48" s="39" t="s">
        <v>360</v>
      </c>
      <c r="D48" s="39" t="s">
        <v>361</v>
      </c>
      <c r="E48" s="38" t="s">
        <v>325</v>
      </c>
      <c r="F48" s="39" t="s">
        <v>2540</v>
      </c>
      <c r="G48" s="39" t="str">
        <f t="shared" si="0"/>
        <v>Jose Manuel LOPEZ - Argentina</v>
      </c>
      <c r="H48" s="39" t="str">
        <f t="shared" si="1"/>
        <v>ARG21</v>
      </c>
      <c r="I48" s="39" t="s">
        <v>2561</v>
      </c>
    </row>
    <row r="49" spans="1:9" ht="15" customHeight="1" x14ac:dyDescent="0.35">
      <c r="A49" s="38">
        <v>22</v>
      </c>
      <c r="B49" s="38" t="s">
        <v>283</v>
      </c>
      <c r="C49" s="39" t="s">
        <v>362</v>
      </c>
      <c r="D49" s="39" t="s">
        <v>333</v>
      </c>
      <c r="E49" s="38" t="s">
        <v>325</v>
      </c>
      <c r="F49" s="39" t="s">
        <v>2540</v>
      </c>
      <c r="G49" s="39" t="str">
        <f t="shared" si="0"/>
        <v>Lautaro MARTINEZ - Argentina</v>
      </c>
      <c r="H49" s="39" t="str">
        <f t="shared" si="1"/>
        <v>ARG22</v>
      </c>
      <c r="I49" s="39" t="s">
        <v>2562</v>
      </c>
    </row>
    <row r="50" spans="1:9" ht="15" customHeight="1" x14ac:dyDescent="0.35">
      <c r="A50" s="38">
        <v>23</v>
      </c>
      <c r="B50" s="38" t="s">
        <v>267</v>
      </c>
      <c r="C50" s="39" t="s">
        <v>363</v>
      </c>
      <c r="D50" s="39" t="s">
        <v>333</v>
      </c>
      <c r="E50" s="38" t="s">
        <v>325</v>
      </c>
      <c r="F50" s="39" t="s">
        <v>2540</v>
      </c>
      <c r="G50" s="39" t="str">
        <f t="shared" si="0"/>
        <v>Emiliano MARTINEZ - Argentina</v>
      </c>
      <c r="H50" s="39" t="str">
        <f t="shared" si="1"/>
        <v>ARG23</v>
      </c>
      <c r="I50" s="39" t="s">
        <v>2563</v>
      </c>
    </row>
    <row r="51" spans="1:9" ht="15" customHeight="1" x14ac:dyDescent="0.35">
      <c r="A51" s="38">
        <v>24</v>
      </c>
      <c r="B51" s="38" t="s">
        <v>280</v>
      </c>
      <c r="C51" s="39" t="s">
        <v>364</v>
      </c>
      <c r="D51" s="39" t="s">
        <v>365</v>
      </c>
      <c r="E51" s="38" t="s">
        <v>325</v>
      </c>
      <c r="F51" s="39" t="s">
        <v>2540</v>
      </c>
      <c r="G51" s="39" t="str">
        <f t="shared" si="0"/>
        <v>Enzo FERNANDEZ - Argentina</v>
      </c>
      <c r="H51" s="39" t="str">
        <f t="shared" si="1"/>
        <v>ARG24</v>
      </c>
      <c r="I51" s="39" t="s">
        <v>2564</v>
      </c>
    </row>
    <row r="52" spans="1:9" ht="15" customHeight="1" x14ac:dyDescent="0.35">
      <c r="A52" s="38">
        <v>25</v>
      </c>
      <c r="B52" s="38" t="s">
        <v>271</v>
      </c>
      <c r="C52" s="39" t="s">
        <v>366</v>
      </c>
      <c r="D52" s="39" t="s">
        <v>367</v>
      </c>
      <c r="E52" s="38" t="s">
        <v>325</v>
      </c>
      <c r="F52" s="39" t="s">
        <v>2540</v>
      </c>
      <c r="G52" s="39" t="str">
        <f t="shared" si="0"/>
        <v>Facundo MEDINA - Argentina</v>
      </c>
      <c r="H52" s="39" t="str">
        <f t="shared" si="1"/>
        <v>ARG25</v>
      </c>
      <c r="I52" s="39" t="s">
        <v>2565</v>
      </c>
    </row>
    <row r="53" spans="1:9" ht="15" customHeight="1" x14ac:dyDescent="0.35">
      <c r="A53" s="38">
        <v>26</v>
      </c>
      <c r="B53" s="38" t="s">
        <v>271</v>
      </c>
      <c r="C53" s="39" t="s">
        <v>368</v>
      </c>
      <c r="D53" s="39" t="s">
        <v>369</v>
      </c>
      <c r="E53" s="38" t="s">
        <v>325</v>
      </c>
      <c r="F53" s="39" t="s">
        <v>2540</v>
      </c>
      <c r="G53" s="39" t="str">
        <f t="shared" si="0"/>
        <v>Nahuel MOLINA - Argentina</v>
      </c>
      <c r="H53" s="39" t="str">
        <f t="shared" si="1"/>
        <v>ARG26</v>
      </c>
      <c r="I53" s="39" t="s">
        <v>2566</v>
      </c>
    </row>
    <row r="54" spans="1:9" ht="15" customHeight="1" x14ac:dyDescent="0.35">
      <c r="A54" s="40">
        <v>1</v>
      </c>
      <c r="B54" s="40" t="s">
        <v>267</v>
      </c>
      <c r="C54" s="41" t="s">
        <v>370</v>
      </c>
      <c r="D54" s="41" t="s">
        <v>371</v>
      </c>
      <c r="E54" s="40" t="s">
        <v>372</v>
      </c>
      <c r="F54" s="41" t="s">
        <v>2567</v>
      </c>
      <c r="G54" s="41" t="str">
        <f t="shared" si="0"/>
        <v>Mathew RYAN - Australia</v>
      </c>
      <c r="H54" s="41" t="str">
        <f t="shared" si="1"/>
        <v>AUS1</v>
      </c>
      <c r="I54" s="41" t="s">
        <v>2568</v>
      </c>
    </row>
    <row r="55" spans="1:9" ht="15" customHeight="1" x14ac:dyDescent="0.35">
      <c r="A55" s="40">
        <v>2</v>
      </c>
      <c r="B55" s="40" t="s">
        <v>271</v>
      </c>
      <c r="C55" s="41" t="s">
        <v>373</v>
      </c>
      <c r="D55" s="41" t="s">
        <v>374</v>
      </c>
      <c r="E55" s="40" t="s">
        <v>372</v>
      </c>
      <c r="F55" s="41" t="s">
        <v>2567</v>
      </c>
      <c r="G55" s="41" t="str">
        <f t="shared" si="0"/>
        <v>Milos DEGENEK - Australia</v>
      </c>
      <c r="H55" s="41" t="str">
        <f t="shared" si="1"/>
        <v>AUS2</v>
      </c>
      <c r="I55" s="41" t="s">
        <v>2569</v>
      </c>
    </row>
    <row r="56" spans="1:9" ht="15" customHeight="1" x14ac:dyDescent="0.35">
      <c r="A56" s="40">
        <v>3</v>
      </c>
      <c r="B56" s="40" t="s">
        <v>271</v>
      </c>
      <c r="C56" s="41" t="s">
        <v>375</v>
      </c>
      <c r="D56" s="41" t="s">
        <v>376</v>
      </c>
      <c r="E56" s="40" t="s">
        <v>372</v>
      </c>
      <c r="F56" s="41" t="s">
        <v>2567</v>
      </c>
      <c r="G56" s="41" t="str">
        <f t="shared" si="0"/>
        <v>Alessandro CIRCATI - Australia</v>
      </c>
      <c r="H56" s="41" t="str">
        <f t="shared" si="1"/>
        <v>AUS3</v>
      </c>
      <c r="I56" s="41" t="s">
        <v>2570</v>
      </c>
    </row>
    <row r="57" spans="1:9" ht="15" customHeight="1" x14ac:dyDescent="0.35">
      <c r="A57" s="40">
        <v>4</v>
      </c>
      <c r="B57" s="40" t="s">
        <v>271</v>
      </c>
      <c r="C57" s="41" t="s">
        <v>377</v>
      </c>
      <c r="D57" s="41" t="s">
        <v>378</v>
      </c>
      <c r="E57" s="40" t="s">
        <v>372</v>
      </c>
      <c r="F57" s="41" t="s">
        <v>2567</v>
      </c>
      <c r="G57" s="41" t="str">
        <f t="shared" si="0"/>
        <v>Jacob ITALIANO - Australia</v>
      </c>
      <c r="H57" s="41" t="str">
        <f t="shared" si="1"/>
        <v>AUS4</v>
      </c>
      <c r="I57" s="41" t="s">
        <v>2571</v>
      </c>
    </row>
    <row r="58" spans="1:9" ht="15" customHeight="1" x14ac:dyDescent="0.35">
      <c r="A58" s="40">
        <v>5</v>
      </c>
      <c r="B58" s="40" t="s">
        <v>271</v>
      </c>
      <c r="C58" s="41" t="s">
        <v>379</v>
      </c>
      <c r="D58" s="41" t="s">
        <v>380</v>
      </c>
      <c r="E58" s="40" t="s">
        <v>372</v>
      </c>
      <c r="F58" s="41" t="s">
        <v>2567</v>
      </c>
      <c r="G58" s="41" t="str">
        <f t="shared" si="0"/>
        <v>Jordan BOS - Australia</v>
      </c>
      <c r="H58" s="41" t="str">
        <f t="shared" si="1"/>
        <v>AUS5</v>
      </c>
      <c r="I58" s="41" t="s">
        <v>2572</v>
      </c>
    </row>
    <row r="59" spans="1:9" ht="15" customHeight="1" x14ac:dyDescent="0.35">
      <c r="A59" s="40">
        <v>6</v>
      </c>
      <c r="B59" s="40" t="s">
        <v>271</v>
      </c>
      <c r="C59" s="41" t="s">
        <v>381</v>
      </c>
      <c r="D59" s="41" t="s">
        <v>382</v>
      </c>
      <c r="E59" s="40" t="s">
        <v>372</v>
      </c>
      <c r="F59" s="41" t="s">
        <v>2567</v>
      </c>
      <c r="G59" s="41" t="str">
        <f t="shared" si="0"/>
        <v>Jason GERIA - Australia</v>
      </c>
      <c r="H59" s="41" t="str">
        <f t="shared" si="1"/>
        <v>AUS6</v>
      </c>
      <c r="I59" s="41" t="s">
        <v>2573</v>
      </c>
    </row>
    <row r="60" spans="1:9" ht="15" customHeight="1" x14ac:dyDescent="0.35">
      <c r="A60" s="40">
        <v>7</v>
      </c>
      <c r="B60" s="40" t="s">
        <v>283</v>
      </c>
      <c r="C60" s="41" t="s">
        <v>370</v>
      </c>
      <c r="D60" s="41" t="s">
        <v>383</v>
      </c>
      <c r="E60" s="40" t="s">
        <v>372</v>
      </c>
      <c r="F60" s="41" t="s">
        <v>2567</v>
      </c>
      <c r="G60" s="41" t="str">
        <f t="shared" si="0"/>
        <v>Mathew LECKIE - Australia</v>
      </c>
      <c r="H60" s="41" t="str">
        <f t="shared" si="1"/>
        <v>AUS7</v>
      </c>
      <c r="I60" s="41" t="s">
        <v>2574</v>
      </c>
    </row>
    <row r="61" spans="1:9" ht="15" customHeight="1" x14ac:dyDescent="0.35">
      <c r="A61" s="40">
        <v>8</v>
      </c>
      <c r="B61" s="40" t="s">
        <v>280</v>
      </c>
      <c r="C61" s="41" t="s">
        <v>384</v>
      </c>
      <c r="D61" s="41" t="s">
        <v>385</v>
      </c>
      <c r="E61" s="40" t="s">
        <v>372</v>
      </c>
      <c r="F61" s="41" t="s">
        <v>2567</v>
      </c>
      <c r="G61" s="41" t="str">
        <f t="shared" si="0"/>
        <v>Connor METCALFE - Australia</v>
      </c>
      <c r="H61" s="41" t="str">
        <f t="shared" si="1"/>
        <v>AUS8</v>
      </c>
      <c r="I61" s="41" t="s">
        <v>2575</v>
      </c>
    </row>
    <row r="62" spans="1:9" ht="15" customHeight="1" x14ac:dyDescent="0.35">
      <c r="A62" s="40">
        <v>9</v>
      </c>
      <c r="B62" s="40" t="s">
        <v>283</v>
      </c>
      <c r="C62" s="41" t="s">
        <v>306</v>
      </c>
      <c r="D62" s="41" t="s">
        <v>386</v>
      </c>
      <c r="E62" s="40" t="s">
        <v>372</v>
      </c>
      <c r="F62" s="41" t="s">
        <v>2567</v>
      </c>
      <c r="G62" s="41" t="str">
        <f t="shared" si="0"/>
        <v>Mohamed TOURE - Australia</v>
      </c>
      <c r="H62" s="41" t="str">
        <f t="shared" si="1"/>
        <v>AUS9</v>
      </c>
      <c r="I62" s="41" t="s">
        <v>2576</v>
      </c>
    </row>
    <row r="63" spans="1:9" ht="15" customHeight="1" x14ac:dyDescent="0.35">
      <c r="A63" s="40">
        <v>10</v>
      </c>
      <c r="B63" s="40" t="s">
        <v>283</v>
      </c>
      <c r="C63" s="41" t="s">
        <v>387</v>
      </c>
      <c r="D63" s="41" t="s">
        <v>388</v>
      </c>
      <c r="E63" s="40" t="s">
        <v>372</v>
      </c>
      <c r="F63" s="41" t="s">
        <v>2567</v>
      </c>
      <c r="G63" s="41" t="str">
        <f t="shared" si="0"/>
        <v>Ajdin HRUSTIC - Australia</v>
      </c>
      <c r="H63" s="41" t="str">
        <f t="shared" si="1"/>
        <v>AUS10</v>
      </c>
      <c r="I63" s="41" t="s">
        <v>2577</v>
      </c>
    </row>
    <row r="64" spans="1:9" ht="15" customHeight="1" x14ac:dyDescent="0.35">
      <c r="A64" s="40">
        <v>11</v>
      </c>
      <c r="B64" s="40" t="s">
        <v>283</v>
      </c>
      <c r="C64" s="41" t="s">
        <v>389</v>
      </c>
      <c r="D64" s="41" t="s">
        <v>390</v>
      </c>
      <c r="E64" s="40" t="s">
        <v>372</v>
      </c>
      <c r="F64" s="41" t="s">
        <v>2567</v>
      </c>
      <c r="G64" s="41" t="str">
        <f t="shared" si="0"/>
        <v>Awer MABIL - Australia</v>
      </c>
      <c r="H64" s="41" t="str">
        <f t="shared" si="1"/>
        <v>AUS11</v>
      </c>
      <c r="I64" s="41" t="s">
        <v>2578</v>
      </c>
    </row>
    <row r="65" spans="1:9" ht="15" customHeight="1" x14ac:dyDescent="0.35">
      <c r="A65" s="40">
        <v>12</v>
      </c>
      <c r="B65" s="40" t="s">
        <v>267</v>
      </c>
      <c r="C65" s="41" t="s">
        <v>391</v>
      </c>
      <c r="D65" s="41" t="s">
        <v>392</v>
      </c>
      <c r="E65" s="40" t="s">
        <v>372</v>
      </c>
      <c r="F65" s="41" t="s">
        <v>2567</v>
      </c>
      <c r="G65" s="41" t="str">
        <f t="shared" si="0"/>
        <v>Paul IZZO - Australia</v>
      </c>
      <c r="H65" s="41" t="str">
        <f t="shared" si="1"/>
        <v>AUS12</v>
      </c>
      <c r="I65" s="41" t="s">
        <v>2579</v>
      </c>
    </row>
    <row r="66" spans="1:9" ht="15" customHeight="1" x14ac:dyDescent="0.35">
      <c r="A66" s="40">
        <v>13</v>
      </c>
      <c r="B66" s="40" t="s">
        <v>280</v>
      </c>
      <c r="C66" s="41" t="s">
        <v>393</v>
      </c>
      <c r="D66" s="41" t="s">
        <v>394</v>
      </c>
      <c r="E66" s="40" t="s">
        <v>372</v>
      </c>
      <c r="F66" s="41" t="s">
        <v>2567</v>
      </c>
      <c r="G66" s="41" t="str">
        <f t="shared" si="0"/>
        <v>Aiden ONEILL - Australia</v>
      </c>
      <c r="H66" s="41" t="str">
        <f t="shared" si="1"/>
        <v>AUS13</v>
      </c>
      <c r="I66" s="41" t="s">
        <v>2580</v>
      </c>
    </row>
    <row r="67" spans="1:9" ht="15" customHeight="1" x14ac:dyDescent="0.35">
      <c r="A67" s="40">
        <v>14</v>
      </c>
      <c r="B67" s="40" t="s">
        <v>280</v>
      </c>
      <c r="C67" s="41" t="s">
        <v>395</v>
      </c>
      <c r="D67" s="41" t="s">
        <v>396</v>
      </c>
      <c r="E67" s="40" t="s">
        <v>372</v>
      </c>
      <c r="F67" s="41" t="s">
        <v>2567</v>
      </c>
      <c r="G67" s="41" t="str">
        <f t="shared" ref="G67:G130" si="2">_xlfn.CONCAT(C67, " ",D67, " - ",F67)</f>
        <v>Cameron DEVLIN - Australia</v>
      </c>
      <c r="H67" s="41" t="str">
        <f t="shared" ref="H67:H130" si="3">_xlfn.CONCAT(E67,A67)</f>
        <v>AUS14</v>
      </c>
      <c r="I67" s="41" t="s">
        <v>2581</v>
      </c>
    </row>
    <row r="68" spans="1:9" ht="15" customHeight="1" x14ac:dyDescent="0.35">
      <c r="A68" s="40">
        <v>15</v>
      </c>
      <c r="B68" s="40" t="s">
        <v>271</v>
      </c>
      <c r="C68" s="41" t="s">
        <v>397</v>
      </c>
      <c r="D68" s="41" t="s">
        <v>398</v>
      </c>
      <c r="E68" s="40" t="s">
        <v>372</v>
      </c>
      <c r="F68" s="41" t="s">
        <v>2567</v>
      </c>
      <c r="G68" s="41" t="str">
        <f t="shared" si="2"/>
        <v>Kai TREWIN - Australia</v>
      </c>
      <c r="H68" s="41" t="str">
        <f t="shared" si="3"/>
        <v>AUS15</v>
      </c>
      <c r="I68" s="41" t="s">
        <v>2582</v>
      </c>
    </row>
    <row r="69" spans="1:9" ht="15" customHeight="1" x14ac:dyDescent="0.35">
      <c r="A69" s="40">
        <v>16</v>
      </c>
      <c r="B69" s="40" t="s">
        <v>271</v>
      </c>
      <c r="C69" s="41" t="s">
        <v>399</v>
      </c>
      <c r="D69" s="41" t="s">
        <v>400</v>
      </c>
      <c r="E69" s="40" t="s">
        <v>372</v>
      </c>
      <c r="F69" s="41" t="s">
        <v>2567</v>
      </c>
      <c r="G69" s="41" t="str">
        <f t="shared" si="2"/>
        <v>Aziz BEHICH - Australia</v>
      </c>
      <c r="H69" s="41" t="str">
        <f t="shared" si="3"/>
        <v>AUS16</v>
      </c>
      <c r="I69" s="41" t="s">
        <v>2583</v>
      </c>
    </row>
    <row r="70" spans="1:9" ht="15" customHeight="1" x14ac:dyDescent="0.35">
      <c r="A70" s="40">
        <v>17</v>
      </c>
      <c r="B70" s="40" t="s">
        <v>283</v>
      </c>
      <c r="C70" s="41" t="s">
        <v>401</v>
      </c>
      <c r="D70" s="41" t="s">
        <v>402</v>
      </c>
      <c r="E70" s="40" t="s">
        <v>372</v>
      </c>
      <c r="F70" s="41" t="s">
        <v>2567</v>
      </c>
      <c r="G70" s="41" t="str">
        <f t="shared" si="2"/>
        <v>Nestory IRANKUNDA - Australia</v>
      </c>
      <c r="H70" s="41" t="str">
        <f t="shared" si="3"/>
        <v>AUS17</v>
      </c>
      <c r="I70" s="41" t="s">
        <v>2584</v>
      </c>
    </row>
    <row r="71" spans="1:9" ht="15" customHeight="1" x14ac:dyDescent="0.35">
      <c r="A71" s="40">
        <v>18</v>
      </c>
      <c r="B71" s="40" t="s">
        <v>267</v>
      </c>
      <c r="C71" s="41" t="s">
        <v>403</v>
      </c>
      <c r="D71" s="41" t="s">
        <v>404</v>
      </c>
      <c r="E71" s="40" t="s">
        <v>372</v>
      </c>
      <c r="F71" s="41" t="s">
        <v>2567</v>
      </c>
      <c r="G71" s="41" t="str">
        <f t="shared" si="2"/>
        <v>Patrick BEACH - Australia</v>
      </c>
      <c r="H71" s="41" t="str">
        <f t="shared" si="3"/>
        <v>AUS18</v>
      </c>
      <c r="I71" s="41" t="s">
        <v>2585</v>
      </c>
    </row>
    <row r="72" spans="1:9" ht="15" customHeight="1" x14ac:dyDescent="0.35">
      <c r="A72" s="40">
        <v>19</v>
      </c>
      <c r="B72" s="40" t="s">
        <v>271</v>
      </c>
      <c r="C72" s="41" t="s">
        <v>405</v>
      </c>
      <c r="D72" s="41" t="s">
        <v>406</v>
      </c>
      <c r="E72" s="40" t="s">
        <v>372</v>
      </c>
      <c r="F72" s="41" t="s">
        <v>2567</v>
      </c>
      <c r="G72" s="41" t="str">
        <f t="shared" si="2"/>
        <v>Harry SOUTTAR - Australia</v>
      </c>
      <c r="H72" s="41" t="str">
        <f t="shared" si="3"/>
        <v>AUS19</v>
      </c>
      <c r="I72" s="41" t="s">
        <v>2586</v>
      </c>
    </row>
    <row r="73" spans="1:9" ht="15" customHeight="1" x14ac:dyDescent="0.35">
      <c r="A73" s="40">
        <v>20</v>
      </c>
      <c r="B73" s="40" t="s">
        <v>283</v>
      </c>
      <c r="C73" s="41" t="s">
        <v>346</v>
      </c>
      <c r="D73" s="41" t="s">
        <v>407</v>
      </c>
      <c r="E73" s="40" t="s">
        <v>372</v>
      </c>
      <c r="F73" s="41" t="s">
        <v>2567</v>
      </c>
      <c r="G73" s="41" t="str">
        <f t="shared" si="2"/>
        <v>Cristian VOLPATO - Australia</v>
      </c>
      <c r="H73" s="41" t="str">
        <f t="shared" si="3"/>
        <v>AUS20</v>
      </c>
      <c r="I73" s="41" t="s">
        <v>2587</v>
      </c>
    </row>
    <row r="74" spans="1:9" ht="15" customHeight="1" x14ac:dyDescent="0.35">
      <c r="A74" s="40">
        <v>21</v>
      </c>
      <c r="B74" s="40" t="s">
        <v>271</v>
      </c>
      <c r="C74" s="41" t="s">
        <v>395</v>
      </c>
      <c r="D74" s="41" t="s">
        <v>408</v>
      </c>
      <c r="E74" s="40" t="s">
        <v>372</v>
      </c>
      <c r="F74" s="41" t="s">
        <v>2567</v>
      </c>
      <c r="G74" s="41" t="str">
        <f t="shared" si="2"/>
        <v>Cameron BURGESS - Australia</v>
      </c>
      <c r="H74" s="41" t="str">
        <f t="shared" si="3"/>
        <v>AUS21</v>
      </c>
      <c r="I74" s="41" t="s">
        <v>2588</v>
      </c>
    </row>
    <row r="75" spans="1:9" ht="15" customHeight="1" x14ac:dyDescent="0.35">
      <c r="A75" s="40">
        <v>22</v>
      </c>
      <c r="B75" s="40" t="s">
        <v>280</v>
      </c>
      <c r="C75" s="41" t="s">
        <v>409</v>
      </c>
      <c r="D75" s="41" t="s">
        <v>410</v>
      </c>
      <c r="E75" s="40" t="s">
        <v>372</v>
      </c>
      <c r="F75" s="41" t="s">
        <v>2567</v>
      </c>
      <c r="G75" s="41" t="str">
        <f t="shared" si="2"/>
        <v>Jackson IRVINE - Australia</v>
      </c>
      <c r="H75" s="41" t="str">
        <f t="shared" si="3"/>
        <v>AUS22</v>
      </c>
      <c r="I75" s="41" t="s">
        <v>2589</v>
      </c>
    </row>
    <row r="76" spans="1:9" ht="15" customHeight="1" x14ac:dyDescent="0.35">
      <c r="A76" s="40">
        <v>23</v>
      </c>
      <c r="B76" s="40" t="s">
        <v>283</v>
      </c>
      <c r="C76" s="41" t="s">
        <v>411</v>
      </c>
      <c r="D76" s="41" t="s">
        <v>412</v>
      </c>
      <c r="E76" s="40" t="s">
        <v>372</v>
      </c>
      <c r="F76" s="41" t="s">
        <v>2567</v>
      </c>
      <c r="G76" s="41" t="str">
        <f t="shared" si="2"/>
        <v>Nishan VELUPILLAY - Australia</v>
      </c>
      <c r="H76" s="41" t="str">
        <f t="shared" si="3"/>
        <v>AUS23</v>
      </c>
      <c r="I76" s="41" t="s">
        <v>2590</v>
      </c>
    </row>
    <row r="77" spans="1:9" ht="15" customHeight="1" x14ac:dyDescent="0.35">
      <c r="A77" s="40">
        <v>24</v>
      </c>
      <c r="B77" s="40" t="s">
        <v>280</v>
      </c>
      <c r="C77" s="41" t="s">
        <v>391</v>
      </c>
      <c r="D77" s="41" t="s">
        <v>413</v>
      </c>
      <c r="E77" s="40" t="s">
        <v>372</v>
      </c>
      <c r="F77" s="41" t="s">
        <v>2567</v>
      </c>
      <c r="G77" s="41" t="str">
        <f t="shared" si="2"/>
        <v>Paul OKON-ENGSTLER - Australia</v>
      </c>
      <c r="H77" s="41" t="str">
        <f t="shared" si="3"/>
        <v>AUS24</v>
      </c>
      <c r="I77" s="41" t="s">
        <v>2591</v>
      </c>
    </row>
    <row r="78" spans="1:9" ht="15" customHeight="1" x14ac:dyDescent="0.35">
      <c r="A78" s="40">
        <v>25</v>
      </c>
      <c r="B78" s="40" t="s">
        <v>271</v>
      </c>
      <c r="C78" s="41" t="s">
        <v>414</v>
      </c>
      <c r="D78" s="41" t="s">
        <v>415</v>
      </c>
      <c r="E78" s="40" t="s">
        <v>372</v>
      </c>
      <c r="F78" s="41" t="s">
        <v>2567</v>
      </c>
      <c r="G78" s="41" t="str">
        <f t="shared" si="2"/>
        <v>Lucas HERRINGTON - Australia</v>
      </c>
      <c r="H78" s="41" t="str">
        <f t="shared" si="3"/>
        <v>AUS25</v>
      </c>
      <c r="I78" s="41" t="s">
        <v>2592</v>
      </c>
    </row>
    <row r="79" spans="1:9" ht="15" customHeight="1" x14ac:dyDescent="0.35">
      <c r="A79" s="40">
        <v>26</v>
      </c>
      <c r="B79" s="40" t="s">
        <v>283</v>
      </c>
      <c r="C79" s="41" t="s">
        <v>416</v>
      </c>
      <c r="D79" s="41" t="s">
        <v>417</v>
      </c>
      <c r="E79" s="40" t="s">
        <v>372</v>
      </c>
      <c r="F79" s="41" t="s">
        <v>2567</v>
      </c>
      <c r="G79" s="41" t="str">
        <f t="shared" si="2"/>
        <v>Tete YENGI - Australia</v>
      </c>
      <c r="H79" s="41" t="str">
        <f t="shared" si="3"/>
        <v>AUS26</v>
      </c>
      <c r="I79" s="41" t="s">
        <v>2593</v>
      </c>
    </row>
    <row r="80" spans="1:9" ht="15" customHeight="1" x14ac:dyDescent="0.35">
      <c r="A80" s="42">
        <v>1</v>
      </c>
      <c r="B80" s="42" t="s">
        <v>267</v>
      </c>
      <c r="C80" s="43" t="s">
        <v>418</v>
      </c>
      <c r="D80" s="43" t="s">
        <v>419</v>
      </c>
      <c r="E80" s="42" t="s">
        <v>420</v>
      </c>
      <c r="F80" s="43" t="s">
        <v>2594</v>
      </c>
      <c r="G80" s="43" t="str">
        <f t="shared" si="2"/>
        <v>Alexander SCHLAGER - Austria</v>
      </c>
      <c r="H80" s="43" t="str">
        <f t="shared" si="3"/>
        <v>AUT1</v>
      </c>
      <c r="I80" s="43" t="s">
        <v>2595</v>
      </c>
    </row>
    <row r="81" spans="1:9" ht="15" customHeight="1" x14ac:dyDescent="0.35">
      <c r="A81" s="42">
        <v>2</v>
      </c>
      <c r="B81" s="42" t="s">
        <v>271</v>
      </c>
      <c r="C81" s="43" t="s">
        <v>421</v>
      </c>
      <c r="D81" s="43" t="s">
        <v>422</v>
      </c>
      <c r="E81" s="42" t="s">
        <v>420</v>
      </c>
      <c r="F81" s="43" t="s">
        <v>2594</v>
      </c>
      <c r="G81" s="43" t="str">
        <f t="shared" si="2"/>
        <v>David AFFENGRUBER - Austria</v>
      </c>
      <c r="H81" s="43" t="str">
        <f t="shared" si="3"/>
        <v>AUT2</v>
      </c>
      <c r="I81" s="43" t="s">
        <v>2596</v>
      </c>
    </row>
    <row r="82" spans="1:9" ht="15" customHeight="1" x14ac:dyDescent="0.35">
      <c r="A82" s="42">
        <v>3</v>
      </c>
      <c r="B82" s="42" t="s">
        <v>271</v>
      </c>
      <c r="C82" s="43" t="s">
        <v>423</v>
      </c>
      <c r="D82" s="43" t="s">
        <v>424</v>
      </c>
      <c r="E82" s="42" t="s">
        <v>420</v>
      </c>
      <c r="F82" s="43" t="s">
        <v>2594</v>
      </c>
      <c r="G82" s="43" t="str">
        <f t="shared" si="2"/>
        <v>Kevin DANSO - Austria</v>
      </c>
      <c r="H82" s="43" t="str">
        <f t="shared" si="3"/>
        <v>AUT3</v>
      </c>
      <c r="I82" s="43" t="s">
        <v>2597</v>
      </c>
    </row>
    <row r="83" spans="1:9" ht="15" customHeight="1" x14ac:dyDescent="0.35">
      <c r="A83" s="42">
        <v>4</v>
      </c>
      <c r="B83" s="42" t="s">
        <v>280</v>
      </c>
      <c r="C83" s="43" t="s">
        <v>425</v>
      </c>
      <c r="D83" s="43" t="s">
        <v>419</v>
      </c>
      <c r="E83" s="42" t="s">
        <v>420</v>
      </c>
      <c r="F83" s="43" t="s">
        <v>2594</v>
      </c>
      <c r="G83" s="43" t="str">
        <f t="shared" si="2"/>
        <v>Xaver SCHLAGER - Austria</v>
      </c>
      <c r="H83" s="43" t="str">
        <f t="shared" si="3"/>
        <v>AUT4</v>
      </c>
      <c r="I83" s="43" t="s">
        <v>2598</v>
      </c>
    </row>
    <row r="84" spans="1:9" ht="15" customHeight="1" x14ac:dyDescent="0.35">
      <c r="A84" s="42">
        <v>5</v>
      </c>
      <c r="B84" s="42" t="s">
        <v>271</v>
      </c>
      <c r="C84" s="43" t="s">
        <v>426</v>
      </c>
      <c r="D84" s="43" t="s">
        <v>427</v>
      </c>
      <c r="E84" s="42" t="s">
        <v>420</v>
      </c>
      <c r="F84" s="43" t="s">
        <v>2594</v>
      </c>
      <c r="G84" s="43" t="str">
        <f t="shared" si="2"/>
        <v>Stefan POSCH - Austria</v>
      </c>
      <c r="H84" s="43" t="str">
        <f t="shared" si="3"/>
        <v>AUT5</v>
      </c>
      <c r="I84" s="43" t="s">
        <v>2599</v>
      </c>
    </row>
    <row r="85" spans="1:9" ht="15" customHeight="1" x14ac:dyDescent="0.35">
      <c r="A85" s="42">
        <v>6</v>
      </c>
      <c r="B85" s="42" t="s">
        <v>280</v>
      </c>
      <c r="C85" s="43" t="s">
        <v>326</v>
      </c>
      <c r="D85" s="43" t="s">
        <v>428</v>
      </c>
      <c r="E85" s="42" t="s">
        <v>420</v>
      </c>
      <c r="F85" s="43" t="s">
        <v>2594</v>
      </c>
      <c r="G85" s="43" t="str">
        <f t="shared" si="2"/>
        <v>Nicolas SEIWALD - Austria</v>
      </c>
      <c r="H85" s="43" t="str">
        <f t="shared" si="3"/>
        <v>AUT6</v>
      </c>
      <c r="I85" s="43" t="s">
        <v>2600</v>
      </c>
    </row>
    <row r="86" spans="1:9" ht="15" customHeight="1" x14ac:dyDescent="0.35">
      <c r="A86" s="42">
        <v>7</v>
      </c>
      <c r="B86" s="42" t="s">
        <v>283</v>
      </c>
      <c r="C86" s="43" t="s">
        <v>429</v>
      </c>
      <c r="D86" s="43" t="s">
        <v>430</v>
      </c>
      <c r="E86" s="42" t="s">
        <v>420</v>
      </c>
      <c r="F86" s="43" t="s">
        <v>2594</v>
      </c>
      <c r="G86" s="43" t="str">
        <f t="shared" si="2"/>
        <v>Marko ARNAUTOVIC - Austria</v>
      </c>
      <c r="H86" s="43" t="str">
        <f t="shared" si="3"/>
        <v>AUT7</v>
      </c>
      <c r="I86" s="43" t="s">
        <v>2601</v>
      </c>
    </row>
    <row r="87" spans="1:9" ht="15" customHeight="1" x14ac:dyDescent="0.35">
      <c r="A87" s="42">
        <v>8</v>
      </c>
      <c r="B87" s="42" t="s">
        <v>271</v>
      </c>
      <c r="C87" s="43" t="s">
        <v>421</v>
      </c>
      <c r="D87" s="43" t="s">
        <v>431</v>
      </c>
      <c r="E87" s="42" t="s">
        <v>420</v>
      </c>
      <c r="F87" s="43" t="s">
        <v>2594</v>
      </c>
      <c r="G87" s="43" t="str">
        <f t="shared" si="2"/>
        <v>David ALABA - Austria</v>
      </c>
      <c r="H87" s="43" t="str">
        <f t="shared" si="3"/>
        <v>AUT8</v>
      </c>
      <c r="I87" s="43" t="s">
        <v>2602</v>
      </c>
    </row>
    <row r="88" spans="1:9" ht="15" customHeight="1" x14ac:dyDescent="0.35">
      <c r="A88" s="42">
        <v>9</v>
      </c>
      <c r="B88" s="42" t="s">
        <v>280</v>
      </c>
      <c r="C88" s="43" t="s">
        <v>432</v>
      </c>
      <c r="D88" s="43" t="s">
        <v>433</v>
      </c>
      <c r="E88" s="42" t="s">
        <v>420</v>
      </c>
      <c r="F88" s="43" t="s">
        <v>2594</v>
      </c>
      <c r="G88" s="43" t="str">
        <f t="shared" si="2"/>
        <v>Marcel SABITZER - Austria</v>
      </c>
      <c r="H88" s="43" t="str">
        <f t="shared" si="3"/>
        <v>AUT9</v>
      </c>
      <c r="I88" s="43" t="s">
        <v>2603</v>
      </c>
    </row>
    <row r="89" spans="1:9" ht="15" customHeight="1" x14ac:dyDescent="0.35">
      <c r="A89" s="42">
        <v>10</v>
      </c>
      <c r="B89" s="42" t="s">
        <v>280</v>
      </c>
      <c r="C89" s="43" t="s">
        <v>434</v>
      </c>
      <c r="D89" s="43" t="s">
        <v>435</v>
      </c>
      <c r="E89" s="42" t="s">
        <v>420</v>
      </c>
      <c r="F89" s="43" t="s">
        <v>2594</v>
      </c>
      <c r="G89" s="43" t="str">
        <f t="shared" si="2"/>
        <v>Florian GRILLITSCH - Austria</v>
      </c>
      <c r="H89" s="43" t="str">
        <f t="shared" si="3"/>
        <v>AUT10</v>
      </c>
      <c r="I89" s="43" t="s">
        <v>2604</v>
      </c>
    </row>
    <row r="90" spans="1:9" ht="15" customHeight="1" x14ac:dyDescent="0.35">
      <c r="A90" s="42">
        <v>11</v>
      </c>
      <c r="B90" s="42" t="s">
        <v>283</v>
      </c>
      <c r="C90" s="43" t="s">
        <v>436</v>
      </c>
      <c r="D90" s="43" t="s">
        <v>437</v>
      </c>
      <c r="E90" s="42" t="s">
        <v>420</v>
      </c>
      <c r="F90" s="43" t="s">
        <v>2594</v>
      </c>
      <c r="G90" s="43" t="str">
        <f t="shared" si="2"/>
        <v>Michael GREGORITSCH - Austria</v>
      </c>
      <c r="H90" s="43" t="str">
        <f t="shared" si="3"/>
        <v>AUT11</v>
      </c>
      <c r="I90" s="43" t="s">
        <v>2605</v>
      </c>
    </row>
    <row r="91" spans="1:9" ht="15" customHeight="1" x14ac:dyDescent="0.35">
      <c r="A91" s="42">
        <v>12</v>
      </c>
      <c r="B91" s="42" t="s">
        <v>267</v>
      </c>
      <c r="C91" s="43" t="s">
        <v>434</v>
      </c>
      <c r="D91" s="43" t="s">
        <v>438</v>
      </c>
      <c r="E91" s="42" t="s">
        <v>420</v>
      </c>
      <c r="F91" s="43" t="s">
        <v>2594</v>
      </c>
      <c r="G91" s="43" t="str">
        <f t="shared" si="2"/>
        <v>Florian WIEGELE - Austria</v>
      </c>
      <c r="H91" s="43" t="str">
        <f t="shared" si="3"/>
        <v>AUT12</v>
      </c>
      <c r="I91" s="43" t="s">
        <v>2606</v>
      </c>
    </row>
    <row r="92" spans="1:9" ht="15" customHeight="1" x14ac:dyDescent="0.35">
      <c r="A92" s="42">
        <v>13</v>
      </c>
      <c r="B92" s="42" t="s">
        <v>267</v>
      </c>
      <c r="C92" s="43" t="s">
        <v>403</v>
      </c>
      <c r="D92" s="43" t="s">
        <v>439</v>
      </c>
      <c r="E92" s="42" t="s">
        <v>420</v>
      </c>
      <c r="F92" s="43" t="s">
        <v>2594</v>
      </c>
      <c r="G92" s="43" t="str">
        <f t="shared" si="2"/>
        <v>Patrick PENTZ - Austria</v>
      </c>
      <c r="H92" s="43" t="str">
        <f t="shared" si="3"/>
        <v>AUT13</v>
      </c>
      <c r="I92" s="43" t="s">
        <v>2607</v>
      </c>
    </row>
    <row r="93" spans="1:9" ht="15" customHeight="1" x14ac:dyDescent="0.35">
      <c r="A93" s="42">
        <v>14</v>
      </c>
      <c r="B93" s="42" t="s">
        <v>283</v>
      </c>
      <c r="C93" s="43" t="s">
        <v>440</v>
      </c>
      <c r="D93" s="43" t="s">
        <v>441</v>
      </c>
      <c r="E93" s="42" t="s">
        <v>420</v>
      </c>
      <c r="F93" s="43" t="s">
        <v>2594</v>
      </c>
      <c r="G93" s="43" t="str">
        <f t="shared" si="2"/>
        <v>Sasa KALAJDZIC - Austria</v>
      </c>
      <c r="H93" s="43" t="str">
        <f t="shared" si="3"/>
        <v>AUT14</v>
      </c>
      <c r="I93" s="43" t="s">
        <v>2608</v>
      </c>
    </row>
    <row r="94" spans="1:9" ht="15" customHeight="1" x14ac:dyDescent="0.35">
      <c r="A94" s="42">
        <v>15</v>
      </c>
      <c r="B94" s="42" t="s">
        <v>271</v>
      </c>
      <c r="C94" s="43" t="s">
        <v>442</v>
      </c>
      <c r="D94" s="43" t="s">
        <v>443</v>
      </c>
      <c r="E94" s="42" t="s">
        <v>420</v>
      </c>
      <c r="F94" s="43" t="s">
        <v>2594</v>
      </c>
      <c r="G94" s="43" t="str">
        <f t="shared" si="2"/>
        <v>Philipp LIENHART - Austria</v>
      </c>
      <c r="H94" s="43" t="str">
        <f t="shared" si="3"/>
        <v>AUT15</v>
      </c>
      <c r="I94" s="43" t="s">
        <v>2609</v>
      </c>
    </row>
    <row r="95" spans="1:9" ht="15" customHeight="1" x14ac:dyDescent="0.35">
      <c r="A95" s="42">
        <v>16</v>
      </c>
      <c r="B95" s="42" t="s">
        <v>271</v>
      </c>
      <c r="C95" s="43" t="s">
        <v>444</v>
      </c>
      <c r="D95" s="43" t="s">
        <v>445</v>
      </c>
      <c r="E95" s="42" t="s">
        <v>420</v>
      </c>
      <c r="F95" s="43" t="s">
        <v>2594</v>
      </c>
      <c r="G95" s="43" t="str">
        <f t="shared" si="2"/>
        <v>Phillip MWENE - Austria</v>
      </c>
      <c r="H95" s="43" t="str">
        <f t="shared" si="3"/>
        <v>AUT16</v>
      </c>
      <c r="I95" s="43" t="s">
        <v>2610</v>
      </c>
    </row>
    <row r="96" spans="1:9" ht="15" customHeight="1" x14ac:dyDescent="0.35">
      <c r="A96" s="42">
        <v>17</v>
      </c>
      <c r="B96" s="42" t="s">
        <v>280</v>
      </c>
      <c r="C96" s="43" t="s">
        <v>446</v>
      </c>
      <c r="D96" s="43" t="s">
        <v>447</v>
      </c>
      <c r="E96" s="42" t="s">
        <v>420</v>
      </c>
      <c r="F96" s="43" t="s">
        <v>2594</v>
      </c>
      <c r="G96" s="43" t="str">
        <f t="shared" si="2"/>
        <v>Carney CHUKWUEMEKA - Austria</v>
      </c>
      <c r="H96" s="43" t="str">
        <f t="shared" si="3"/>
        <v>AUT17</v>
      </c>
      <c r="I96" s="43" t="s">
        <v>2611</v>
      </c>
    </row>
    <row r="97" spans="1:9" ht="15" customHeight="1" x14ac:dyDescent="0.35">
      <c r="A97" s="42">
        <v>18</v>
      </c>
      <c r="B97" s="42" t="s">
        <v>280</v>
      </c>
      <c r="C97" s="43" t="s">
        <v>448</v>
      </c>
      <c r="D97" s="43" t="s">
        <v>449</v>
      </c>
      <c r="E97" s="42" t="s">
        <v>420</v>
      </c>
      <c r="F97" s="43" t="s">
        <v>2594</v>
      </c>
      <c r="G97" s="43" t="str">
        <f t="shared" si="2"/>
        <v>Romano SCHMID - Austria</v>
      </c>
      <c r="H97" s="43" t="str">
        <f t="shared" si="3"/>
        <v>AUT18</v>
      </c>
      <c r="I97" s="43" t="s">
        <v>2612</v>
      </c>
    </row>
    <row r="98" spans="1:9" ht="15" customHeight="1" x14ac:dyDescent="0.35">
      <c r="A98" s="42">
        <v>19</v>
      </c>
      <c r="B98" s="42" t="s">
        <v>280</v>
      </c>
      <c r="C98" s="43" t="s">
        <v>2505</v>
      </c>
      <c r="D98" s="43" t="s">
        <v>2506</v>
      </c>
      <c r="E98" s="42" t="s">
        <v>420</v>
      </c>
      <c r="F98" s="43" t="s">
        <v>2594</v>
      </c>
      <c r="G98" s="43" t="str">
        <f t="shared" si="2"/>
        <v>Dejan LJUBICIC - Austria</v>
      </c>
      <c r="H98" s="43" t="str">
        <f t="shared" si="3"/>
        <v>AUT19</v>
      </c>
      <c r="I98" s="43" t="s">
        <v>3796</v>
      </c>
    </row>
    <row r="99" spans="1:9" ht="15" customHeight="1" x14ac:dyDescent="0.35">
      <c r="A99" s="42">
        <v>20</v>
      </c>
      <c r="B99" s="42" t="s">
        <v>280</v>
      </c>
      <c r="C99" s="43" t="s">
        <v>450</v>
      </c>
      <c r="D99" s="43" t="s">
        <v>451</v>
      </c>
      <c r="E99" s="42" t="s">
        <v>420</v>
      </c>
      <c r="F99" s="43" t="s">
        <v>2594</v>
      </c>
      <c r="G99" s="43" t="str">
        <f t="shared" si="2"/>
        <v>Konrad LAIMER - Austria</v>
      </c>
      <c r="H99" s="43" t="str">
        <f t="shared" si="3"/>
        <v>AUT20</v>
      </c>
      <c r="I99" s="43" t="s">
        <v>2613</v>
      </c>
    </row>
    <row r="100" spans="1:9" ht="15" customHeight="1" x14ac:dyDescent="0.35">
      <c r="A100" s="42">
        <v>21</v>
      </c>
      <c r="B100" s="42" t="s">
        <v>283</v>
      </c>
      <c r="C100" s="43" t="s">
        <v>403</v>
      </c>
      <c r="D100" s="43" t="s">
        <v>452</v>
      </c>
      <c r="E100" s="42" t="s">
        <v>420</v>
      </c>
      <c r="F100" s="43" t="s">
        <v>2594</v>
      </c>
      <c r="G100" s="43" t="str">
        <f t="shared" si="2"/>
        <v>Patrick WIMMER - Austria</v>
      </c>
      <c r="H100" s="43" t="str">
        <f t="shared" si="3"/>
        <v>AUT21</v>
      </c>
      <c r="I100" s="43" t="s">
        <v>2614</v>
      </c>
    </row>
    <row r="101" spans="1:9" ht="15" customHeight="1" x14ac:dyDescent="0.35">
      <c r="A101" s="42">
        <v>22</v>
      </c>
      <c r="B101" s="42" t="s">
        <v>280</v>
      </c>
      <c r="C101" s="43" t="s">
        <v>418</v>
      </c>
      <c r="D101" s="43" t="s">
        <v>453</v>
      </c>
      <c r="E101" s="42" t="s">
        <v>420</v>
      </c>
      <c r="F101" s="43" t="s">
        <v>2594</v>
      </c>
      <c r="G101" s="43" t="str">
        <f t="shared" si="2"/>
        <v>Alexander PRASS - Austria</v>
      </c>
      <c r="H101" s="43" t="str">
        <f t="shared" si="3"/>
        <v>AUT22</v>
      </c>
      <c r="I101" s="43" t="s">
        <v>2615</v>
      </c>
    </row>
    <row r="102" spans="1:9" ht="15" customHeight="1" x14ac:dyDescent="0.35">
      <c r="A102" s="42">
        <v>23</v>
      </c>
      <c r="B102" s="42" t="s">
        <v>271</v>
      </c>
      <c r="C102" s="43" t="s">
        <v>454</v>
      </c>
      <c r="D102" s="43" t="s">
        <v>455</v>
      </c>
      <c r="E102" s="42" t="s">
        <v>420</v>
      </c>
      <c r="F102" s="43" t="s">
        <v>2594</v>
      </c>
      <c r="G102" s="43" t="str">
        <f t="shared" si="2"/>
        <v>Marco FRIEDL - Austria</v>
      </c>
      <c r="H102" s="43" t="str">
        <f t="shared" si="3"/>
        <v>AUT23</v>
      </c>
      <c r="I102" s="43" t="s">
        <v>2616</v>
      </c>
    </row>
    <row r="103" spans="1:9" ht="15" customHeight="1" x14ac:dyDescent="0.35">
      <c r="A103" s="42">
        <v>24</v>
      </c>
      <c r="B103" s="42" t="s">
        <v>280</v>
      </c>
      <c r="C103" s="43" t="s">
        <v>391</v>
      </c>
      <c r="D103" s="43" t="s">
        <v>456</v>
      </c>
      <c r="E103" s="42" t="s">
        <v>420</v>
      </c>
      <c r="F103" s="43" t="s">
        <v>2594</v>
      </c>
      <c r="G103" s="43" t="str">
        <f t="shared" si="2"/>
        <v>Paul WANNER - Austria</v>
      </c>
      <c r="H103" s="43" t="str">
        <f t="shared" si="3"/>
        <v>AUT24</v>
      </c>
      <c r="I103" s="43" t="s">
        <v>2617</v>
      </c>
    </row>
    <row r="104" spans="1:9" ht="15" customHeight="1" x14ac:dyDescent="0.35">
      <c r="A104" s="42">
        <v>25</v>
      </c>
      <c r="B104" s="42" t="s">
        <v>271</v>
      </c>
      <c r="C104" s="43" t="s">
        <v>436</v>
      </c>
      <c r="D104" s="43" t="s">
        <v>457</v>
      </c>
      <c r="E104" s="42" t="s">
        <v>420</v>
      </c>
      <c r="F104" s="43" t="s">
        <v>2594</v>
      </c>
      <c r="G104" s="43" t="str">
        <f t="shared" si="2"/>
        <v>Michael SVOBODA - Austria</v>
      </c>
      <c r="H104" s="43" t="str">
        <f t="shared" si="3"/>
        <v>AUT25</v>
      </c>
      <c r="I104" s="43" t="s">
        <v>2618</v>
      </c>
    </row>
    <row r="105" spans="1:9" ht="15" customHeight="1" x14ac:dyDescent="0.35">
      <c r="A105" s="42">
        <v>26</v>
      </c>
      <c r="B105" s="42" t="s">
        <v>280</v>
      </c>
      <c r="C105" s="43" t="s">
        <v>375</v>
      </c>
      <c r="D105" s="43" t="s">
        <v>458</v>
      </c>
      <c r="E105" s="42" t="s">
        <v>420</v>
      </c>
      <c r="F105" s="43" t="s">
        <v>2594</v>
      </c>
      <c r="G105" s="43" t="str">
        <f t="shared" si="2"/>
        <v>Alessandro SCHOEPF - Austria</v>
      </c>
      <c r="H105" s="43" t="str">
        <f t="shared" si="3"/>
        <v>AUT26</v>
      </c>
      <c r="I105" s="43" t="s">
        <v>2619</v>
      </c>
    </row>
    <row r="106" spans="1:9" ht="15" customHeight="1" x14ac:dyDescent="0.35">
      <c r="A106" s="44">
        <v>1</v>
      </c>
      <c r="B106" s="44" t="s">
        <v>267</v>
      </c>
      <c r="C106" s="45" t="s">
        <v>459</v>
      </c>
      <c r="D106" s="45" t="s">
        <v>460</v>
      </c>
      <c r="E106" s="44" t="s">
        <v>461</v>
      </c>
      <c r="F106" s="45" t="s">
        <v>2620</v>
      </c>
      <c r="G106" s="45" t="str">
        <f t="shared" si="2"/>
        <v>Thibaut COURTOIS - Belgium</v>
      </c>
      <c r="H106" s="45" t="str">
        <f t="shared" si="3"/>
        <v>BEL1</v>
      </c>
      <c r="I106" s="45" t="s">
        <v>2621</v>
      </c>
    </row>
    <row r="107" spans="1:9" ht="15" customHeight="1" x14ac:dyDescent="0.35">
      <c r="A107" s="44">
        <v>2</v>
      </c>
      <c r="B107" s="44" t="s">
        <v>271</v>
      </c>
      <c r="C107" s="45" t="s">
        <v>462</v>
      </c>
      <c r="D107" s="45" t="s">
        <v>463</v>
      </c>
      <c r="E107" s="44" t="s">
        <v>461</v>
      </c>
      <c r="F107" s="45" t="s">
        <v>2620</v>
      </c>
      <c r="G107" s="45" t="str">
        <f t="shared" si="2"/>
        <v>Zeno DEBAST - Belgium</v>
      </c>
      <c r="H107" s="45" t="str">
        <f t="shared" si="3"/>
        <v>BEL2</v>
      </c>
      <c r="I107" s="45" t="s">
        <v>2622</v>
      </c>
    </row>
    <row r="108" spans="1:9" ht="15" customHeight="1" x14ac:dyDescent="0.35">
      <c r="A108" s="44">
        <v>3</v>
      </c>
      <c r="B108" s="44" t="s">
        <v>271</v>
      </c>
      <c r="C108" s="45" t="s">
        <v>464</v>
      </c>
      <c r="D108" s="45" t="s">
        <v>465</v>
      </c>
      <c r="E108" s="44" t="s">
        <v>461</v>
      </c>
      <c r="F108" s="45" t="s">
        <v>2620</v>
      </c>
      <c r="G108" s="45" t="str">
        <f t="shared" si="2"/>
        <v>Arthur THEATE - Belgium</v>
      </c>
      <c r="H108" s="45" t="str">
        <f t="shared" si="3"/>
        <v>BEL3</v>
      </c>
      <c r="I108" s="45" t="s">
        <v>2623</v>
      </c>
    </row>
    <row r="109" spans="1:9" ht="15" customHeight="1" x14ac:dyDescent="0.35">
      <c r="A109" s="44">
        <v>4</v>
      </c>
      <c r="B109" s="44" t="s">
        <v>271</v>
      </c>
      <c r="C109" s="45" t="s">
        <v>466</v>
      </c>
      <c r="D109" s="45" t="s">
        <v>467</v>
      </c>
      <c r="E109" s="44" t="s">
        <v>461</v>
      </c>
      <c r="F109" s="45" t="s">
        <v>2620</v>
      </c>
      <c r="G109" s="45" t="str">
        <f t="shared" si="2"/>
        <v>Brandon MECHELE - Belgium</v>
      </c>
      <c r="H109" s="45" t="str">
        <f t="shared" si="3"/>
        <v>BEL4</v>
      </c>
      <c r="I109" s="45" t="s">
        <v>2624</v>
      </c>
    </row>
    <row r="110" spans="1:9" ht="15" customHeight="1" x14ac:dyDescent="0.35">
      <c r="A110" s="44">
        <v>5</v>
      </c>
      <c r="B110" s="44" t="s">
        <v>271</v>
      </c>
      <c r="C110" s="45" t="s">
        <v>468</v>
      </c>
      <c r="D110" s="45" t="s">
        <v>469</v>
      </c>
      <c r="E110" s="44" t="s">
        <v>461</v>
      </c>
      <c r="F110" s="45" t="s">
        <v>2620</v>
      </c>
      <c r="G110" s="45" t="str">
        <f t="shared" si="2"/>
        <v>Maxim DE CUYPER - Belgium</v>
      </c>
      <c r="H110" s="45" t="str">
        <f t="shared" si="3"/>
        <v>BEL5</v>
      </c>
      <c r="I110" s="45" t="s">
        <v>2625</v>
      </c>
    </row>
    <row r="111" spans="1:9" ht="15" customHeight="1" x14ac:dyDescent="0.35">
      <c r="A111" s="44">
        <v>6</v>
      </c>
      <c r="B111" s="44" t="s">
        <v>280</v>
      </c>
      <c r="C111" s="45" t="s">
        <v>470</v>
      </c>
      <c r="D111" s="45" t="s">
        <v>471</v>
      </c>
      <c r="E111" s="44" t="s">
        <v>461</v>
      </c>
      <c r="F111" s="45" t="s">
        <v>2620</v>
      </c>
      <c r="G111" s="45" t="str">
        <f t="shared" si="2"/>
        <v>Axel WITSEL - Belgium</v>
      </c>
      <c r="H111" s="45" t="str">
        <f t="shared" si="3"/>
        <v>BEL6</v>
      </c>
      <c r="I111" s="45" t="s">
        <v>2626</v>
      </c>
    </row>
    <row r="112" spans="1:9" ht="15" customHeight="1" x14ac:dyDescent="0.35">
      <c r="A112" s="44">
        <v>7</v>
      </c>
      <c r="B112" s="44" t="s">
        <v>280</v>
      </c>
      <c r="C112" s="45" t="s">
        <v>423</v>
      </c>
      <c r="D112" s="45" t="s">
        <v>472</v>
      </c>
      <c r="E112" s="44" t="s">
        <v>461</v>
      </c>
      <c r="F112" s="45" t="s">
        <v>2620</v>
      </c>
      <c r="G112" s="45" t="str">
        <f t="shared" si="2"/>
        <v>Kevin DE BRUYNE - Belgium</v>
      </c>
      <c r="H112" s="45" t="str">
        <f t="shared" si="3"/>
        <v>BEL7</v>
      </c>
      <c r="I112" s="45" t="s">
        <v>2627</v>
      </c>
    </row>
    <row r="113" spans="1:9" ht="15" customHeight="1" x14ac:dyDescent="0.35">
      <c r="A113" s="44">
        <v>8</v>
      </c>
      <c r="B113" s="44" t="s">
        <v>280</v>
      </c>
      <c r="C113" s="45" t="s">
        <v>473</v>
      </c>
      <c r="D113" s="45" t="s">
        <v>474</v>
      </c>
      <c r="E113" s="44" t="s">
        <v>461</v>
      </c>
      <c r="F113" s="45" t="s">
        <v>2620</v>
      </c>
      <c r="G113" s="45" t="str">
        <f t="shared" si="2"/>
        <v>Youri TIELEMANS - Belgium</v>
      </c>
      <c r="H113" s="45" t="str">
        <f t="shared" si="3"/>
        <v>BEL8</v>
      </c>
      <c r="I113" s="45" t="s">
        <v>2628</v>
      </c>
    </row>
    <row r="114" spans="1:9" ht="15" customHeight="1" x14ac:dyDescent="0.35">
      <c r="A114" s="44">
        <v>9</v>
      </c>
      <c r="B114" s="44" t="s">
        <v>283</v>
      </c>
      <c r="C114" s="45" t="s">
        <v>475</v>
      </c>
      <c r="D114" s="45" t="s">
        <v>476</v>
      </c>
      <c r="E114" s="44" t="s">
        <v>461</v>
      </c>
      <c r="F114" s="45" t="s">
        <v>2620</v>
      </c>
      <c r="G114" s="45" t="str">
        <f t="shared" si="2"/>
        <v>Romelu LUKAKU - Belgium</v>
      </c>
      <c r="H114" s="45" t="str">
        <f t="shared" si="3"/>
        <v>BEL9</v>
      </c>
      <c r="I114" s="45" t="s">
        <v>2629</v>
      </c>
    </row>
    <row r="115" spans="1:9" ht="15" customHeight="1" x14ac:dyDescent="0.35">
      <c r="A115" s="44">
        <v>10</v>
      </c>
      <c r="B115" s="44" t="s">
        <v>283</v>
      </c>
      <c r="C115" s="45" t="s">
        <v>330</v>
      </c>
      <c r="D115" s="45" t="s">
        <v>477</v>
      </c>
      <c r="E115" s="44" t="s">
        <v>461</v>
      </c>
      <c r="F115" s="45" t="s">
        <v>2620</v>
      </c>
      <c r="G115" s="45" t="str">
        <f t="shared" si="2"/>
        <v>Leandro TROSSARD - Belgium</v>
      </c>
      <c r="H115" s="45" t="str">
        <f t="shared" si="3"/>
        <v>BEL10</v>
      </c>
      <c r="I115" s="45" t="s">
        <v>2630</v>
      </c>
    </row>
    <row r="116" spans="1:9" ht="15" customHeight="1" x14ac:dyDescent="0.35">
      <c r="A116" s="44">
        <v>11</v>
      </c>
      <c r="B116" s="44" t="s">
        <v>283</v>
      </c>
      <c r="C116" s="45" t="s">
        <v>478</v>
      </c>
      <c r="D116" s="45" t="s">
        <v>479</v>
      </c>
      <c r="E116" s="44" t="s">
        <v>461</v>
      </c>
      <c r="F116" s="45" t="s">
        <v>2620</v>
      </c>
      <c r="G116" s="45" t="str">
        <f t="shared" si="2"/>
        <v>Jeremy DOKU - Belgium</v>
      </c>
      <c r="H116" s="45" t="str">
        <f t="shared" si="3"/>
        <v>BEL11</v>
      </c>
      <c r="I116" s="45" t="s">
        <v>2631</v>
      </c>
    </row>
    <row r="117" spans="1:9" ht="15" customHeight="1" x14ac:dyDescent="0.35">
      <c r="A117" s="44">
        <v>12</v>
      </c>
      <c r="B117" s="44" t="s">
        <v>267</v>
      </c>
      <c r="C117" s="45" t="s">
        <v>480</v>
      </c>
      <c r="D117" s="45" t="s">
        <v>481</v>
      </c>
      <c r="E117" s="44" t="s">
        <v>461</v>
      </c>
      <c r="F117" s="45" t="s">
        <v>2620</v>
      </c>
      <c r="G117" s="45" t="str">
        <f t="shared" si="2"/>
        <v>Senne LAMMENS - Belgium</v>
      </c>
      <c r="H117" s="45" t="str">
        <f t="shared" si="3"/>
        <v>BEL12</v>
      </c>
      <c r="I117" s="45" t="s">
        <v>2632</v>
      </c>
    </row>
    <row r="118" spans="1:9" ht="15" customHeight="1" x14ac:dyDescent="0.35">
      <c r="A118" s="44">
        <v>13</v>
      </c>
      <c r="B118" s="44" t="s">
        <v>267</v>
      </c>
      <c r="C118" s="45" t="s">
        <v>482</v>
      </c>
      <c r="D118" s="45" t="s">
        <v>483</v>
      </c>
      <c r="E118" s="44" t="s">
        <v>461</v>
      </c>
      <c r="F118" s="45" t="s">
        <v>2620</v>
      </c>
      <c r="G118" s="45" t="str">
        <f t="shared" si="2"/>
        <v>Mike PENDERS - Belgium</v>
      </c>
      <c r="H118" s="45" t="str">
        <f t="shared" si="3"/>
        <v>BEL13</v>
      </c>
      <c r="I118" s="45" t="s">
        <v>2633</v>
      </c>
    </row>
    <row r="119" spans="1:9" ht="15" customHeight="1" x14ac:dyDescent="0.35">
      <c r="A119" s="44">
        <v>14</v>
      </c>
      <c r="B119" s="44" t="s">
        <v>283</v>
      </c>
      <c r="C119" s="45" t="s">
        <v>484</v>
      </c>
      <c r="D119" s="45" t="s">
        <v>485</v>
      </c>
      <c r="E119" s="44" t="s">
        <v>461</v>
      </c>
      <c r="F119" s="45" t="s">
        <v>2620</v>
      </c>
      <c r="G119" s="45" t="str">
        <f t="shared" si="2"/>
        <v>Dodi LUKEBAKIO - Belgium</v>
      </c>
      <c r="H119" s="45" t="str">
        <f t="shared" si="3"/>
        <v>BEL14</v>
      </c>
      <c r="I119" s="45" t="s">
        <v>2634</v>
      </c>
    </row>
    <row r="120" spans="1:9" ht="15" customHeight="1" x14ac:dyDescent="0.35">
      <c r="A120" s="44">
        <v>15</v>
      </c>
      <c r="B120" s="44" t="s">
        <v>271</v>
      </c>
      <c r="C120" s="45" t="s">
        <v>486</v>
      </c>
      <c r="D120" s="45" t="s">
        <v>487</v>
      </c>
      <c r="E120" s="44" t="s">
        <v>461</v>
      </c>
      <c r="F120" s="45" t="s">
        <v>2620</v>
      </c>
      <c r="G120" s="45" t="str">
        <f t="shared" si="2"/>
        <v>Thomas MEUNIER - Belgium</v>
      </c>
      <c r="H120" s="45" t="str">
        <f t="shared" si="3"/>
        <v>BEL15</v>
      </c>
      <c r="I120" s="45" t="s">
        <v>2635</v>
      </c>
    </row>
    <row r="121" spans="1:9" ht="15" customHeight="1" x14ac:dyDescent="0.35">
      <c r="A121" s="44">
        <v>16</v>
      </c>
      <c r="B121" s="44" t="s">
        <v>271</v>
      </c>
      <c r="C121" s="45" t="s">
        <v>488</v>
      </c>
      <c r="D121" s="45" t="s">
        <v>489</v>
      </c>
      <c r="E121" s="44" t="s">
        <v>461</v>
      </c>
      <c r="F121" s="45" t="s">
        <v>2620</v>
      </c>
      <c r="G121" s="45" t="str">
        <f t="shared" si="2"/>
        <v>Koni DE WINTER - Belgium</v>
      </c>
      <c r="H121" s="45" t="str">
        <f t="shared" si="3"/>
        <v>BEL16</v>
      </c>
      <c r="I121" s="45" t="s">
        <v>2636</v>
      </c>
    </row>
    <row r="122" spans="1:9" ht="15" customHeight="1" x14ac:dyDescent="0.35">
      <c r="A122" s="44">
        <v>17</v>
      </c>
      <c r="B122" s="44" t="s">
        <v>283</v>
      </c>
      <c r="C122" s="45" t="s">
        <v>490</v>
      </c>
      <c r="D122" s="45" t="s">
        <v>491</v>
      </c>
      <c r="E122" s="44" t="s">
        <v>461</v>
      </c>
      <c r="F122" s="45" t="s">
        <v>2620</v>
      </c>
      <c r="G122" s="45" t="str">
        <f t="shared" si="2"/>
        <v>Charles DE KETELAERE - Belgium</v>
      </c>
      <c r="H122" s="45" t="str">
        <f t="shared" si="3"/>
        <v>BEL17</v>
      </c>
      <c r="I122" s="45" t="s">
        <v>2637</v>
      </c>
    </row>
    <row r="123" spans="1:9" ht="15" customHeight="1" x14ac:dyDescent="0.35">
      <c r="A123" s="44">
        <v>18</v>
      </c>
      <c r="B123" s="44" t="s">
        <v>271</v>
      </c>
      <c r="C123" s="45" t="s">
        <v>492</v>
      </c>
      <c r="D123" s="45" t="s">
        <v>493</v>
      </c>
      <c r="E123" s="44" t="s">
        <v>461</v>
      </c>
      <c r="F123" s="45" t="s">
        <v>2620</v>
      </c>
      <c r="G123" s="45" t="str">
        <f t="shared" si="2"/>
        <v>Joaquin SEYS - Belgium</v>
      </c>
      <c r="H123" s="45" t="str">
        <f t="shared" si="3"/>
        <v>BEL18</v>
      </c>
      <c r="I123" s="45" t="s">
        <v>2638</v>
      </c>
    </row>
    <row r="124" spans="1:9" ht="15" customHeight="1" x14ac:dyDescent="0.35">
      <c r="A124" s="44">
        <v>19</v>
      </c>
      <c r="B124" s="44" t="s">
        <v>280</v>
      </c>
      <c r="C124" s="45" t="s">
        <v>494</v>
      </c>
      <c r="D124" s="45" t="s">
        <v>495</v>
      </c>
      <c r="E124" s="44" t="s">
        <v>461</v>
      </c>
      <c r="F124" s="45" t="s">
        <v>2620</v>
      </c>
      <c r="G124" s="45" t="str">
        <f t="shared" si="2"/>
        <v>Diego MOREIRA - Belgium</v>
      </c>
      <c r="H124" s="45" t="str">
        <f t="shared" si="3"/>
        <v>BEL19</v>
      </c>
      <c r="I124" s="45" t="s">
        <v>2639</v>
      </c>
    </row>
    <row r="125" spans="1:9" ht="15" customHeight="1" x14ac:dyDescent="0.35">
      <c r="A125" s="44">
        <v>20</v>
      </c>
      <c r="B125" s="44" t="s">
        <v>280</v>
      </c>
      <c r="C125" s="45" t="s">
        <v>496</v>
      </c>
      <c r="D125" s="45" t="s">
        <v>497</v>
      </c>
      <c r="E125" s="44" t="s">
        <v>461</v>
      </c>
      <c r="F125" s="45" t="s">
        <v>2620</v>
      </c>
      <c r="G125" s="45" t="str">
        <f t="shared" si="2"/>
        <v>Hans VANAKEN - Belgium</v>
      </c>
      <c r="H125" s="45" t="str">
        <f t="shared" si="3"/>
        <v>BEL20</v>
      </c>
      <c r="I125" s="45" t="s">
        <v>2640</v>
      </c>
    </row>
    <row r="126" spans="1:9" ht="15" customHeight="1" x14ac:dyDescent="0.35">
      <c r="A126" s="44">
        <v>21</v>
      </c>
      <c r="B126" s="44" t="s">
        <v>271</v>
      </c>
      <c r="C126" s="45" t="s">
        <v>498</v>
      </c>
      <c r="D126" s="45" t="s">
        <v>499</v>
      </c>
      <c r="E126" s="44" t="s">
        <v>461</v>
      </c>
      <c r="F126" s="45" t="s">
        <v>2620</v>
      </c>
      <c r="G126" s="45" t="str">
        <f t="shared" si="2"/>
        <v>Timothy CASTAGNE - Belgium</v>
      </c>
      <c r="H126" s="45" t="str">
        <f t="shared" si="3"/>
        <v>BEL21</v>
      </c>
      <c r="I126" s="45" t="s">
        <v>2641</v>
      </c>
    </row>
    <row r="127" spans="1:9" ht="15" customHeight="1" x14ac:dyDescent="0.35">
      <c r="A127" s="44">
        <v>22</v>
      </c>
      <c r="B127" s="44" t="s">
        <v>280</v>
      </c>
      <c r="C127" s="45" t="s">
        <v>358</v>
      </c>
      <c r="D127" s="45" t="s">
        <v>500</v>
      </c>
      <c r="E127" s="44" t="s">
        <v>461</v>
      </c>
      <c r="F127" s="45" t="s">
        <v>2620</v>
      </c>
      <c r="G127" s="45" t="str">
        <f t="shared" si="2"/>
        <v>Alexis SAELEMAEKERS - Belgium</v>
      </c>
      <c r="H127" s="45" t="str">
        <f t="shared" si="3"/>
        <v>BEL22</v>
      </c>
      <c r="I127" s="45" t="s">
        <v>2642</v>
      </c>
    </row>
    <row r="128" spans="1:9" ht="15" customHeight="1" x14ac:dyDescent="0.35">
      <c r="A128" s="44">
        <v>23</v>
      </c>
      <c r="B128" s="44" t="s">
        <v>280</v>
      </c>
      <c r="C128" s="45" t="s">
        <v>326</v>
      </c>
      <c r="D128" s="45" t="s">
        <v>501</v>
      </c>
      <c r="E128" s="44" t="s">
        <v>461</v>
      </c>
      <c r="F128" s="45" t="s">
        <v>2620</v>
      </c>
      <c r="G128" s="45" t="str">
        <f t="shared" si="2"/>
        <v>Nicolas RASKIN - Belgium</v>
      </c>
      <c r="H128" s="45" t="str">
        <f t="shared" si="3"/>
        <v>BEL23</v>
      </c>
      <c r="I128" s="45" t="s">
        <v>2643</v>
      </c>
    </row>
    <row r="129" spans="1:9" ht="15" customHeight="1" x14ac:dyDescent="0.35">
      <c r="A129" s="44">
        <v>24</v>
      </c>
      <c r="B129" s="44" t="s">
        <v>280</v>
      </c>
      <c r="C129" s="45" t="s">
        <v>502</v>
      </c>
      <c r="D129" s="45" t="s">
        <v>503</v>
      </c>
      <c r="E129" s="44" t="s">
        <v>461</v>
      </c>
      <c r="F129" s="45" t="s">
        <v>2620</v>
      </c>
      <c r="G129" s="45" t="str">
        <f t="shared" si="2"/>
        <v>Amadou ONANA - Belgium</v>
      </c>
      <c r="H129" s="45" t="str">
        <f t="shared" si="3"/>
        <v>BEL24</v>
      </c>
      <c r="I129" s="45" t="s">
        <v>2644</v>
      </c>
    </row>
    <row r="130" spans="1:9" ht="15" customHeight="1" x14ac:dyDescent="0.35">
      <c r="A130" s="44">
        <v>25</v>
      </c>
      <c r="B130" s="44" t="s">
        <v>271</v>
      </c>
      <c r="C130" s="45" t="s">
        <v>504</v>
      </c>
      <c r="D130" s="45" t="s">
        <v>505</v>
      </c>
      <c r="E130" s="44" t="s">
        <v>461</v>
      </c>
      <c r="F130" s="45" t="s">
        <v>2620</v>
      </c>
      <c r="G130" s="45" t="str">
        <f t="shared" si="2"/>
        <v>Nathan NGOY - Belgium</v>
      </c>
      <c r="H130" s="45" t="str">
        <f t="shared" si="3"/>
        <v>BEL25</v>
      </c>
      <c r="I130" s="45" t="s">
        <v>2645</v>
      </c>
    </row>
    <row r="131" spans="1:9" ht="15" customHeight="1" x14ac:dyDescent="0.35">
      <c r="A131" s="44">
        <v>26</v>
      </c>
      <c r="B131" s="44" t="s">
        <v>283</v>
      </c>
      <c r="C131" s="45" t="s">
        <v>506</v>
      </c>
      <c r="D131" s="45" t="s">
        <v>507</v>
      </c>
      <c r="E131" s="44" t="s">
        <v>461</v>
      </c>
      <c r="F131" s="45" t="s">
        <v>2620</v>
      </c>
      <c r="G131" s="45" t="str">
        <f t="shared" ref="G131:G194" si="4">_xlfn.CONCAT(C131, " ",D131, " - ",F131)</f>
        <v>Matias FERNANDEZ-PARDO - Belgium</v>
      </c>
      <c r="H131" s="45" t="str">
        <f t="shared" ref="H131:H194" si="5">_xlfn.CONCAT(E131,A131)</f>
        <v>BEL26</v>
      </c>
      <c r="I131" s="45" t="s">
        <v>2646</v>
      </c>
    </row>
    <row r="132" spans="1:9" ht="15" customHeight="1" x14ac:dyDescent="0.35">
      <c r="A132" s="46">
        <v>1</v>
      </c>
      <c r="B132" s="46" t="s">
        <v>267</v>
      </c>
      <c r="C132" s="47" t="s">
        <v>508</v>
      </c>
      <c r="D132" s="47" t="s">
        <v>509</v>
      </c>
      <c r="E132" s="46" t="s">
        <v>510</v>
      </c>
      <c r="F132" s="47" t="s">
        <v>2647</v>
      </c>
      <c r="G132" s="47" t="str">
        <f t="shared" si="4"/>
        <v>Nikola VASILJ - Bosnia and Herzegovina</v>
      </c>
      <c r="H132" s="47" t="str">
        <f t="shared" si="5"/>
        <v>BIH1</v>
      </c>
      <c r="I132" s="47" t="s">
        <v>2648</v>
      </c>
    </row>
    <row r="133" spans="1:9" ht="15" customHeight="1" x14ac:dyDescent="0.35">
      <c r="A133" s="46">
        <v>2</v>
      </c>
      <c r="B133" s="46" t="s">
        <v>271</v>
      </c>
      <c r="C133" s="47" t="s">
        <v>511</v>
      </c>
      <c r="D133" s="47" t="s">
        <v>512</v>
      </c>
      <c r="E133" s="46" t="s">
        <v>510</v>
      </c>
      <c r="F133" s="47" t="s">
        <v>2647</v>
      </c>
      <c r="G133" s="47" t="str">
        <f t="shared" si="4"/>
        <v>Nihad MUJAKIC - Bosnia and Herzegovina</v>
      </c>
      <c r="H133" s="47" t="str">
        <f t="shared" si="5"/>
        <v>BIH2</v>
      </c>
      <c r="I133" s="47" t="s">
        <v>2649</v>
      </c>
    </row>
    <row r="134" spans="1:9" ht="15" customHeight="1" x14ac:dyDescent="0.35">
      <c r="A134" s="46">
        <v>3</v>
      </c>
      <c r="B134" s="46" t="s">
        <v>271</v>
      </c>
      <c r="C134" s="47" t="s">
        <v>513</v>
      </c>
      <c r="D134" s="47" t="s">
        <v>514</v>
      </c>
      <c r="E134" s="46" t="s">
        <v>510</v>
      </c>
      <c r="F134" s="47" t="s">
        <v>2647</v>
      </c>
      <c r="G134" s="47" t="str">
        <f t="shared" si="4"/>
        <v>Dennis HADZIKADUNIC - Bosnia and Herzegovina</v>
      </c>
      <c r="H134" s="47" t="str">
        <f t="shared" si="5"/>
        <v>BIH3</v>
      </c>
      <c r="I134" s="47" t="s">
        <v>2650</v>
      </c>
    </row>
    <row r="135" spans="1:9" ht="15" customHeight="1" x14ac:dyDescent="0.35">
      <c r="A135" s="46">
        <v>4</v>
      </c>
      <c r="B135" s="46" t="s">
        <v>271</v>
      </c>
      <c r="C135" s="47" t="s">
        <v>515</v>
      </c>
      <c r="D135" s="47" t="s">
        <v>516</v>
      </c>
      <c r="E135" s="46" t="s">
        <v>510</v>
      </c>
      <c r="F135" s="47" t="s">
        <v>2647</v>
      </c>
      <c r="G135" s="47" t="str">
        <f t="shared" si="4"/>
        <v>Tarik MUHAREMOVIC - Bosnia and Herzegovina</v>
      </c>
      <c r="H135" s="47" t="str">
        <f t="shared" si="5"/>
        <v>BIH4</v>
      </c>
      <c r="I135" s="47" t="s">
        <v>2651</v>
      </c>
    </row>
    <row r="136" spans="1:9" ht="15" customHeight="1" x14ac:dyDescent="0.35">
      <c r="A136" s="46">
        <v>5</v>
      </c>
      <c r="B136" s="46" t="s">
        <v>271</v>
      </c>
      <c r="C136" s="47" t="s">
        <v>517</v>
      </c>
      <c r="D136" s="47" t="s">
        <v>518</v>
      </c>
      <c r="E136" s="46" t="s">
        <v>510</v>
      </c>
      <c r="F136" s="47" t="s">
        <v>2647</v>
      </c>
      <c r="G136" s="47" t="str">
        <f t="shared" si="4"/>
        <v>Sead KOLASINAC - Bosnia and Herzegovina</v>
      </c>
      <c r="H136" s="47" t="str">
        <f t="shared" si="5"/>
        <v>BIH5</v>
      </c>
      <c r="I136" s="47" t="s">
        <v>2652</v>
      </c>
    </row>
    <row r="137" spans="1:9" ht="15" customHeight="1" x14ac:dyDescent="0.35">
      <c r="A137" s="46">
        <v>6</v>
      </c>
      <c r="B137" s="46" t="s">
        <v>280</v>
      </c>
      <c r="C137" s="47" t="s">
        <v>519</v>
      </c>
      <c r="D137" s="47" t="s">
        <v>520</v>
      </c>
      <c r="E137" s="46" t="s">
        <v>510</v>
      </c>
      <c r="F137" s="47" t="s">
        <v>2647</v>
      </c>
      <c r="G137" s="47" t="str">
        <f t="shared" si="4"/>
        <v>Benjamin TAHIROVIC - Bosnia and Herzegovina</v>
      </c>
      <c r="H137" s="47" t="str">
        <f t="shared" si="5"/>
        <v>BIH6</v>
      </c>
      <c r="I137" s="47" t="s">
        <v>2653</v>
      </c>
    </row>
    <row r="138" spans="1:9" ht="15" customHeight="1" x14ac:dyDescent="0.35">
      <c r="A138" s="46">
        <v>7</v>
      </c>
      <c r="B138" s="46" t="s">
        <v>271</v>
      </c>
      <c r="C138" s="47" t="s">
        <v>521</v>
      </c>
      <c r="D138" s="47" t="s">
        <v>522</v>
      </c>
      <c r="E138" s="46" t="s">
        <v>510</v>
      </c>
      <c r="F138" s="47" t="s">
        <v>2647</v>
      </c>
      <c r="G138" s="47" t="str">
        <f t="shared" si="4"/>
        <v>Amar DEDIC - Bosnia and Herzegovina</v>
      </c>
      <c r="H138" s="47" t="str">
        <f t="shared" si="5"/>
        <v>BIH7</v>
      </c>
      <c r="I138" s="47" t="s">
        <v>2654</v>
      </c>
    </row>
    <row r="139" spans="1:9" ht="15" customHeight="1" x14ac:dyDescent="0.35">
      <c r="A139" s="46">
        <v>8</v>
      </c>
      <c r="B139" s="46" t="s">
        <v>280</v>
      </c>
      <c r="C139" s="47" t="s">
        <v>523</v>
      </c>
      <c r="D139" s="47" t="s">
        <v>524</v>
      </c>
      <c r="E139" s="46" t="s">
        <v>510</v>
      </c>
      <c r="F139" s="47" t="s">
        <v>2647</v>
      </c>
      <c r="G139" s="47" t="str">
        <f t="shared" si="4"/>
        <v>Armin GIGOVIC - Bosnia and Herzegovina</v>
      </c>
      <c r="H139" s="47" t="str">
        <f t="shared" si="5"/>
        <v>BIH8</v>
      </c>
      <c r="I139" s="47" t="s">
        <v>2655</v>
      </c>
    </row>
    <row r="140" spans="1:9" ht="15" customHeight="1" x14ac:dyDescent="0.35">
      <c r="A140" s="46">
        <v>9</v>
      </c>
      <c r="B140" s="46" t="s">
        <v>283</v>
      </c>
      <c r="C140" s="47" t="s">
        <v>525</v>
      </c>
      <c r="D140" s="47" t="s">
        <v>526</v>
      </c>
      <c r="E140" s="46" t="s">
        <v>510</v>
      </c>
      <c r="F140" s="47" t="s">
        <v>2647</v>
      </c>
      <c r="G140" s="47" t="str">
        <f t="shared" si="4"/>
        <v>Samed BAZDAR - Bosnia and Herzegovina</v>
      </c>
      <c r="H140" s="47" t="str">
        <f t="shared" si="5"/>
        <v>BIH9</v>
      </c>
      <c r="I140" s="47" t="s">
        <v>2656</v>
      </c>
    </row>
    <row r="141" spans="1:9" ht="15" customHeight="1" x14ac:dyDescent="0.35">
      <c r="A141" s="46">
        <v>10</v>
      </c>
      <c r="B141" s="46" t="s">
        <v>283</v>
      </c>
      <c r="C141" s="47" t="s">
        <v>527</v>
      </c>
      <c r="D141" s="47" t="s">
        <v>528</v>
      </c>
      <c r="E141" s="46" t="s">
        <v>510</v>
      </c>
      <c r="F141" s="47" t="s">
        <v>2647</v>
      </c>
      <c r="G141" s="47" t="str">
        <f t="shared" si="4"/>
        <v>Ermedin DEMIROVIC - Bosnia and Herzegovina</v>
      </c>
      <c r="H141" s="47" t="str">
        <f t="shared" si="5"/>
        <v>BIH10</v>
      </c>
      <c r="I141" s="47" t="s">
        <v>2657</v>
      </c>
    </row>
    <row r="142" spans="1:9" ht="15" customHeight="1" x14ac:dyDescent="0.35">
      <c r="A142" s="46">
        <v>11</v>
      </c>
      <c r="B142" s="46" t="s">
        <v>283</v>
      </c>
      <c r="C142" s="47" t="s">
        <v>529</v>
      </c>
      <c r="D142" s="47" t="s">
        <v>530</v>
      </c>
      <c r="E142" s="46" t="s">
        <v>510</v>
      </c>
      <c r="F142" s="47" t="s">
        <v>2647</v>
      </c>
      <c r="G142" s="47" t="str">
        <f t="shared" si="4"/>
        <v>Edin DZEKO - Bosnia and Herzegovina</v>
      </c>
      <c r="H142" s="47" t="str">
        <f t="shared" si="5"/>
        <v>BIH11</v>
      </c>
      <c r="I142" s="47" t="s">
        <v>2658</v>
      </c>
    </row>
    <row r="143" spans="1:9" ht="15" customHeight="1" x14ac:dyDescent="0.35">
      <c r="A143" s="46">
        <v>12</v>
      </c>
      <c r="B143" s="46" t="s">
        <v>267</v>
      </c>
      <c r="C143" s="47" t="s">
        <v>531</v>
      </c>
      <c r="D143" s="47" t="s">
        <v>532</v>
      </c>
      <c r="E143" s="46" t="s">
        <v>510</v>
      </c>
      <c r="F143" s="47" t="s">
        <v>2647</v>
      </c>
      <c r="G143" s="47" t="str">
        <f t="shared" si="4"/>
        <v>Mladen JURKAS - Bosnia and Herzegovina</v>
      </c>
      <c r="H143" s="47" t="str">
        <f t="shared" si="5"/>
        <v>BIH12</v>
      </c>
      <c r="I143" s="47" t="s">
        <v>2659</v>
      </c>
    </row>
    <row r="144" spans="1:9" ht="15" customHeight="1" x14ac:dyDescent="0.35">
      <c r="A144" s="46">
        <v>13</v>
      </c>
      <c r="B144" s="46" t="s">
        <v>280</v>
      </c>
      <c r="C144" s="47" t="s">
        <v>533</v>
      </c>
      <c r="D144" s="47" t="s">
        <v>534</v>
      </c>
      <c r="E144" s="46" t="s">
        <v>510</v>
      </c>
      <c r="F144" s="47" t="s">
        <v>2647</v>
      </c>
      <c r="G144" s="47" t="str">
        <f t="shared" si="4"/>
        <v>Ivan BASIC - Bosnia and Herzegovina</v>
      </c>
      <c r="H144" s="47" t="str">
        <f t="shared" si="5"/>
        <v>BIH13</v>
      </c>
      <c r="I144" s="47" t="s">
        <v>2660</v>
      </c>
    </row>
    <row r="145" spans="1:9" ht="15" customHeight="1" x14ac:dyDescent="0.35">
      <c r="A145" s="46">
        <v>14</v>
      </c>
      <c r="B145" s="46" t="s">
        <v>280</v>
      </c>
      <c r="C145" s="47" t="s">
        <v>533</v>
      </c>
      <c r="D145" s="47" t="s">
        <v>535</v>
      </c>
      <c r="E145" s="46" t="s">
        <v>510</v>
      </c>
      <c r="F145" s="47" t="s">
        <v>2647</v>
      </c>
      <c r="G145" s="47" t="str">
        <f t="shared" si="4"/>
        <v>Ivan SUNJIC - Bosnia and Herzegovina</v>
      </c>
      <c r="H145" s="47" t="str">
        <f t="shared" si="5"/>
        <v>BIH14</v>
      </c>
      <c r="I145" s="47" t="s">
        <v>2661</v>
      </c>
    </row>
    <row r="146" spans="1:9" ht="15" customHeight="1" x14ac:dyDescent="0.35">
      <c r="A146" s="46">
        <v>15</v>
      </c>
      <c r="B146" s="46" t="s">
        <v>280</v>
      </c>
      <c r="C146" s="47" t="s">
        <v>521</v>
      </c>
      <c r="D146" s="47" t="s">
        <v>536</v>
      </c>
      <c r="E146" s="46" t="s">
        <v>510</v>
      </c>
      <c r="F146" s="47" t="s">
        <v>2647</v>
      </c>
      <c r="G146" s="47" t="str">
        <f t="shared" si="4"/>
        <v>Amar MEMIC - Bosnia and Herzegovina</v>
      </c>
      <c r="H146" s="47" t="str">
        <f t="shared" si="5"/>
        <v>BIH15</v>
      </c>
      <c r="I146" s="47" t="s">
        <v>2662</v>
      </c>
    </row>
    <row r="147" spans="1:9" ht="15" customHeight="1" x14ac:dyDescent="0.35">
      <c r="A147" s="46">
        <v>16</v>
      </c>
      <c r="B147" s="46" t="s">
        <v>280</v>
      </c>
      <c r="C147" s="47" t="s">
        <v>537</v>
      </c>
      <c r="D147" s="47" t="s">
        <v>538</v>
      </c>
      <c r="E147" s="46" t="s">
        <v>510</v>
      </c>
      <c r="F147" s="47" t="s">
        <v>2647</v>
      </c>
      <c r="G147" s="47" t="str">
        <f t="shared" si="4"/>
        <v>Amir HADZIAHMETOVIC - Bosnia and Herzegovina</v>
      </c>
      <c r="H147" s="47" t="str">
        <f t="shared" si="5"/>
        <v>BIH16</v>
      </c>
      <c r="I147" s="47" t="s">
        <v>2663</v>
      </c>
    </row>
    <row r="148" spans="1:9" ht="15" customHeight="1" x14ac:dyDescent="0.35">
      <c r="A148" s="46">
        <v>17</v>
      </c>
      <c r="B148" s="46" t="s">
        <v>280</v>
      </c>
      <c r="C148" s="47" t="s">
        <v>539</v>
      </c>
      <c r="D148" s="47" t="s">
        <v>540</v>
      </c>
      <c r="E148" s="46" t="s">
        <v>510</v>
      </c>
      <c r="F148" s="47" t="s">
        <v>2647</v>
      </c>
      <c r="G148" s="47" t="str">
        <f t="shared" si="4"/>
        <v>Dzenis BURNIC - Bosnia and Herzegovina</v>
      </c>
      <c r="H148" s="47" t="str">
        <f t="shared" si="5"/>
        <v>BIH17</v>
      </c>
      <c r="I148" s="47" t="s">
        <v>2664</v>
      </c>
    </row>
    <row r="149" spans="1:9" ht="15" customHeight="1" x14ac:dyDescent="0.35">
      <c r="A149" s="46">
        <v>18</v>
      </c>
      <c r="B149" s="46" t="s">
        <v>271</v>
      </c>
      <c r="C149" s="47" t="s">
        <v>508</v>
      </c>
      <c r="D149" s="47" t="s">
        <v>541</v>
      </c>
      <c r="E149" s="46" t="s">
        <v>510</v>
      </c>
      <c r="F149" s="47" t="s">
        <v>2647</v>
      </c>
      <c r="G149" s="47" t="str">
        <f t="shared" si="4"/>
        <v>Nikola KATIC - Bosnia and Herzegovina</v>
      </c>
      <c r="H149" s="47" t="str">
        <f t="shared" si="5"/>
        <v>BIH18</v>
      </c>
      <c r="I149" s="47" t="s">
        <v>2665</v>
      </c>
    </row>
    <row r="150" spans="1:9" ht="15" customHeight="1" x14ac:dyDescent="0.35">
      <c r="A150" s="46">
        <v>19</v>
      </c>
      <c r="B150" s="46" t="s">
        <v>283</v>
      </c>
      <c r="C150" s="47" t="s">
        <v>542</v>
      </c>
      <c r="D150" s="47" t="s">
        <v>543</v>
      </c>
      <c r="E150" s="46" t="s">
        <v>510</v>
      </c>
      <c r="F150" s="47" t="s">
        <v>2647</v>
      </c>
      <c r="G150" s="47" t="str">
        <f t="shared" si="4"/>
        <v>Kerim ALAJBEGOVIC - Bosnia and Herzegovina</v>
      </c>
      <c r="H150" s="47" t="str">
        <f t="shared" si="5"/>
        <v>BIH19</v>
      </c>
      <c r="I150" s="47" t="s">
        <v>2666</v>
      </c>
    </row>
    <row r="151" spans="1:9" ht="15" customHeight="1" x14ac:dyDescent="0.35">
      <c r="A151" s="46">
        <v>20</v>
      </c>
      <c r="B151" s="46" t="s">
        <v>283</v>
      </c>
      <c r="C151" s="47" t="s">
        <v>544</v>
      </c>
      <c r="D151" s="47" t="s">
        <v>545</v>
      </c>
      <c r="E151" s="46" t="s">
        <v>510</v>
      </c>
      <c r="F151" s="47" t="s">
        <v>2647</v>
      </c>
      <c r="G151" s="47" t="str">
        <f t="shared" si="4"/>
        <v>Esmir BAJRAKTAREVIC - Bosnia and Herzegovina</v>
      </c>
      <c r="H151" s="47" t="str">
        <f t="shared" si="5"/>
        <v>BIH20</v>
      </c>
      <c r="I151" s="47" t="s">
        <v>2667</v>
      </c>
    </row>
    <row r="152" spans="1:9" ht="15" customHeight="1" x14ac:dyDescent="0.35">
      <c r="A152" s="46">
        <v>21</v>
      </c>
      <c r="B152" s="46" t="s">
        <v>271</v>
      </c>
      <c r="C152" s="47" t="s">
        <v>546</v>
      </c>
      <c r="D152" s="47" t="s">
        <v>547</v>
      </c>
      <c r="E152" s="46" t="s">
        <v>510</v>
      </c>
      <c r="F152" s="47" t="s">
        <v>2647</v>
      </c>
      <c r="G152" s="47" t="str">
        <f t="shared" si="4"/>
        <v>Stjepan RADELJIC - Bosnia and Herzegovina</v>
      </c>
      <c r="H152" s="47" t="str">
        <f t="shared" si="5"/>
        <v>BIH21</v>
      </c>
      <c r="I152" s="47" t="s">
        <v>2668</v>
      </c>
    </row>
    <row r="153" spans="1:9" ht="15" customHeight="1" x14ac:dyDescent="0.35">
      <c r="A153" s="46">
        <v>22</v>
      </c>
      <c r="B153" s="46" t="s">
        <v>267</v>
      </c>
      <c r="C153" s="47" t="s">
        <v>548</v>
      </c>
      <c r="D153" s="47" t="s">
        <v>549</v>
      </c>
      <c r="E153" s="46" t="s">
        <v>510</v>
      </c>
      <c r="F153" s="47" t="s">
        <v>2647</v>
      </c>
      <c r="G153" s="47" t="str">
        <f t="shared" si="4"/>
        <v>Martin ZLOMISLIC - Bosnia and Herzegovina</v>
      </c>
      <c r="H153" s="47" t="str">
        <f t="shared" si="5"/>
        <v>BIH22</v>
      </c>
      <c r="I153" s="47" t="s">
        <v>2669</v>
      </c>
    </row>
    <row r="154" spans="1:9" ht="15" customHeight="1" x14ac:dyDescent="0.35">
      <c r="A154" s="46">
        <v>23</v>
      </c>
      <c r="B154" s="46" t="s">
        <v>283</v>
      </c>
      <c r="C154" s="47" t="s">
        <v>550</v>
      </c>
      <c r="D154" s="47" t="s">
        <v>551</v>
      </c>
      <c r="E154" s="46" t="s">
        <v>510</v>
      </c>
      <c r="F154" s="47" t="s">
        <v>2647</v>
      </c>
      <c r="G154" s="47" t="str">
        <f t="shared" si="4"/>
        <v>Haris TABAKOVIC - Bosnia and Herzegovina</v>
      </c>
      <c r="H154" s="47" t="str">
        <f t="shared" si="5"/>
        <v>BIH23</v>
      </c>
      <c r="I154" s="47" t="s">
        <v>2670</v>
      </c>
    </row>
    <row r="155" spans="1:9" ht="15" customHeight="1" x14ac:dyDescent="0.35">
      <c r="A155" s="46">
        <v>24</v>
      </c>
      <c r="B155" s="46" t="s">
        <v>271</v>
      </c>
      <c r="C155" s="47" t="s">
        <v>2489</v>
      </c>
      <c r="D155" s="47" t="s">
        <v>2490</v>
      </c>
      <c r="E155" s="46" t="s">
        <v>510</v>
      </c>
      <c r="F155" s="47" t="s">
        <v>2647</v>
      </c>
      <c r="G155" s="47" t="str">
        <f t="shared" si="4"/>
        <v>Arjan MALIC - Bosnia and Herzegovina</v>
      </c>
      <c r="H155" s="47" t="str">
        <f t="shared" si="5"/>
        <v>BIH24</v>
      </c>
      <c r="I155" s="47" t="s">
        <v>3797</v>
      </c>
    </row>
    <row r="156" spans="1:9" ht="15" customHeight="1" x14ac:dyDescent="0.35">
      <c r="A156" s="46">
        <v>25</v>
      </c>
      <c r="B156" s="46" t="s">
        <v>283</v>
      </c>
      <c r="C156" s="47" t="s">
        <v>553</v>
      </c>
      <c r="D156" s="47" t="s">
        <v>554</v>
      </c>
      <c r="E156" s="46" t="s">
        <v>510</v>
      </c>
      <c r="F156" s="47" t="s">
        <v>2647</v>
      </c>
      <c r="G156" s="47" t="str">
        <f t="shared" si="4"/>
        <v>Jovo LUKIC - Bosnia and Herzegovina</v>
      </c>
      <c r="H156" s="47" t="str">
        <f t="shared" si="5"/>
        <v>BIH25</v>
      </c>
      <c r="I156" s="47" t="s">
        <v>2671</v>
      </c>
    </row>
    <row r="157" spans="1:9" ht="15" customHeight="1" x14ac:dyDescent="0.35">
      <c r="A157" s="46">
        <v>26</v>
      </c>
      <c r="B157" s="46" t="s">
        <v>280</v>
      </c>
      <c r="C157" s="47" t="s">
        <v>555</v>
      </c>
      <c r="D157" s="47" t="s">
        <v>556</v>
      </c>
      <c r="E157" s="46" t="s">
        <v>510</v>
      </c>
      <c r="F157" s="47" t="s">
        <v>2647</v>
      </c>
      <c r="G157" s="47" t="str">
        <f t="shared" si="4"/>
        <v>Ermin MAHMIC - Bosnia and Herzegovina</v>
      </c>
      <c r="H157" s="47" t="str">
        <f t="shared" si="5"/>
        <v>BIH26</v>
      </c>
      <c r="I157" s="47" t="s">
        <v>2672</v>
      </c>
    </row>
    <row r="158" spans="1:9" ht="15" customHeight="1" x14ac:dyDescent="0.35">
      <c r="A158" s="48">
        <v>1</v>
      </c>
      <c r="B158" s="48" t="s">
        <v>267</v>
      </c>
      <c r="C158" s="49" t="s">
        <v>557</v>
      </c>
      <c r="D158" s="49" t="s">
        <v>558</v>
      </c>
      <c r="E158" s="48" t="s">
        <v>559</v>
      </c>
      <c r="F158" s="49" t="s">
        <v>2673</v>
      </c>
      <c r="G158" s="49" t="str">
        <f t="shared" si="4"/>
        <v>Alisson BECKER - Brazil</v>
      </c>
      <c r="H158" s="49" t="str">
        <f t="shared" si="5"/>
        <v>BRA1</v>
      </c>
      <c r="I158" s="49" t="s">
        <v>2674</v>
      </c>
    </row>
    <row r="159" spans="1:9" ht="15" customHeight="1" x14ac:dyDescent="0.35">
      <c r="A159" s="48">
        <v>2</v>
      </c>
      <c r="B159" s="48" t="s">
        <v>271</v>
      </c>
      <c r="C159" s="49" t="s">
        <v>599</v>
      </c>
      <c r="D159" s="49" t="s">
        <v>600</v>
      </c>
      <c r="E159" s="48" t="s">
        <v>559</v>
      </c>
      <c r="F159" s="49" t="s">
        <v>2673</v>
      </c>
      <c r="G159" s="49" t="str">
        <f t="shared" si="4"/>
        <v>Ederson EDERSON - Brazil</v>
      </c>
      <c r="H159" s="49" t="str">
        <f t="shared" si="5"/>
        <v>BRA2</v>
      </c>
      <c r="I159" s="49" t="s">
        <v>2675</v>
      </c>
    </row>
    <row r="160" spans="1:9" ht="15" customHeight="1" x14ac:dyDescent="0.35">
      <c r="A160" s="48">
        <v>3</v>
      </c>
      <c r="B160" s="48" t="s">
        <v>271</v>
      </c>
      <c r="C160" s="49" t="s">
        <v>560</v>
      </c>
      <c r="D160" s="49" t="s">
        <v>2676</v>
      </c>
      <c r="E160" s="48" t="s">
        <v>559</v>
      </c>
      <c r="F160" s="49" t="s">
        <v>2673</v>
      </c>
      <c r="G160" s="49" t="str">
        <f t="shared" si="4"/>
        <v>Gabriel MAGALHAES - Brazil</v>
      </c>
      <c r="H160" s="49" t="str">
        <f t="shared" si="5"/>
        <v>BRA3</v>
      </c>
      <c r="I160" s="49" t="s">
        <v>2677</v>
      </c>
    </row>
    <row r="161" spans="1:9" ht="15" customHeight="1" x14ac:dyDescent="0.35">
      <c r="A161" s="48">
        <v>4</v>
      </c>
      <c r="B161" s="48" t="s">
        <v>271</v>
      </c>
      <c r="C161" s="49" t="s">
        <v>561</v>
      </c>
      <c r="D161" s="49" t="s">
        <v>562</v>
      </c>
      <c r="E161" s="48" t="s">
        <v>559</v>
      </c>
      <c r="F161" s="49" t="s">
        <v>2673</v>
      </c>
      <c r="G161" s="49" t="str">
        <f t="shared" si="4"/>
        <v>Marquinhos MARQUINHOS - Brazil</v>
      </c>
      <c r="H161" s="49" t="str">
        <f t="shared" si="5"/>
        <v>BRA4</v>
      </c>
      <c r="I161" s="49" t="s">
        <v>2678</v>
      </c>
    </row>
    <row r="162" spans="1:9" ht="15" customHeight="1" x14ac:dyDescent="0.35">
      <c r="A162" s="48">
        <v>5</v>
      </c>
      <c r="B162" s="48" t="s">
        <v>280</v>
      </c>
      <c r="C162" s="49" t="s">
        <v>563</v>
      </c>
      <c r="D162" s="49" t="s">
        <v>564</v>
      </c>
      <c r="E162" s="48" t="s">
        <v>559</v>
      </c>
      <c r="F162" s="49" t="s">
        <v>2673</v>
      </c>
      <c r="G162" s="49" t="str">
        <f t="shared" si="4"/>
        <v>Casemiro CASEMIRO - Brazil</v>
      </c>
      <c r="H162" s="49" t="str">
        <f t="shared" si="5"/>
        <v>BRA5</v>
      </c>
      <c r="I162" s="49" t="s">
        <v>2679</v>
      </c>
    </row>
    <row r="163" spans="1:9" ht="15" customHeight="1" x14ac:dyDescent="0.35">
      <c r="A163" s="48">
        <v>6</v>
      </c>
      <c r="B163" s="48" t="s">
        <v>271</v>
      </c>
      <c r="C163" s="49" t="s">
        <v>565</v>
      </c>
      <c r="D163" s="49" t="s">
        <v>566</v>
      </c>
      <c r="E163" s="48" t="s">
        <v>559</v>
      </c>
      <c r="F163" s="49" t="s">
        <v>2673</v>
      </c>
      <c r="G163" s="49" t="str">
        <f t="shared" si="4"/>
        <v>Alex Sandro ALEX SANDRO - Brazil</v>
      </c>
      <c r="H163" s="49" t="str">
        <f t="shared" si="5"/>
        <v>BRA6</v>
      </c>
      <c r="I163" s="49" t="s">
        <v>2680</v>
      </c>
    </row>
    <row r="164" spans="1:9" ht="15" customHeight="1" x14ac:dyDescent="0.35">
      <c r="A164" s="48">
        <v>7</v>
      </c>
      <c r="B164" s="48" t="s">
        <v>283</v>
      </c>
      <c r="C164" s="49" t="s">
        <v>567</v>
      </c>
      <c r="D164" s="49" t="s">
        <v>568</v>
      </c>
      <c r="E164" s="48" t="s">
        <v>559</v>
      </c>
      <c r="F164" s="49" t="s">
        <v>2673</v>
      </c>
      <c r="G164" s="49" t="str">
        <f t="shared" si="4"/>
        <v>Vinicius Junior VINICIUS JUNIOR - Brazil</v>
      </c>
      <c r="H164" s="49" t="str">
        <f t="shared" si="5"/>
        <v>BRA7</v>
      </c>
      <c r="I164" s="49" t="s">
        <v>2681</v>
      </c>
    </row>
    <row r="165" spans="1:9" ht="15" customHeight="1" x14ac:dyDescent="0.35">
      <c r="A165" s="48">
        <v>8</v>
      </c>
      <c r="B165" s="48" t="s">
        <v>280</v>
      </c>
      <c r="C165" s="49" t="s">
        <v>569</v>
      </c>
      <c r="D165" s="49" t="s">
        <v>570</v>
      </c>
      <c r="E165" s="48" t="s">
        <v>559</v>
      </c>
      <c r="F165" s="49" t="s">
        <v>2673</v>
      </c>
      <c r="G165" s="49" t="str">
        <f t="shared" si="4"/>
        <v>Bruno GUIMARAES - Brazil</v>
      </c>
      <c r="H165" s="49" t="str">
        <f t="shared" si="5"/>
        <v>BRA8</v>
      </c>
      <c r="I165" s="49" t="s">
        <v>2682</v>
      </c>
    </row>
    <row r="166" spans="1:9" ht="15" customHeight="1" x14ac:dyDescent="0.35">
      <c r="A166" s="48">
        <v>9</v>
      </c>
      <c r="B166" s="48" t="s">
        <v>283</v>
      </c>
      <c r="C166" s="49" t="s">
        <v>571</v>
      </c>
      <c r="D166" s="49" t="s">
        <v>572</v>
      </c>
      <c r="E166" s="48" t="s">
        <v>559</v>
      </c>
      <c r="F166" s="49" t="s">
        <v>2673</v>
      </c>
      <c r="G166" s="49" t="str">
        <f t="shared" si="4"/>
        <v>Matheus CUNHA - Brazil</v>
      </c>
      <c r="H166" s="49" t="str">
        <f t="shared" si="5"/>
        <v>BRA9</v>
      </c>
      <c r="I166" s="49" t="s">
        <v>2683</v>
      </c>
    </row>
    <row r="167" spans="1:9" ht="15" customHeight="1" x14ac:dyDescent="0.35">
      <c r="A167" s="48">
        <v>10</v>
      </c>
      <c r="B167" s="48" t="s">
        <v>283</v>
      </c>
      <c r="C167" s="49" t="s">
        <v>573</v>
      </c>
      <c r="D167" s="49" t="s">
        <v>574</v>
      </c>
      <c r="E167" s="48" t="s">
        <v>559</v>
      </c>
      <c r="F167" s="49" t="s">
        <v>2673</v>
      </c>
      <c r="G167" s="49" t="str">
        <f t="shared" si="4"/>
        <v>Neymar Jr NEYMAR JR - Brazil</v>
      </c>
      <c r="H167" s="49" t="str">
        <f t="shared" si="5"/>
        <v>BRA10</v>
      </c>
      <c r="I167" s="49" t="s">
        <v>2684</v>
      </c>
    </row>
    <row r="168" spans="1:9" ht="15" customHeight="1" x14ac:dyDescent="0.35">
      <c r="A168" s="48">
        <v>11</v>
      </c>
      <c r="B168" s="48" t="s">
        <v>283</v>
      </c>
      <c r="C168" s="49" t="s">
        <v>575</v>
      </c>
      <c r="D168" s="49" t="s">
        <v>576</v>
      </c>
      <c r="E168" s="48" t="s">
        <v>559</v>
      </c>
      <c r="F168" s="49" t="s">
        <v>2673</v>
      </c>
      <c r="G168" s="49" t="str">
        <f t="shared" si="4"/>
        <v>Raphinha RAPHINHA - Brazil</v>
      </c>
      <c r="H168" s="49" t="str">
        <f t="shared" si="5"/>
        <v>BRA11</v>
      </c>
      <c r="I168" s="49" t="s">
        <v>2685</v>
      </c>
    </row>
    <row r="169" spans="1:9" ht="15" customHeight="1" x14ac:dyDescent="0.35">
      <c r="A169" s="48">
        <v>12</v>
      </c>
      <c r="B169" s="48" t="s">
        <v>267</v>
      </c>
      <c r="C169" s="49" t="s">
        <v>577</v>
      </c>
      <c r="D169" s="49" t="s">
        <v>578</v>
      </c>
      <c r="E169" s="48" t="s">
        <v>559</v>
      </c>
      <c r="F169" s="49" t="s">
        <v>2673</v>
      </c>
      <c r="G169" s="49" t="str">
        <f t="shared" si="4"/>
        <v>Weverton WEVERTON - Brazil</v>
      </c>
      <c r="H169" s="49" t="str">
        <f t="shared" si="5"/>
        <v>BRA12</v>
      </c>
      <c r="I169" s="49" t="s">
        <v>2686</v>
      </c>
    </row>
    <row r="170" spans="1:9" ht="15" customHeight="1" x14ac:dyDescent="0.35">
      <c r="A170" s="48">
        <v>13</v>
      </c>
      <c r="B170" s="48" t="s">
        <v>271</v>
      </c>
      <c r="C170" s="49" t="s">
        <v>579</v>
      </c>
      <c r="D170" s="49" t="s">
        <v>580</v>
      </c>
      <c r="E170" s="48" t="s">
        <v>559</v>
      </c>
      <c r="F170" s="49" t="s">
        <v>2673</v>
      </c>
      <c r="G170" s="49" t="str">
        <f t="shared" si="4"/>
        <v>Danilo DANILO - Brazil</v>
      </c>
      <c r="H170" s="49" t="str">
        <f t="shared" si="5"/>
        <v>BRA13</v>
      </c>
      <c r="I170" s="49" t="s">
        <v>2687</v>
      </c>
    </row>
    <row r="171" spans="1:9" ht="15" customHeight="1" x14ac:dyDescent="0.35">
      <c r="A171" s="48">
        <v>14</v>
      </c>
      <c r="B171" s="48" t="s">
        <v>271</v>
      </c>
      <c r="C171" s="49" t="s">
        <v>581</v>
      </c>
      <c r="D171" s="49" t="s">
        <v>582</v>
      </c>
      <c r="E171" s="48" t="s">
        <v>559</v>
      </c>
      <c r="F171" s="49" t="s">
        <v>2673</v>
      </c>
      <c r="G171" s="49" t="str">
        <f t="shared" si="4"/>
        <v>Bremer BREMER - Brazil</v>
      </c>
      <c r="H171" s="49" t="str">
        <f t="shared" si="5"/>
        <v>BRA14</v>
      </c>
      <c r="I171" s="49" t="s">
        <v>2688</v>
      </c>
    </row>
    <row r="172" spans="1:9" ht="15" customHeight="1" x14ac:dyDescent="0.35">
      <c r="A172" s="48">
        <v>15</v>
      </c>
      <c r="B172" s="48" t="s">
        <v>271</v>
      </c>
      <c r="C172" s="49" t="s">
        <v>583</v>
      </c>
      <c r="D172" s="49" t="s">
        <v>584</v>
      </c>
      <c r="E172" s="48" t="s">
        <v>559</v>
      </c>
      <c r="F172" s="49" t="s">
        <v>2673</v>
      </c>
      <c r="G172" s="49" t="str">
        <f t="shared" si="4"/>
        <v>Leo Pereira LEO PEREIRA - Brazil</v>
      </c>
      <c r="H172" s="49" t="str">
        <f t="shared" si="5"/>
        <v>BRA15</v>
      </c>
      <c r="I172" s="49" t="s">
        <v>2689</v>
      </c>
    </row>
    <row r="173" spans="1:9" ht="15" customHeight="1" x14ac:dyDescent="0.35">
      <c r="A173" s="48">
        <v>16</v>
      </c>
      <c r="B173" s="48" t="s">
        <v>271</v>
      </c>
      <c r="C173" s="49" t="s">
        <v>585</v>
      </c>
      <c r="D173" s="49" t="s">
        <v>586</v>
      </c>
      <c r="E173" s="48" t="s">
        <v>559</v>
      </c>
      <c r="F173" s="49" t="s">
        <v>2673</v>
      </c>
      <c r="G173" s="49" t="str">
        <f t="shared" si="4"/>
        <v>Douglas Santos DOUGLAS SANTOS - Brazil</v>
      </c>
      <c r="H173" s="49" t="str">
        <f t="shared" si="5"/>
        <v>BRA16</v>
      </c>
      <c r="I173" s="49" t="s">
        <v>2690</v>
      </c>
    </row>
    <row r="174" spans="1:9" ht="15" customHeight="1" x14ac:dyDescent="0.35">
      <c r="A174" s="48">
        <v>17</v>
      </c>
      <c r="B174" s="48" t="s">
        <v>280</v>
      </c>
      <c r="C174" s="49" t="s">
        <v>587</v>
      </c>
      <c r="D174" s="49" t="s">
        <v>588</v>
      </c>
      <c r="E174" s="48" t="s">
        <v>559</v>
      </c>
      <c r="F174" s="49" t="s">
        <v>2673</v>
      </c>
      <c r="G174" s="49" t="str">
        <f t="shared" si="4"/>
        <v>Fabinho FABINHO - Brazil</v>
      </c>
      <c r="H174" s="49" t="str">
        <f t="shared" si="5"/>
        <v>BRA17</v>
      </c>
      <c r="I174" s="49" t="s">
        <v>2691</v>
      </c>
    </row>
    <row r="175" spans="1:9" ht="15" customHeight="1" x14ac:dyDescent="0.35">
      <c r="A175" s="48">
        <v>18</v>
      </c>
      <c r="B175" s="48" t="s">
        <v>280</v>
      </c>
      <c r="C175" s="49" t="s">
        <v>589</v>
      </c>
      <c r="D175" s="49" t="s">
        <v>590</v>
      </c>
      <c r="E175" s="48" t="s">
        <v>559</v>
      </c>
      <c r="F175" s="49" t="s">
        <v>2673</v>
      </c>
      <c r="G175" s="49" t="str">
        <f t="shared" si="4"/>
        <v>Danilo Santos DANILO SANTOS - Brazil</v>
      </c>
      <c r="H175" s="49" t="str">
        <f t="shared" si="5"/>
        <v>BRA18</v>
      </c>
      <c r="I175" s="49" t="s">
        <v>2692</v>
      </c>
    </row>
    <row r="176" spans="1:9" ht="15" customHeight="1" x14ac:dyDescent="0.35">
      <c r="A176" s="48">
        <v>19</v>
      </c>
      <c r="B176" s="48" t="s">
        <v>283</v>
      </c>
      <c r="C176" s="49" t="s">
        <v>591</v>
      </c>
      <c r="D176" s="49" t="s">
        <v>592</v>
      </c>
      <c r="E176" s="48" t="s">
        <v>559</v>
      </c>
      <c r="F176" s="49" t="s">
        <v>2673</v>
      </c>
      <c r="G176" s="49" t="str">
        <f t="shared" si="4"/>
        <v>Endrick ENDRICK - Brazil</v>
      </c>
      <c r="H176" s="49" t="str">
        <f t="shared" si="5"/>
        <v>BRA19</v>
      </c>
      <c r="I176" s="49" t="s">
        <v>2693</v>
      </c>
    </row>
    <row r="177" spans="1:9" ht="15" customHeight="1" x14ac:dyDescent="0.35">
      <c r="A177" s="48">
        <v>20</v>
      </c>
      <c r="B177" s="48" t="s">
        <v>280</v>
      </c>
      <c r="C177" s="49" t="s">
        <v>593</v>
      </c>
      <c r="D177" s="49" t="s">
        <v>594</v>
      </c>
      <c r="E177" s="48" t="s">
        <v>559</v>
      </c>
      <c r="F177" s="49" t="s">
        <v>2673</v>
      </c>
      <c r="G177" s="49" t="str">
        <f t="shared" si="4"/>
        <v>Lucas Paqueta LUCAS PAQUETA - Brazil</v>
      </c>
      <c r="H177" s="49" t="str">
        <f t="shared" si="5"/>
        <v>BRA20</v>
      </c>
      <c r="I177" s="49" t="s">
        <v>2694</v>
      </c>
    </row>
    <row r="178" spans="1:9" ht="15" customHeight="1" x14ac:dyDescent="0.35">
      <c r="A178" s="48">
        <v>21</v>
      </c>
      <c r="B178" s="48" t="s">
        <v>283</v>
      </c>
      <c r="C178" s="49" t="s">
        <v>595</v>
      </c>
      <c r="D178" s="49" t="s">
        <v>596</v>
      </c>
      <c r="E178" s="48" t="s">
        <v>559</v>
      </c>
      <c r="F178" s="49" t="s">
        <v>2673</v>
      </c>
      <c r="G178" s="49" t="str">
        <f t="shared" si="4"/>
        <v>Luiz Henrique LUIZ HENRIQUE - Brazil</v>
      </c>
      <c r="H178" s="49" t="str">
        <f t="shared" si="5"/>
        <v>BRA21</v>
      </c>
      <c r="I178" s="49" t="s">
        <v>2695</v>
      </c>
    </row>
    <row r="179" spans="1:9" ht="15" customHeight="1" x14ac:dyDescent="0.35">
      <c r="A179" s="48">
        <v>22</v>
      </c>
      <c r="B179" s="48" t="s">
        <v>283</v>
      </c>
      <c r="C179" s="49" t="s">
        <v>597</v>
      </c>
      <c r="D179" s="49" t="s">
        <v>598</v>
      </c>
      <c r="E179" s="48" t="s">
        <v>559</v>
      </c>
      <c r="F179" s="49" t="s">
        <v>2673</v>
      </c>
      <c r="G179" s="49" t="str">
        <f t="shared" si="4"/>
        <v>Gabriel Martinelli GABRIEL MARTINELLI - Brazil</v>
      </c>
      <c r="H179" s="49" t="str">
        <f t="shared" si="5"/>
        <v>BRA22</v>
      </c>
      <c r="I179" s="49" t="s">
        <v>2696</v>
      </c>
    </row>
    <row r="180" spans="1:9" ht="15" customHeight="1" x14ac:dyDescent="0.35">
      <c r="A180" s="48">
        <v>23</v>
      </c>
      <c r="B180" s="48" t="s">
        <v>267</v>
      </c>
      <c r="C180" s="49" t="s">
        <v>599</v>
      </c>
      <c r="D180" s="49" t="s">
        <v>600</v>
      </c>
      <c r="E180" s="48" t="s">
        <v>559</v>
      </c>
      <c r="F180" s="49" t="s">
        <v>2673</v>
      </c>
      <c r="G180" s="49" t="str">
        <f t="shared" si="4"/>
        <v>Ederson EDERSON - Brazil</v>
      </c>
      <c r="H180" s="49" t="str">
        <f t="shared" si="5"/>
        <v>BRA23</v>
      </c>
      <c r="I180" s="49" t="s">
        <v>2675</v>
      </c>
    </row>
    <row r="181" spans="1:9" ht="15" customHeight="1" x14ac:dyDescent="0.35">
      <c r="A181" s="48">
        <v>24</v>
      </c>
      <c r="B181" s="48" t="s">
        <v>271</v>
      </c>
      <c r="C181" s="49" t="s">
        <v>601</v>
      </c>
      <c r="D181" s="49" t="s">
        <v>602</v>
      </c>
      <c r="E181" s="48" t="s">
        <v>559</v>
      </c>
      <c r="F181" s="49" t="s">
        <v>2673</v>
      </c>
      <c r="G181" s="49" t="str">
        <f t="shared" si="4"/>
        <v>Roger Ibanez ROGER IBANEZ - Brazil</v>
      </c>
      <c r="H181" s="49" t="str">
        <f t="shared" si="5"/>
        <v>BRA24</v>
      </c>
      <c r="I181" s="49" t="s">
        <v>2697</v>
      </c>
    </row>
    <row r="182" spans="1:9" ht="15" customHeight="1" x14ac:dyDescent="0.35">
      <c r="A182" s="48">
        <v>25</v>
      </c>
      <c r="B182" s="48" t="s">
        <v>283</v>
      </c>
      <c r="C182" s="49" t="s">
        <v>603</v>
      </c>
      <c r="D182" s="49" t="s">
        <v>604</v>
      </c>
      <c r="E182" s="48" t="s">
        <v>559</v>
      </c>
      <c r="F182" s="49" t="s">
        <v>2673</v>
      </c>
      <c r="G182" s="49" t="str">
        <f t="shared" si="4"/>
        <v>Igor Thiago IGOR THIAGO - Brazil</v>
      </c>
      <c r="H182" s="49" t="str">
        <f t="shared" si="5"/>
        <v>BRA25</v>
      </c>
      <c r="I182" s="49" t="s">
        <v>2698</v>
      </c>
    </row>
    <row r="183" spans="1:9" ht="15" customHeight="1" x14ac:dyDescent="0.35">
      <c r="A183" s="48">
        <v>26</v>
      </c>
      <c r="B183" s="48" t="s">
        <v>283</v>
      </c>
      <c r="C183" s="49" t="s">
        <v>300</v>
      </c>
      <c r="D183" s="49" t="s">
        <v>605</v>
      </c>
      <c r="E183" s="48" t="s">
        <v>559</v>
      </c>
      <c r="F183" s="49" t="s">
        <v>2673</v>
      </c>
      <c r="G183" s="49" t="str">
        <f t="shared" si="4"/>
        <v>Rayan RAYAN - Brazil</v>
      </c>
      <c r="H183" s="49" t="str">
        <f t="shared" si="5"/>
        <v>BRA26</v>
      </c>
      <c r="I183" s="49" t="s">
        <v>2699</v>
      </c>
    </row>
    <row r="184" spans="1:9" ht="15" customHeight="1" x14ac:dyDescent="0.35">
      <c r="A184" s="50">
        <v>1</v>
      </c>
      <c r="B184" s="50" t="s">
        <v>267</v>
      </c>
      <c r="C184" s="51" t="s">
        <v>606</v>
      </c>
      <c r="D184" s="51" t="s">
        <v>607</v>
      </c>
      <c r="E184" s="50" t="s">
        <v>608</v>
      </c>
      <c r="F184" s="51" t="s">
        <v>2700</v>
      </c>
      <c r="G184" s="51" t="str">
        <f t="shared" si="4"/>
        <v>Josimar VOZINHA - Cabo Verde</v>
      </c>
      <c r="H184" s="51" t="str">
        <f t="shared" si="5"/>
        <v>CPV1</v>
      </c>
      <c r="I184" s="51" t="s">
        <v>2701</v>
      </c>
    </row>
    <row r="185" spans="1:9" ht="15" customHeight="1" x14ac:dyDescent="0.35">
      <c r="A185" s="50">
        <v>2</v>
      </c>
      <c r="B185" s="50" t="s">
        <v>271</v>
      </c>
      <c r="C185" s="51" t="s">
        <v>609</v>
      </c>
      <c r="D185" s="51" t="s">
        <v>610</v>
      </c>
      <c r="E185" s="50" t="s">
        <v>608</v>
      </c>
      <c r="F185" s="51" t="s">
        <v>2700</v>
      </c>
      <c r="G185" s="51" t="str">
        <f t="shared" si="4"/>
        <v>Ianique STOPIRA - Cabo Verde</v>
      </c>
      <c r="H185" s="51" t="str">
        <f t="shared" si="5"/>
        <v>CPV2</v>
      </c>
      <c r="I185" s="51" t="s">
        <v>2702</v>
      </c>
    </row>
    <row r="186" spans="1:9" ht="15" customHeight="1" x14ac:dyDescent="0.35">
      <c r="A186" s="50">
        <v>3</v>
      </c>
      <c r="B186" s="50" t="s">
        <v>271</v>
      </c>
      <c r="C186" s="51" t="s">
        <v>611</v>
      </c>
      <c r="D186" s="51" t="s">
        <v>612</v>
      </c>
      <c r="E186" s="50" t="s">
        <v>608</v>
      </c>
      <c r="F186" s="51" t="s">
        <v>2700</v>
      </c>
      <c r="G186" s="51" t="str">
        <f t="shared" si="4"/>
        <v>Edilson DINEY BORGES - Cabo Verde</v>
      </c>
      <c r="H186" s="51" t="str">
        <f t="shared" si="5"/>
        <v>CPV3</v>
      </c>
      <c r="I186" s="51" t="s">
        <v>2703</v>
      </c>
    </row>
    <row r="187" spans="1:9" ht="15" customHeight="1" x14ac:dyDescent="0.35">
      <c r="A187" s="50">
        <v>4</v>
      </c>
      <c r="B187" s="50" t="s">
        <v>271</v>
      </c>
      <c r="C187" s="51" t="s">
        <v>613</v>
      </c>
      <c r="D187" s="51" t="s">
        <v>614</v>
      </c>
      <c r="E187" s="50" t="s">
        <v>608</v>
      </c>
      <c r="F187" s="51" t="s">
        <v>2700</v>
      </c>
      <c r="G187" s="51" t="str">
        <f t="shared" si="4"/>
        <v>Roberto Carlos PICO LOPES - Cabo Verde</v>
      </c>
      <c r="H187" s="51" t="str">
        <f t="shared" si="5"/>
        <v>CPV4</v>
      </c>
      <c r="I187" s="51" t="s">
        <v>2704</v>
      </c>
    </row>
    <row r="188" spans="1:9" ht="15" customHeight="1" x14ac:dyDescent="0.35">
      <c r="A188" s="50">
        <v>5</v>
      </c>
      <c r="B188" s="50" t="s">
        <v>271</v>
      </c>
      <c r="C188" s="51" t="s">
        <v>615</v>
      </c>
      <c r="D188" s="51" t="s">
        <v>616</v>
      </c>
      <c r="E188" s="50" t="s">
        <v>608</v>
      </c>
      <c r="F188" s="51" t="s">
        <v>2700</v>
      </c>
      <c r="G188" s="51" t="str">
        <f t="shared" si="4"/>
        <v>Logan LOGAN COSTA - Cabo Verde</v>
      </c>
      <c r="H188" s="51" t="str">
        <f t="shared" si="5"/>
        <v>CPV5</v>
      </c>
      <c r="I188" s="51" t="s">
        <v>2705</v>
      </c>
    </row>
    <row r="189" spans="1:9" ht="15" customHeight="1" x14ac:dyDescent="0.35">
      <c r="A189" s="50">
        <v>6</v>
      </c>
      <c r="B189" s="50" t="s">
        <v>280</v>
      </c>
      <c r="C189" s="51" t="s">
        <v>423</v>
      </c>
      <c r="D189" s="51" t="s">
        <v>617</v>
      </c>
      <c r="E189" s="50" t="s">
        <v>608</v>
      </c>
      <c r="F189" s="51" t="s">
        <v>2700</v>
      </c>
      <c r="G189" s="51" t="str">
        <f t="shared" si="4"/>
        <v>Kevin KEVIN PINA - Cabo Verde</v>
      </c>
      <c r="H189" s="51" t="str">
        <f t="shared" si="5"/>
        <v>CPV6</v>
      </c>
      <c r="I189" s="51" t="s">
        <v>2706</v>
      </c>
    </row>
    <row r="190" spans="1:9" ht="15" customHeight="1" x14ac:dyDescent="0.35">
      <c r="A190" s="50">
        <v>7</v>
      </c>
      <c r="B190" s="50" t="s">
        <v>280</v>
      </c>
      <c r="C190" s="51" t="s">
        <v>618</v>
      </c>
      <c r="D190" s="51" t="s">
        <v>619</v>
      </c>
      <c r="E190" s="50" t="s">
        <v>608</v>
      </c>
      <c r="F190" s="51" t="s">
        <v>2700</v>
      </c>
      <c r="G190" s="51" t="str">
        <f t="shared" si="4"/>
        <v>Jovane JOVANE CABRAL - Cabo Verde</v>
      </c>
      <c r="H190" s="51" t="str">
        <f t="shared" si="5"/>
        <v>CPV7</v>
      </c>
      <c r="I190" s="51" t="s">
        <v>2707</v>
      </c>
    </row>
    <row r="191" spans="1:9" ht="15" customHeight="1" x14ac:dyDescent="0.35">
      <c r="A191" s="50">
        <v>8</v>
      </c>
      <c r="B191" s="50" t="s">
        <v>280</v>
      </c>
      <c r="C191" s="51" t="s">
        <v>620</v>
      </c>
      <c r="D191" s="51" t="s">
        <v>621</v>
      </c>
      <c r="E191" s="50" t="s">
        <v>608</v>
      </c>
      <c r="F191" s="51" t="s">
        <v>2700</v>
      </c>
      <c r="G191" s="51" t="str">
        <f t="shared" si="4"/>
        <v>Joao Paulo JOAO PAULO - Cabo Verde</v>
      </c>
      <c r="H191" s="51" t="str">
        <f t="shared" si="5"/>
        <v>CPV8</v>
      </c>
      <c r="I191" s="51" t="s">
        <v>2708</v>
      </c>
    </row>
    <row r="192" spans="1:9" ht="15" customHeight="1" x14ac:dyDescent="0.35">
      <c r="A192" s="50">
        <v>9</v>
      </c>
      <c r="B192" s="50" t="s">
        <v>283</v>
      </c>
      <c r="C192" s="51" t="s">
        <v>622</v>
      </c>
      <c r="D192" s="51" t="s">
        <v>623</v>
      </c>
      <c r="E192" s="50" t="s">
        <v>608</v>
      </c>
      <c r="F192" s="51" t="s">
        <v>2700</v>
      </c>
      <c r="G192" s="51" t="str">
        <f t="shared" si="4"/>
        <v>Gilson GILSON BENCHIMOL - Cabo Verde</v>
      </c>
      <c r="H192" s="51" t="str">
        <f t="shared" si="5"/>
        <v>CPV9</v>
      </c>
      <c r="I192" s="51" t="s">
        <v>2709</v>
      </c>
    </row>
    <row r="193" spans="1:9" ht="15" customHeight="1" x14ac:dyDescent="0.35">
      <c r="A193" s="50">
        <v>10</v>
      </c>
      <c r="B193" s="50" t="s">
        <v>280</v>
      </c>
      <c r="C193" s="51" t="s">
        <v>624</v>
      </c>
      <c r="D193" s="51" t="s">
        <v>625</v>
      </c>
      <c r="E193" s="50" t="s">
        <v>608</v>
      </c>
      <c r="F193" s="51" t="s">
        <v>2700</v>
      </c>
      <c r="G193" s="51" t="str">
        <f t="shared" si="4"/>
        <v>Jamiro JAMIRO MONTEIRO - Cabo Verde</v>
      </c>
      <c r="H193" s="51" t="str">
        <f t="shared" si="5"/>
        <v>CPV10</v>
      </c>
      <c r="I193" s="51" t="s">
        <v>2710</v>
      </c>
    </row>
    <row r="194" spans="1:9" ht="15" customHeight="1" x14ac:dyDescent="0.35">
      <c r="A194" s="50">
        <v>11</v>
      </c>
      <c r="B194" s="50" t="s">
        <v>280</v>
      </c>
      <c r="C194" s="51" t="s">
        <v>626</v>
      </c>
      <c r="D194" s="51" t="s">
        <v>627</v>
      </c>
      <c r="E194" s="50" t="s">
        <v>608</v>
      </c>
      <c r="F194" s="51" t="s">
        <v>2700</v>
      </c>
      <c r="G194" s="51" t="str">
        <f t="shared" si="4"/>
        <v>Garry GARRY RODRIGUES - Cabo Verde</v>
      </c>
      <c r="H194" s="51" t="str">
        <f t="shared" si="5"/>
        <v>CPV11</v>
      </c>
      <c r="I194" s="51" t="s">
        <v>2711</v>
      </c>
    </row>
    <row r="195" spans="1:9" ht="15" customHeight="1" x14ac:dyDescent="0.35">
      <c r="A195" s="50">
        <v>12</v>
      </c>
      <c r="B195" s="50" t="s">
        <v>267</v>
      </c>
      <c r="C195" s="51" t="s">
        <v>628</v>
      </c>
      <c r="D195" s="51" t="s">
        <v>629</v>
      </c>
      <c r="E195" s="50" t="s">
        <v>608</v>
      </c>
      <c r="F195" s="51" t="s">
        <v>2700</v>
      </c>
      <c r="G195" s="51" t="str">
        <f t="shared" ref="G195:G258" si="6">_xlfn.CONCAT(C195, " ",D195, " - ",F195)</f>
        <v>Marcio MARCIO ROSA - Cabo Verde</v>
      </c>
      <c r="H195" s="51" t="str">
        <f t="shared" ref="H195:H258" si="7">_xlfn.CONCAT(E195,A195)</f>
        <v>CPV12</v>
      </c>
      <c r="I195" s="51" t="s">
        <v>2712</v>
      </c>
    </row>
    <row r="196" spans="1:9" ht="15" customHeight="1" x14ac:dyDescent="0.35">
      <c r="A196" s="50">
        <v>13</v>
      </c>
      <c r="B196" s="50" t="s">
        <v>271</v>
      </c>
      <c r="C196" s="51" t="s">
        <v>630</v>
      </c>
      <c r="D196" s="51" t="s">
        <v>631</v>
      </c>
      <c r="E196" s="50" t="s">
        <v>608</v>
      </c>
      <c r="F196" s="51" t="s">
        <v>2700</v>
      </c>
      <c r="G196" s="51" t="str">
        <f t="shared" si="6"/>
        <v>Sidny SIDNY LOPES CABRAL - Cabo Verde</v>
      </c>
      <c r="H196" s="51" t="str">
        <f t="shared" si="7"/>
        <v>CPV13</v>
      </c>
      <c r="I196" s="51" t="s">
        <v>2713</v>
      </c>
    </row>
    <row r="197" spans="1:9" ht="15" customHeight="1" x14ac:dyDescent="0.35">
      <c r="A197" s="50">
        <v>14</v>
      </c>
      <c r="B197" s="50" t="s">
        <v>280</v>
      </c>
      <c r="C197" s="51" t="s">
        <v>632</v>
      </c>
      <c r="D197" s="51" t="s">
        <v>633</v>
      </c>
      <c r="E197" s="50" t="s">
        <v>608</v>
      </c>
      <c r="F197" s="51" t="s">
        <v>2700</v>
      </c>
      <c r="G197" s="51" t="str">
        <f t="shared" si="6"/>
        <v>Deroy DEROY DUARTE - Cabo Verde</v>
      </c>
      <c r="H197" s="51" t="str">
        <f t="shared" si="7"/>
        <v>CPV14</v>
      </c>
      <c r="I197" s="51" t="s">
        <v>2714</v>
      </c>
    </row>
    <row r="198" spans="1:9" ht="15" customHeight="1" x14ac:dyDescent="0.35">
      <c r="A198" s="50">
        <v>15</v>
      </c>
      <c r="B198" s="50" t="s">
        <v>280</v>
      </c>
      <c r="C198" s="51" t="s">
        <v>634</v>
      </c>
      <c r="D198" s="51" t="s">
        <v>635</v>
      </c>
      <c r="E198" s="50" t="s">
        <v>608</v>
      </c>
      <c r="F198" s="51" t="s">
        <v>2700</v>
      </c>
      <c r="G198" s="51" t="str">
        <f t="shared" si="6"/>
        <v>Laros LAROS DUARTE - Cabo Verde</v>
      </c>
      <c r="H198" s="51" t="str">
        <f t="shared" si="7"/>
        <v>CPV15</v>
      </c>
      <c r="I198" s="51" t="s">
        <v>2715</v>
      </c>
    </row>
    <row r="199" spans="1:9" ht="15" customHeight="1" x14ac:dyDescent="0.35">
      <c r="A199" s="50">
        <v>16</v>
      </c>
      <c r="B199" s="50" t="s">
        <v>280</v>
      </c>
      <c r="C199" s="51" t="s">
        <v>636</v>
      </c>
      <c r="D199" s="51" t="s">
        <v>637</v>
      </c>
      <c r="E199" s="50" t="s">
        <v>608</v>
      </c>
      <c r="F199" s="51" t="s">
        <v>2700</v>
      </c>
      <c r="G199" s="51" t="str">
        <f t="shared" si="6"/>
        <v>Yannick YANNICK SEMEDO - Cabo Verde</v>
      </c>
      <c r="H199" s="51" t="str">
        <f t="shared" si="7"/>
        <v>CPV16</v>
      </c>
      <c r="I199" s="51" t="s">
        <v>2716</v>
      </c>
    </row>
    <row r="200" spans="1:9" ht="15" customHeight="1" x14ac:dyDescent="0.35">
      <c r="A200" s="50">
        <v>17</v>
      </c>
      <c r="B200" s="50" t="s">
        <v>280</v>
      </c>
      <c r="C200" s="51" t="s">
        <v>638</v>
      </c>
      <c r="D200" s="51" t="s">
        <v>639</v>
      </c>
      <c r="E200" s="50" t="s">
        <v>608</v>
      </c>
      <c r="F200" s="51" t="s">
        <v>2700</v>
      </c>
      <c r="G200" s="51" t="str">
        <f t="shared" si="6"/>
        <v>Willy WILLY SEMEDO - Cabo Verde</v>
      </c>
      <c r="H200" s="51" t="str">
        <f t="shared" si="7"/>
        <v>CPV17</v>
      </c>
      <c r="I200" s="51" t="s">
        <v>2717</v>
      </c>
    </row>
    <row r="201" spans="1:9" ht="15" customHeight="1" x14ac:dyDescent="0.35">
      <c r="A201" s="50">
        <v>18</v>
      </c>
      <c r="B201" s="50" t="s">
        <v>280</v>
      </c>
      <c r="C201" s="51" t="s">
        <v>640</v>
      </c>
      <c r="D201" s="51" t="s">
        <v>641</v>
      </c>
      <c r="E201" s="50" t="s">
        <v>608</v>
      </c>
      <c r="F201" s="51" t="s">
        <v>2700</v>
      </c>
      <c r="G201" s="51" t="str">
        <f t="shared" si="6"/>
        <v>Telmo TELMO ARCANJO - Cabo Verde</v>
      </c>
      <c r="H201" s="51" t="str">
        <f t="shared" si="7"/>
        <v>CPV18</v>
      </c>
      <c r="I201" s="51" t="s">
        <v>2718</v>
      </c>
    </row>
    <row r="202" spans="1:9" ht="15" customHeight="1" x14ac:dyDescent="0.35">
      <c r="A202" s="50">
        <v>19</v>
      </c>
      <c r="B202" s="50" t="s">
        <v>283</v>
      </c>
      <c r="C202" s="51" t="s">
        <v>642</v>
      </c>
      <c r="D202" s="51" t="s">
        <v>643</v>
      </c>
      <c r="E202" s="50" t="s">
        <v>608</v>
      </c>
      <c r="F202" s="51" t="s">
        <v>2700</v>
      </c>
      <c r="G202" s="51" t="str">
        <f t="shared" si="6"/>
        <v>Dailon DAILON LIVRAMENTO - Cabo Verde</v>
      </c>
      <c r="H202" s="51" t="str">
        <f t="shared" si="7"/>
        <v>CPV19</v>
      </c>
      <c r="I202" s="51" t="s">
        <v>2719</v>
      </c>
    </row>
    <row r="203" spans="1:9" ht="15" customHeight="1" x14ac:dyDescent="0.35">
      <c r="A203" s="50">
        <v>20</v>
      </c>
      <c r="B203" s="50" t="s">
        <v>283</v>
      </c>
      <c r="C203" s="51" t="s">
        <v>644</v>
      </c>
      <c r="D203" s="51" t="s">
        <v>645</v>
      </c>
      <c r="E203" s="50" t="s">
        <v>608</v>
      </c>
      <c r="F203" s="51" t="s">
        <v>2700</v>
      </c>
      <c r="G203" s="51" t="str">
        <f t="shared" si="6"/>
        <v>Ryan RYAN MENDES - Cabo Verde</v>
      </c>
      <c r="H203" s="51" t="str">
        <f t="shared" si="7"/>
        <v>CPV20</v>
      </c>
      <c r="I203" s="51" t="s">
        <v>2720</v>
      </c>
    </row>
    <row r="204" spans="1:9" ht="15" customHeight="1" x14ac:dyDescent="0.35">
      <c r="A204" s="50">
        <v>21</v>
      </c>
      <c r="B204" s="50" t="s">
        <v>280</v>
      </c>
      <c r="C204" s="51" t="s">
        <v>646</v>
      </c>
      <c r="D204" s="51" t="s">
        <v>647</v>
      </c>
      <c r="E204" s="50" t="s">
        <v>608</v>
      </c>
      <c r="F204" s="51" t="s">
        <v>2700</v>
      </c>
      <c r="G204" s="51" t="str">
        <f t="shared" si="6"/>
        <v>Nuno NUNO DA COSTA - Cabo Verde</v>
      </c>
      <c r="H204" s="51" t="str">
        <f t="shared" si="7"/>
        <v>CPV21</v>
      </c>
      <c r="I204" s="51" t="s">
        <v>2721</v>
      </c>
    </row>
    <row r="205" spans="1:9" ht="15" customHeight="1" x14ac:dyDescent="0.35">
      <c r="A205" s="50">
        <v>22</v>
      </c>
      <c r="B205" s="50" t="s">
        <v>271</v>
      </c>
      <c r="C205" s="51" t="s">
        <v>648</v>
      </c>
      <c r="D205" s="51" t="s">
        <v>649</v>
      </c>
      <c r="E205" s="50" t="s">
        <v>608</v>
      </c>
      <c r="F205" s="51" t="s">
        <v>2700</v>
      </c>
      <c r="G205" s="51" t="str">
        <f t="shared" si="6"/>
        <v>Steven STEVEN MOREIRA - Cabo Verde</v>
      </c>
      <c r="H205" s="51" t="str">
        <f t="shared" si="7"/>
        <v>CPV22</v>
      </c>
      <c r="I205" s="51" t="s">
        <v>2722</v>
      </c>
    </row>
    <row r="206" spans="1:9" ht="15" customHeight="1" x14ac:dyDescent="0.35">
      <c r="A206" s="50">
        <v>23</v>
      </c>
      <c r="B206" s="50" t="s">
        <v>267</v>
      </c>
      <c r="C206" s="51" t="s">
        <v>650</v>
      </c>
      <c r="D206" s="51" t="s">
        <v>651</v>
      </c>
      <c r="E206" s="50" t="s">
        <v>608</v>
      </c>
      <c r="F206" s="51" t="s">
        <v>2700</v>
      </c>
      <c r="G206" s="51" t="str">
        <f t="shared" si="6"/>
        <v>Carlos Joaquim CJ DOS SANTOS - Cabo Verde</v>
      </c>
      <c r="H206" s="51" t="str">
        <f t="shared" si="7"/>
        <v>CPV23</v>
      </c>
      <c r="I206" s="51" t="s">
        <v>2723</v>
      </c>
    </row>
    <row r="207" spans="1:9" ht="15" customHeight="1" x14ac:dyDescent="0.35">
      <c r="A207" s="50">
        <v>24</v>
      </c>
      <c r="B207" s="50" t="s">
        <v>271</v>
      </c>
      <c r="C207" s="51" t="s">
        <v>652</v>
      </c>
      <c r="D207" s="51" t="s">
        <v>653</v>
      </c>
      <c r="E207" s="50" t="s">
        <v>608</v>
      </c>
      <c r="F207" s="51" t="s">
        <v>2700</v>
      </c>
      <c r="G207" s="51" t="str">
        <f t="shared" si="6"/>
        <v>Wagner WAGNER PINA - Cabo Verde</v>
      </c>
      <c r="H207" s="51" t="str">
        <f t="shared" si="7"/>
        <v>CPV24</v>
      </c>
      <c r="I207" s="51" t="s">
        <v>2724</v>
      </c>
    </row>
    <row r="208" spans="1:9" ht="15" customHeight="1" x14ac:dyDescent="0.35">
      <c r="A208" s="50">
        <v>25</v>
      </c>
      <c r="B208" s="50" t="s">
        <v>271</v>
      </c>
      <c r="C208" s="51" t="s">
        <v>654</v>
      </c>
      <c r="D208" s="51" t="s">
        <v>655</v>
      </c>
      <c r="E208" s="50" t="s">
        <v>608</v>
      </c>
      <c r="F208" s="51" t="s">
        <v>2700</v>
      </c>
      <c r="G208" s="51" t="str">
        <f t="shared" si="6"/>
        <v>Kelvin KELVIN PIRES - Cabo Verde</v>
      </c>
      <c r="H208" s="51" t="str">
        <f t="shared" si="7"/>
        <v>CPV25</v>
      </c>
      <c r="I208" s="51" t="s">
        <v>2725</v>
      </c>
    </row>
    <row r="209" spans="1:9" ht="15" customHeight="1" x14ac:dyDescent="0.35">
      <c r="A209" s="50">
        <v>26</v>
      </c>
      <c r="B209" s="50" t="s">
        <v>280</v>
      </c>
      <c r="C209" s="51" t="s">
        <v>656</v>
      </c>
      <c r="D209" s="51" t="s">
        <v>657</v>
      </c>
      <c r="E209" s="50" t="s">
        <v>608</v>
      </c>
      <c r="F209" s="51" t="s">
        <v>2700</v>
      </c>
      <c r="G209" s="51" t="str">
        <f t="shared" si="6"/>
        <v>Helio HELIO VARELA - Cabo Verde</v>
      </c>
      <c r="H209" s="51" t="str">
        <f t="shared" si="7"/>
        <v>CPV26</v>
      </c>
      <c r="I209" s="51" t="s">
        <v>2726</v>
      </c>
    </row>
    <row r="210" spans="1:9" ht="15" customHeight="1" x14ac:dyDescent="0.35">
      <c r="A210" s="52">
        <v>1</v>
      </c>
      <c r="B210" s="52" t="s">
        <v>267</v>
      </c>
      <c r="C210" s="53" t="s">
        <v>658</v>
      </c>
      <c r="D210" s="53" t="s">
        <v>659</v>
      </c>
      <c r="E210" s="52" t="s">
        <v>660</v>
      </c>
      <c r="F210" s="53" t="s">
        <v>2727</v>
      </c>
      <c r="G210" s="53" t="str">
        <f t="shared" si="6"/>
        <v>Dayne ST. CLAIR - Canada</v>
      </c>
      <c r="H210" s="53" t="str">
        <f t="shared" si="7"/>
        <v>CAN1</v>
      </c>
      <c r="I210" s="53" t="s">
        <v>2728</v>
      </c>
    </row>
    <row r="211" spans="1:9" ht="15" customHeight="1" x14ac:dyDescent="0.35">
      <c r="A211" s="52">
        <v>2</v>
      </c>
      <c r="B211" s="52" t="s">
        <v>271</v>
      </c>
      <c r="C211" s="53" t="s">
        <v>661</v>
      </c>
      <c r="D211" s="53" t="s">
        <v>662</v>
      </c>
      <c r="E211" s="52" t="s">
        <v>660</v>
      </c>
      <c r="F211" s="53" t="s">
        <v>2727</v>
      </c>
      <c r="G211" s="53" t="str">
        <f t="shared" si="6"/>
        <v>Alistair JOHNSTON - Canada</v>
      </c>
      <c r="H211" s="53" t="str">
        <f t="shared" si="7"/>
        <v>CAN2</v>
      </c>
      <c r="I211" s="53" t="s">
        <v>2729</v>
      </c>
    </row>
    <row r="212" spans="1:9" ht="15" customHeight="1" x14ac:dyDescent="0.35">
      <c r="A212" s="52">
        <v>3</v>
      </c>
      <c r="B212" s="52" t="s">
        <v>271</v>
      </c>
      <c r="C212" s="53" t="s">
        <v>663</v>
      </c>
      <c r="D212" s="53" t="s">
        <v>664</v>
      </c>
      <c r="E212" s="52" t="s">
        <v>660</v>
      </c>
      <c r="F212" s="53" t="s">
        <v>2727</v>
      </c>
      <c r="G212" s="53" t="str">
        <f t="shared" si="6"/>
        <v>Ale JONES - Canada</v>
      </c>
      <c r="H212" s="53" t="str">
        <f t="shared" si="7"/>
        <v>CAN3</v>
      </c>
      <c r="I212" s="53" t="s">
        <v>2730</v>
      </c>
    </row>
    <row r="213" spans="1:9" ht="15" customHeight="1" x14ac:dyDescent="0.35">
      <c r="A213" s="52">
        <v>4</v>
      </c>
      <c r="B213" s="52" t="s">
        <v>271</v>
      </c>
      <c r="C213" s="53" t="s">
        <v>665</v>
      </c>
      <c r="D213" s="53" t="s">
        <v>666</v>
      </c>
      <c r="E213" s="52" t="s">
        <v>660</v>
      </c>
      <c r="F213" s="53" t="s">
        <v>2727</v>
      </c>
      <c r="G213" s="53" t="str">
        <f t="shared" si="6"/>
        <v>Luc DE FOUGEROLLES - Canada</v>
      </c>
      <c r="H213" s="53" t="str">
        <f t="shared" si="7"/>
        <v>CAN4</v>
      </c>
      <c r="I213" s="53" t="s">
        <v>2731</v>
      </c>
    </row>
    <row r="214" spans="1:9" ht="15" customHeight="1" x14ac:dyDescent="0.35">
      <c r="A214" s="52">
        <v>5</v>
      </c>
      <c r="B214" s="52" t="s">
        <v>271</v>
      </c>
      <c r="C214" s="53" t="s">
        <v>667</v>
      </c>
      <c r="D214" s="53" t="s">
        <v>668</v>
      </c>
      <c r="E214" s="52" t="s">
        <v>660</v>
      </c>
      <c r="F214" s="53" t="s">
        <v>2727</v>
      </c>
      <c r="G214" s="53" t="str">
        <f t="shared" si="6"/>
        <v>Joel WATERMAN - Canada</v>
      </c>
      <c r="H214" s="53" t="str">
        <f t="shared" si="7"/>
        <v>CAN5</v>
      </c>
      <c r="I214" s="53" t="s">
        <v>2732</v>
      </c>
    </row>
    <row r="215" spans="1:9" ht="15" customHeight="1" x14ac:dyDescent="0.35">
      <c r="A215" s="52">
        <v>6</v>
      </c>
      <c r="B215" s="52" t="s">
        <v>280</v>
      </c>
      <c r="C215" s="53" t="s">
        <v>669</v>
      </c>
      <c r="D215" s="53" t="s">
        <v>670</v>
      </c>
      <c r="E215" s="52" t="s">
        <v>660</v>
      </c>
      <c r="F215" s="53" t="s">
        <v>2727</v>
      </c>
      <c r="G215" s="53" t="str">
        <f t="shared" si="6"/>
        <v>Mathieu CHOINIERE - Canada</v>
      </c>
      <c r="H215" s="53" t="str">
        <f t="shared" si="7"/>
        <v>CAN6</v>
      </c>
      <c r="I215" s="53" t="s">
        <v>2733</v>
      </c>
    </row>
    <row r="216" spans="1:9" ht="15" customHeight="1" x14ac:dyDescent="0.35">
      <c r="A216" s="52">
        <v>7</v>
      </c>
      <c r="B216" s="52" t="s">
        <v>280</v>
      </c>
      <c r="C216" s="53" t="s">
        <v>671</v>
      </c>
      <c r="D216" s="53" t="s">
        <v>672</v>
      </c>
      <c r="E216" s="52" t="s">
        <v>660</v>
      </c>
      <c r="F216" s="53" t="s">
        <v>2727</v>
      </c>
      <c r="G216" s="53" t="str">
        <f t="shared" si="6"/>
        <v>Stephen EUSTAQUIO - Canada</v>
      </c>
      <c r="H216" s="53" t="str">
        <f t="shared" si="7"/>
        <v>CAN7</v>
      </c>
      <c r="I216" s="53" t="s">
        <v>2734</v>
      </c>
    </row>
    <row r="217" spans="1:9" ht="15" customHeight="1" x14ac:dyDescent="0.35">
      <c r="A217" s="52">
        <v>8</v>
      </c>
      <c r="B217" s="52" t="s">
        <v>280</v>
      </c>
      <c r="C217" s="53" t="s">
        <v>673</v>
      </c>
      <c r="D217" s="53" t="s">
        <v>674</v>
      </c>
      <c r="E217" s="52" t="s">
        <v>660</v>
      </c>
      <c r="F217" s="53" t="s">
        <v>2727</v>
      </c>
      <c r="G217" s="53" t="str">
        <f t="shared" si="6"/>
        <v>Ismael KONE - Canada</v>
      </c>
      <c r="H217" s="53" t="str">
        <f t="shared" si="7"/>
        <v>CAN8</v>
      </c>
      <c r="I217" s="53" t="s">
        <v>2735</v>
      </c>
    </row>
    <row r="218" spans="1:9" ht="15" customHeight="1" x14ac:dyDescent="0.35">
      <c r="A218" s="52">
        <v>9</v>
      </c>
      <c r="B218" s="52" t="s">
        <v>283</v>
      </c>
      <c r="C218" s="53" t="s">
        <v>675</v>
      </c>
      <c r="D218" s="53" t="s">
        <v>676</v>
      </c>
      <c r="E218" s="52" t="s">
        <v>660</v>
      </c>
      <c r="F218" s="53" t="s">
        <v>2727</v>
      </c>
      <c r="G218" s="53" t="str">
        <f t="shared" si="6"/>
        <v>Cyle LARIN - Canada</v>
      </c>
      <c r="H218" s="53" t="str">
        <f t="shared" si="7"/>
        <v>CAN9</v>
      </c>
      <c r="I218" s="53" t="s">
        <v>2736</v>
      </c>
    </row>
    <row r="219" spans="1:9" ht="15" customHeight="1" x14ac:dyDescent="0.35">
      <c r="A219" s="52">
        <v>10</v>
      </c>
      <c r="B219" s="52" t="s">
        <v>283</v>
      </c>
      <c r="C219" s="53" t="s">
        <v>677</v>
      </c>
      <c r="D219" s="53" t="s">
        <v>678</v>
      </c>
      <c r="E219" s="52" t="s">
        <v>660</v>
      </c>
      <c r="F219" s="53" t="s">
        <v>2727</v>
      </c>
      <c r="G219" s="53" t="str">
        <f t="shared" si="6"/>
        <v>Jonathan DAVID - Canada</v>
      </c>
      <c r="H219" s="53" t="str">
        <f t="shared" si="7"/>
        <v>CAN10</v>
      </c>
      <c r="I219" s="53" t="s">
        <v>2737</v>
      </c>
    </row>
    <row r="220" spans="1:9" ht="15" customHeight="1" x14ac:dyDescent="0.35">
      <c r="A220" s="52">
        <v>11</v>
      </c>
      <c r="B220" s="52" t="s">
        <v>280</v>
      </c>
      <c r="C220" s="53" t="s">
        <v>679</v>
      </c>
      <c r="D220" s="53" t="s">
        <v>680</v>
      </c>
      <c r="E220" s="52" t="s">
        <v>660</v>
      </c>
      <c r="F220" s="53" t="s">
        <v>2727</v>
      </c>
      <c r="G220" s="53" t="str">
        <f t="shared" si="6"/>
        <v>Liam MILLAR - Canada</v>
      </c>
      <c r="H220" s="53" t="str">
        <f t="shared" si="7"/>
        <v>CAN11</v>
      </c>
      <c r="I220" s="53" t="s">
        <v>2738</v>
      </c>
    </row>
    <row r="221" spans="1:9" ht="15" customHeight="1" x14ac:dyDescent="0.35">
      <c r="A221" s="52">
        <v>12</v>
      </c>
      <c r="B221" s="52" t="s">
        <v>283</v>
      </c>
      <c r="C221" s="53" t="s">
        <v>681</v>
      </c>
      <c r="D221" s="53" t="s">
        <v>682</v>
      </c>
      <c r="E221" s="52" t="s">
        <v>660</v>
      </c>
      <c r="F221" s="53" t="s">
        <v>2727</v>
      </c>
      <c r="G221" s="53" t="str">
        <f t="shared" si="6"/>
        <v>Tani OLUWASEYI - Canada</v>
      </c>
      <c r="H221" s="53" t="str">
        <f t="shared" si="7"/>
        <v>CAN12</v>
      </c>
      <c r="I221" s="53" t="s">
        <v>2739</v>
      </c>
    </row>
    <row r="222" spans="1:9" ht="15" customHeight="1" x14ac:dyDescent="0.35">
      <c r="A222" s="52">
        <v>13</v>
      </c>
      <c r="B222" s="52" t="s">
        <v>271</v>
      </c>
      <c r="C222" s="53" t="s">
        <v>683</v>
      </c>
      <c r="D222" s="53" t="s">
        <v>684</v>
      </c>
      <c r="E222" s="52" t="s">
        <v>660</v>
      </c>
      <c r="F222" s="53" t="s">
        <v>2727</v>
      </c>
      <c r="G222" s="53" t="str">
        <f t="shared" si="6"/>
        <v>Derek CORNELIUS - Canada</v>
      </c>
      <c r="H222" s="53" t="str">
        <f t="shared" si="7"/>
        <v>CAN13</v>
      </c>
      <c r="I222" s="53" t="s">
        <v>2740</v>
      </c>
    </row>
    <row r="223" spans="1:9" ht="15" customHeight="1" x14ac:dyDescent="0.35">
      <c r="A223" s="52">
        <v>14</v>
      </c>
      <c r="B223" s="52" t="s">
        <v>280</v>
      </c>
      <c r="C223" s="53" t="s">
        <v>377</v>
      </c>
      <c r="D223" s="53" t="s">
        <v>685</v>
      </c>
      <c r="E223" s="52" t="s">
        <v>660</v>
      </c>
      <c r="F223" s="53" t="s">
        <v>2727</v>
      </c>
      <c r="G223" s="53" t="str">
        <f t="shared" si="6"/>
        <v>Jacob SHAFFELBURG - Canada</v>
      </c>
      <c r="H223" s="53" t="str">
        <f t="shared" si="7"/>
        <v>CAN14</v>
      </c>
      <c r="I223" s="53" t="s">
        <v>2741</v>
      </c>
    </row>
    <row r="224" spans="1:9" ht="15" customHeight="1" x14ac:dyDescent="0.35">
      <c r="A224" s="52">
        <v>15</v>
      </c>
      <c r="B224" s="52" t="s">
        <v>271</v>
      </c>
      <c r="C224" s="53" t="s">
        <v>686</v>
      </c>
      <c r="D224" s="53" t="s">
        <v>687</v>
      </c>
      <c r="E224" s="52" t="s">
        <v>660</v>
      </c>
      <c r="F224" s="53" t="s">
        <v>2727</v>
      </c>
      <c r="G224" s="53" t="str">
        <f t="shared" si="6"/>
        <v>Moise BOMBITO - Canada</v>
      </c>
      <c r="H224" s="53" t="str">
        <f t="shared" si="7"/>
        <v>CAN15</v>
      </c>
      <c r="I224" s="53" t="s">
        <v>2742</v>
      </c>
    </row>
    <row r="225" spans="1:9" ht="15" customHeight="1" x14ac:dyDescent="0.35">
      <c r="A225" s="52">
        <v>16</v>
      </c>
      <c r="B225" s="52" t="s">
        <v>267</v>
      </c>
      <c r="C225" s="53" t="s">
        <v>688</v>
      </c>
      <c r="D225" s="53" t="s">
        <v>689</v>
      </c>
      <c r="E225" s="52" t="s">
        <v>660</v>
      </c>
      <c r="F225" s="53" t="s">
        <v>2727</v>
      </c>
      <c r="G225" s="53" t="str">
        <f t="shared" si="6"/>
        <v>Maxime CREPEAU - Canada</v>
      </c>
      <c r="H225" s="53" t="str">
        <f t="shared" si="7"/>
        <v>CAN16</v>
      </c>
      <c r="I225" s="53" t="s">
        <v>2743</v>
      </c>
    </row>
    <row r="226" spans="1:9" ht="15" customHeight="1" x14ac:dyDescent="0.35">
      <c r="A226" s="52">
        <v>17</v>
      </c>
      <c r="B226" s="52" t="s">
        <v>283</v>
      </c>
      <c r="C226" s="53" t="s">
        <v>690</v>
      </c>
      <c r="D226" s="53" t="s">
        <v>691</v>
      </c>
      <c r="E226" s="52" t="s">
        <v>660</v>
      </c>
      <c r="F226" s="53" t="s">
        <v>2727</v>
      </c>
      <c r="G226" s="53" t="str">
        <f t="shared" si="6"/>
        <v>Tajon BUCHANAN - Canada</v>
      </c>
      <c r="H226" s="53" t="str">
        <f t="shared" si="7"/>
        <v>CAN17</v>
      </c>
      <c r="I226" s="53" t="s">
        <v>2744</v>
      </c>
    </row>
    <row r="227" spans="1:9" ht="15" customHeight="1" x14ac:dyDescent="0.35">
      <c r="A227" s="52">
        <v>18</v>
      </c>
      <c r="B227" s="52" t="s">
        <v>267</v>
      </c>
      <c r="C227" s="53" t="s">
        <v>692</v>
      </c>
      <c r="D227" s="53" t="s">
        <v>693</v>
      </c>
      <c r="E227" s="52" t="s">
        <v>660</v>
      </c>
      <c r="F227" s="53" t="s">
        <v>2727</v>
      </c>
      <c r="G227" s="53" t="str">
        <f t="shared" si="6"/>
        <v>Owen GOODMAN - Canada</v>
      </c>
      <c r="H227" s="53" t="str">
        <f t="shared" si="7"/>
        <v>CAN18</v>
      </c>
      <c r="I227" s="53" t="s">
        <v>2745</v>
      </c>
    </row>
    <row r="228" spans="1:9" ht="15" customHeight="1" x14ac:dyDescent="0.35">
      <c r="A228" s="52">
        <v>19</v>
      </c>
      <c r="B228" s="52" t="s">
        <v>271</v>
      </c>
      <c r="C228" s="53" t="s">
        <v>694</v>
      </c>
      <c r="D228" s="53" t="s">
        <v>695</v>
      </c>
      <c r="E228" s="52" t="s">
        <v>660</v>
      </c>
      <c r="F228" s="53" t="s">
        <v>2727</v>
      </c>
      <c r="G228" s="53" t="str">
        <f t="shared" si="6"/>
        <v>Alphonso DAVIES - Canada</v>
      </c>
      <c r="H228" s="53" t="str">
        <f t="shared" si="7"/>
        <v>CAN19</v>
      </c>
      <c r="I228" s="53" t="s">
        <v>2746</v>
      </c>
    </row>
    <row r="229" spans="1:9" ht="15" customHeight="1" x14ac:dyDescent="0.35">
      <c r="A229" s="52">
        <v>20</v>
      </c>
      <c r="B229" s="52" t="s">
        <v>283</v>
      </c>
      <c r="C229" s="53" t="s">
        <v>696</v>
      </c>
      <c r="D229" s="53" t="s">
        <v>697</v>
      </c>
      <c r="E229" s="52" t="s">
        <v>660</v>
      </c>
      <c r="F229" s="53" t="s">
        <v>2727</v>
      </c>
      <c r="G229" s="53" t="str">
        <f t="shared" si="6"/>
        <v>Ali AHMED - Canada</v>
      </c>
      <c r="H229" s="53" t="str">
        <f t="shared" si="7"/>
        <v>CAN20</v>
      </c>
      <c r="I229" s="53" t="s">
        <v>2747</v>
      </c>
    </row>
    <row r="230" spans="1:9" ht="15" customHeight="1" x14ac:dyDescent="0.35">
      <c r="A230" s="52">
        <v>21</v>
      </c>
      <c r="B230" s="52" t="s">
        <v>280</v>
      </c>
      <c r="C230" s="53" t="s">
        <v>677</v>
      </c>
      <c r="D230" s="53" t="s">
        <v>698</v>
      </c>
      <c r="E230" s="52" t="s">
        <v>660</v>
      </c>
      <c r="F230" s="53" t="s">
        <v>2727</v>
      </c>
      <c r="G230" s="53" t="str">
        <f t="shared" si="6"/>
        <v>Jonathan OSORIO - Canada</v>
      </c>
      <c r="H230" s="53" t="str">
        <f t="shared" si="7"/>
        <v>CAN21</v>
      </c>
      <c r="I230" s="53" t="s">
        <v>2748</v>
      </c>
    </row>
    <row r="231" spans="1:9" ht="15" customHeight="1" x14ac:dyDescent="0.35">
      <c r="A231" s="52">
        <v>22</v>
      </c>
      <c r="B231" s="52" t="s">
        <v>271</v>
      </c>
      <c r="C231" s="53" t="s">
        <v>699</v>
      </c>
      <c r="D231" s="53" t="s">
        <v>700</v>
      </c>
      <c r="E231" s="52" t="s">
        <v>660</v>
      </c>
      <c r="F231" s="53" t="s">
        <v>2727</v>
      </c>
      <c r="G231" s="53" t="str">
        <f t="shared" si="6"/>
        <v>Richie LARYEA - Canada</v>
      </c>
      <c r="H231" s="53" t="str">
        <f t="shared" si="7"/>
        <v>CAN22</v>
      </c>
      <c r="I231" s="53" t="s">
        <v>2749</v>
      </c>
    </row>
    <row r="232" spans="1:9" ht="15" customHeight="1" x14ac:dyDescent="0.35">
      <c r="A232" s="52">
        <v>23</v>
      </c>
      <c r="B232" s="52" t="s">
        <v>271</v>
      </c>
      <c r="C232" s="53" t="s">
        <v>701</v>
      </c>
      <c r="D232" s="53" t="s">
        <v>702</v>
      </c>
      <c r="E232" s="52" t="s">
        <v>660</v>
      </c>
      <c r="F232" s="53" t="s">
        <v>2727</v>
      </c>
      <c r="G232" s="53" t="str">
        <f t="shared" si="6"/>
        <v>Niko SIGUR - Canada</v>
      </c>
      <c r="H232" s="53" t="str">
        <f t="shared" si="7"/>
        <v>CAN23</v>
      </c>
      <c r="I232" s="53" t="s">
        <v>2750</v>
      </c>
    </row>
    <row r="233" spans="1:9" ht="15" customHeight="1" x14ac:dyDescent="0.35">
      <c r="A233" s="52">
        <v>24</v>
      </c>
      <c r="B233" s="52" t="s">
        <v>283</v>
      </c>
      <c r="C233" s="53" t="s">
        <v>703</v>
      </c>
      <c r="D233" s="53" t="s">
        <v>678</v>
      </c>
      <c r="E233" s="52" t="s">
        <v>660</v>
      </c>
      <c r="F233" s="53" t="s">
        <v>2727</v>
      </c>
      <c r="G233" s="53" t="str">
        <f t="shared" si="6"/>
        <v>Promise DAVID - Canada</v>
      </c>
      <c r="H233" s="53" t="str">
        <f t="shared" si="7"/>
        <v>CAN24</v>
      </c>
      <c r="I233" s="53" t="s">
        <v>2751</v>
      </c>
    </row>
    <row r="234" spans="1:9" ht="15" customHeight="1" x14ac:dyDescent="0.35">
      <c r="A234" s="52">
        <v>25</v>
      </c>
      <c r="B234" s="52" t="s">
        <v>280</v>
      </c>
      <c r="C234" s="53" t="s">
        <v>504</v>
      </c>
      <c r="D234" s="53" t="s">
        <v>704</v>
      </c>
      <c r="E234" s="52" t="s">
        <v>660</v>
      </c>
      <c r="F234" s="53" t="s">
        <v>2727</v>
      </c>
      <c r="G234" s="53" t="str">
        <f t="shared" si="6"/>
        <v>Nathan SALIBA - Canada</v>
      </c>
      <c r="H234" s="53" t="str">
        <f t="shared" si="7"/>
        <v>CAN25</v>
      </c>
      <c r="I234" s="53" t="s">
        <v>2752</v>
      </c>
    </row>
    <row r="235" spans="1:9" ht="15" customHeight="1" x14ac:dyDescent="0.35">
      <c r="A235" s="52">
        <v>26</v>
      </c>
      <c r="B235" s="52" t="s">
        <v>280</v>
      </c>
      <c r="C235" s="53" t="s">
        <v>2012</v>
      </c>
      <c r="D235" s="53" t="s">
        <v>2488</v>
      </c>
      <c r="E235" s="52" t="s">
        <v>660</v>
      </c>
      <c r="F235" s="53" t="s">
        <v>2727</v>
      </c>
      <c r="G235" s="53" t="str">
        <f t="shared" si="6"/>
        <v>Jayden NELSON - Canada</v>
      </c>
      <c r="H235" s="53" t="str">
        <f t="shared" si="7"/>
        <v>CAN26</v>
      </c>
      <c r="I235" s="53" t="s">
        <v>3798</v>
      </c>
    </row>
    <row r="236" spans="1:9" ht="15" customHeight="1" x14ac:dyDescent="0.35">
      <c r="A236" s="54">
        <v>1</v>
      </c>
      <c r="B236" s="54" t="s">
        <v>267</v>
      </c>
      <c r="C236" s="55" t="s">
        <v>421</v>
      </c>
      <c r="D236" s="55" t="s">
        <v>705</v>
      </c>
      <c r="E236" s="54" t="s">
        <v>706</v>
      </c>
      <c r="F236" s="55" t="s">
        <v>2753</v>
      </c>
      <c r="G236" s="55" t="str">
        <f t="shared" si="6"/>
        <v>David OSPINA - Colombia</v>
      </c>
      <c r="H236" s="55" t="str">
        <f t="shared" si="7"/>
        <v>COL1</v>
      </c>
      <c r="I236" s="55" t="s">
        <v>2754</v>
      </c>
    </row>
    <row r="237" spans="1:9" ht="15" customHeight="1" x14ac:dyDescent="0.35">
      <c r="A237" s="54">
        <v>2</v>
      </c>
      <c r="B237" s="54" t="s">
        <v>271</v>
      </c>
      <c r="C237" s="55" t="s">
        <v>707</v>
      </c>
      <c r="D237" s="55" t="s">
        <v>708</v>
      </c>
      <c r="E237" s="54" t="s">
        <v>706</v>
      </c>
      <c r="F237" s="55" t="s">
        <v>2753</v>
      </c>
      <c r="G237" s="55" t="str">
        <f t="shared" si="6"/>
        <v>Daniel MUNOZ - Colombia</v>
      </c>
      <c r="H237" s="55" t="str">
        <f t="shared" si="7"/>
        <v>COL2</v>
      </c>
      <c r="I237" s="55" t="s">
        <v>2755</v>
      </c>
    </row>
    <row r="238" spans="1:9" ht="15" customHeight="1" x14ac:dyDescent="0.35">
      <c r="A238" s="54">
        <v>3</v>
      </c>
      <c r="B238" s="54" t="s">
        <v>271</v>
      </c>
      <c r="C238" s="55" t="s">
        <v>709</v>
      </c>
      <c r="D238" s="55" t="s">
        <v>710</v>
      </c>
      <c r="E238" s="54" t="s">
        <v>706</v>
      </c>
      <c r="F238" s="55" t="s">
        <v>2753</v>
      </c>
      <c r="G238" s="55" t="str">
        <f t="shared" si="6"/>
        <v>Jhon LUCUMI - Colombia</v>
      </c>
      <c r="H238" s="55" t="str">
        <f t="shared" si="7"/>
        <v>COL3</v>
      </c>
      <c r="I238" s="55" t="s">
        <v>2756</v>
      </c>
    </row>
    <row r="239" spans="1:9" ht="15" customHeight="1" x14ac:dyDescent="0.35">
      <c r="A239" s="54">
        <v>4</v>
      </c>
      <c r="B239" s="54" t="s">
        <v>271</v>
      </c>
      <c r="C239" s="55" t="s">
        <v>711</v>
      </c>
      <c r="D239" s="55" t="s">
        <v>712</v>
      </c>
      <c r="E239" s="54" t="s">
        <v>706</v>
      </c>
      <c r="F239" s="55" t="s">
        <v>2753</v>
      </c>
      <c r="G239" s="55" t="str">
        <f t="shared" si="6"/>
        <v>Santiago ARIAS - Colombia</v>
      </c>
      <c r="H239" s="55" t="str">
        <f t="shared" si="7"/>
        <v>COL4</v>
      </c>
      <c r="I239" s="55" t="s">
        <v>2757</v>
      </c>
    </row>
    <row r="240" spans="1:9" ht="15" customHeight="1" x14ac:dyDescent="0.35">
      <c r="A240" s="54">
        <v>5</v>
      </c>
      <c r="B240" s="54" t="s">
        <v>280</v>
      </c>
      <c r="C240" s="55" t="s">
        <v>423</v>
      </c>
      <c r="D240" s="55" t="s">
        <v>713</v>
      </c>
      <c r="E240" s="54" t="s">
        <v>706</v>
      </c>
      <c r="F240" s="55" t="s">
        <v>2753</v>
      </c>
      <c r="G240" s="55" t="str">
        <f t="shared" si="6"/>
        <v>Kevin CASTANO - Colombia</v>
      </c>
      <c r="H240" s="55" t="str">
        <f t="shared" si="7"/>
        <v>COL5</v>
      </c>
      <c r="I240" s="55" t="s">
        <v>2758</v>
      </c>
    </row>
    <row r="241" spans="1:9" ht="15" customHeight="1" x14ac:dyDescent="0.35">
      <c r="A241" s="54">
        <v>6</v>
      </c>
      <c r="B241" s="54" t="s">
        <v>280</v>
      </c>
      <c r="C241" s="55" t="s">
        <v>714</v>
      </c>
      <c r="D241" s="55" t="s">
        <v>715</v>
      </c>
      <c r="E241" s="54" t="s">
        <v>706</v>
      </c>
      <c r="F241" s="55" t="s">
        <v>2753</v>
      </c>
      <c r="G241" s="55" t="str">
        <f t="shared" si="6"/>
        <v>Richard RIOS - Colombia</v>
      </c>
      <c r="H241" s="55" t="str">
        <f t="shared" si="7"/>
        <v>COL6</v>
      </c>
      <c r="I241" s="55" t="s">
        <v>2759</v>
      </c>
    </row>
    <row r="242" spans="1:9" ht="15" customHeight="1" x14ac:dyDescent="0.35">
      <c r="A242" s="54">
        <v>7</v>
      </c>
      <c r="B242" s="54" t="s">
        <v>283</v>
      </c>
      <c r="C242" s="55" t="s">
        <v>716</v>
      </c>
      <c r="D242" s="55" t="s">
        <v>717</v>
      </c>
      <c r="E242" s="54" t="s">
        <v>706</v>
      </c>
      <c r="F242" s="55" t="s">
        <v>2753</v>
      </c>
      <c r="G242" s="55" t="str">
        <f t="shared" si="6"/>
        <v>Luis DIAZ - Colombia</v>
      </c>
      <c r="H242" s="55" t="str">
        <f t="shared" si="7"/>
        <v>COL7</v>
      </c>
      <c r="I242" s="55" t="s">
        <v>2760</v>
      </c>
    </row>
    <row r="243" spans="1:9" ht="15" customHeight="1" x14ac:dyDescent="0.35">
      <c r="A243" s="54">
        <v>8</v>
      </c>
      <c r="B243" s="54" t="s">
        <v>280</v>
      </c>
      <c r="C243" s="55" t="s">
        <v>718</v>
      </c>
      <c r="D243" s="55" t="s">
        <v>719</v>
      </c>
      <c r="E243" s="54" t="s">
        <v>706</v>
      </c>
      <c r="F243" s="55" t="s">
        <v>2753</v>
      </c>
      <c r="G243" s="55" t="str">
        <f t="shared" si="6"/>
        <v>Jorge CARRASCAL - Colombia</v>
      </c>
      <c r="H243" s="55" t="str">
        <f t="shared" si="7"/>
        <v>COL8</v>
      </c>
      <c r="I243" s="55" t="s">
        <v>2761</v>
      </c>
    </row>
    <row r="244" spans="1:9" ht="15" customHeight="1" x14ac:dyDescent="0.35">
      <c r="A244" s="54">
        <v>9</v>
      </c>
      <c r="B244" s="54" t="s">
        <v>283</v>
      </c>
      <c r="C244" s="55" t="s">
        <v>709</v>
      </c>
      <c r="D244" s="55" t="s">
        <v>720</v>
      </c>
      <c r="E244" s="54" t="s">
        <v>706</v>
      </c>
      <c r="F244" s="55" t="s">
        <v>2753</v>
      </c>
      <c r="G244" s="55" t="str">
        <f t="shared" si="6"/>
        <v>Jhon CORDOBA - Colombia</v>
      </c>
      <c r="H244" s="55" t="str">
        <f t="shared" si="7"/>
        <v>COL9</v>
      </c>
      <c r="I244" s="55" t="s">
        <v>2762</v>
      </c>
    </row>
    <row r="245" spans="1:9" ht="15" customHeight="1" x14ac:dyDescent="0.35">
      <c r="A245" s="54">
        <v>10</v>
      </c>
      <c r="B245" s="54" t="s">
        <v>280</v>
      </c>
      <c r="C245" s="55" t="s">
        <v>721</v>
      </c>
      <c r="D245" s="55" t="s">
        <v>722</v>
      </c>
      <c r="E245" s="54" t="s">
        <v>706</v>
      </c>
      <c r="F245" s="55" t="s">
        <v>2753</v>
      </c>
      <c r="G245" s="55" t="str">
        <f t="shared" si="6"/>
        <v>James RODRIGUEZ - Colombia</v>
      </c>
      <c r="H245" s="55" t="str">
        <f t="shared" si="7"/>
        <v>COL10</v>
      </c>
      <c r="I245" s="55" t="s">
        <v>2763</v>
      </c>
    </row>
    <row r="246" spans="1:9" ht="15" customHeight="1" x14ac:dyDescent="0.35">
      <c r="A246" s="54">
        <v>11</v>
      </c>
      <c r="B246" s="54" t="s">
        <v>280</v>
      </c>
      <c r="C246" s="55" t="s">
        <v>709</v>
      </c>
      <c r="D246" s="55" t="s">
        <v>712</v>
      </c>
      <c r="E246" s="54" t="s">
        <v>706</v>
      </c>
      <c r="F246" s="55" t="s">
        <v>2753</v>
      </c>
      <c r="G246" s="55" t="str">
        <f t="shared" si="6"/>
        <v>Jhon ARIAS - Colombia</v>
      </c>
      <c r="H246" s="55" t="str">
        <f t="shared" si="7"/>
        <v>COL11</v>
      </c>
      <c r="I246" s="55" t="s">
        <v>2764</v>
      </c>
    </row>
    <row r="247" spans="1:9" ht="15" customHeight="1" x14ac:dyDescent="0.35">
      <c r="A247" s="54">
        <v>12</v>
      </c>
      <c r="B247" s="54" t="s">
        <v>267</v>
      </c>
      <c r="C247" s="55" t="s">
        <v>723</v>
      </c>
      <c r="D247" s="55" t="s">
        <v>724</v>
      </c>
      <c r="E247" s="54" t="s">
        <v>706</v>
      </c>
      <c r="F247" s="55" t="s">
        <v>2753</v>
      </c>
      <c r="G247" s="55" t="str">
        <f t="shared" si="6"/>
        <v>Camilo VARGAS - Colombia</v>
      </c>
      <c r="H247" s="55" t="str">
        <f t="shared" si="7"/>
        <v>COL12</v>
      </c>
      <c r="I247" s="55" t="s">
        <v>2765</v>
      </c>
    </row>
    <row r="248" spans="1:9" ht="15" customHeight="1" x14ac:dyDescent="0.35">
      <c r="A248" s="54">
        <v>13</v>
      </c>
      <c r="B248" s="54" t="s">
        <v>271</v>
      </c>
      <c r="C248" s="55" t="s">
        <v>725</v>
      </c>
      <c r="D248" s="55" t="s">
        <v>726</v>
      </c>
      <c r="E248" s="54" t="s">
        <v>706</v>
      </c>
      <c r="F248" s="55" t="s">
        <v>2753</v>
      </c>
      <c r="G248" s="55" t="str">
        <f t="shared" si="6"/>
        <v>Yerry MINA - Colombia</v>
      </c>
      <c r="H248" s="55" t="str">
        <f t="shared" si="7"/>
        <v>COL13</v>
      </c>
      <c r="I248" s="55" t="s">
        <v>2766</v>
      </c>
    </row>
    <row r="249" spans="1:9" ht="15" customHeight="1" x14ac:dyDescent="0.35">
      <c r="A249" s="54">
        <v>14</v>
      </c>
      <c r="B249" s="54" t="s">
        <v>271</v>
      </c>
      <c r="C249" s="55" t="s">
        <v>727</v>
      </c>
      <c r="D249" s="55" t="s">
        <v>728</v>
      </c>
      <c r="E249" s="54" t="s">
        <v>706</v>
      </c>
      <c r="F249" s="55" t="s">
        <v>2753</v>
      </c>
      <c r="G249" s="55" t="str">
        <f t="shared" si="6"/>
        <v>Gustavo PUERTA - Colombia</v>
      </c>
      <c r="H249" s="55" t="str">
        <f t="shared" si="7"/>
        <v>COL14</v>
      </c>
      <c r="I249" s="55" t="s">
        <v>2767</v>
      </c>
    </row>
    <row r="250" spans="1:9" ht="15" customHeight="1" x14ac:dyDescent="0.35">
      <c r="A250" s="54">
        <v>15</v>
      </c>
      <c r="B250" s="54" t="s">
        <v>280</v>
      </c>
      <c r="C250" s="55" t="s">
        <v>323</v>
      </c>
      <c r="D250" s="55" t="s">
        <v>729</v>
      </c>
      <c r="E250" s="54" t="s">
        <v>706</v>
      </c>
      <c r="F250" s="55" t="s">
        <v>2753</v>
      </c>
      <c r="G250" s="55" t="str">
        <f t="shared" si="6"/>
        <v>Juan PORTILLA - Colombia</v>
      </c>
      <c r="H250" s="55" t="str">
        <f t="shared" si="7"/>
        <v>COL15</v>
      </c>
      <c r="I250" s="55" t="s">
        <v>2768</v>
      </c>
    </row>
    <row r="251" spans="1:9" ht="15" customHeight="1" x14ac:dyDescent="0.35">
      <c r="A251" s="54">
        <v>16</v>
      </c>
      <c r="B251" s="54" t="s">
        <v>280</v>
      </c>
      <c r="C251" s="55" t="s">
        <v>730</v>
      </c>
      <c r="D251" s="55" t="s">
        <v>731</v>
      </c>
      <c r="E251" s="54" t="s">
        <v>706</v>
      </c>
      <c r="F251" s="55" t="s">
        <v>2753</v>
      </c>
      <c r="G251" s="55" t="str">
        <f t="shared" si="6"/>
        <v>Jefferson LERMA - Colombia</v>
      </c>
      <c r="H251" s="55" t="str">
        <f t="shared" si="7"/>
        <v>COL16</v>
      </c>
      <c r="I251" s="55" t="s">
        <v>2769</v>
      </c>
    </row>
    <row r="252" spans="1:9" ht="15" customHeight="1" x14ac:dyDescent="0.35">
      <c r="A252" s="54">
        <v>17</v>
      </c>
      <c r="B252" s="54" t="s">
        <v>271</v>
      </c>
      <c r="C252" s="55" t="s">
        <v>732</v>
      </c>
      <c r="D252" s="55" t="s">
        <v>733</v>
      </c>
      <c r="E252" s="54" t="s">
        <v>706</v>
      </c>
      <c r="F252" s="55" t="s">
        <v>2753</v>
      </c>
      <c r="G252" s="55" t="str">
        <f t="shared" si="6"/>
        <v>Johan MOJICA - Colombia</v>
      </c>
      <c r="H252" s="55" t="str">
        <f t="shared" si="7"/>
        <v>COL17</v>
      </c>
      <c r="I252" s="55" t="s">
        <v>2770</v>
      </c>
    </row>
    <row r="253" spans="1:9" ht="15" customHeight="1" x14ac:dyDescent="0.35">
      <c r="A253" s="54">
        <v>18</v>
      </c>
      <c r="B253" s="54" t="s">
        <v>271</v>
      </c>
      <c r="C253" s="55" t="s">
        <v>734</v>
      </c>
      <c r="D253" s="55" t="s">
        <v>735</v>
      </c>
      <c r="E253" s="54" t="s">
        <v>706</v>
      </c>
      <c r="F253" s="55" t="s">
        <v>2753</v>
      </c>
      <c r="G253" s="55" t="str">
        <f t="shared" si="6"/>
        <v>Willer DITTA - Colombia</v>
      </c>
      <c r="H253" s="55" t="str">
        <f t="shared" si="7"/>
        <v>COL18</v>
      </c>
      <c r="I253" s="55" t="s">
        <v>2771</v>
      </c>
    </row>
    <row r="254" spans="1:9" ht="15" customHeight="1" x14ac:dyDescent="0.35">
      <c r="A254" s="54">
        <v>19</v>
      </c>
      <c r="B254" s="54" t="s">
        <v>283</v>
      </c>
      <c r="C254" s="55" t="s">
        <v>736</v>
      </c>
      <c r="D254" s="55" t="s">
        <v>737</v>
      </c>
      <c r="E254" s="54" t="s">
        <v>706</v>
      </c>
      <c r="F254" s="55" t="s">
        <v>2753</v>
      </c>
      <c r="G254" s="55" t="str">
        <f t="shared" si="6"/>
        <v>Cucho HERNANDEZ - Colombia</v>
      </c>
      <c r="H254" s="55" t="str">
        <f t="shared" si="7"/>
        <v>COL19</v>
      </c>
      <c r="I254" s="55" t="s">
        <v>2772</v>
      </c>
    </row>
    <row r="255" spans="1:9" ht="15" customHeight="1" x14ac:dyDescent="0.35">
      <c r="A255" s="54">
        <v>20</v>
      </c>
      <c r="B255" s="54" t="s">
        <v>280</v>
      </c>
      <c r="C255" s="55" t="s">
        <v>323</v>
      </c>
      <c r="D255" s="55" t="s">
        <v>738</v>
      </c>
      <c r="E255" s="54" t="s">
        <v>706</v>
      </c>
      <c r="F255" s="55" t="s">
        <v>2753</v>
      </c>
      <c r="G255" s="55" t="str">
        <f t="shared" si="6"/>
        <v>Juan QUINTERO - Colombia</v>
      </c>
      <c r="H255" s="55" t="str">
        <f t="shared" si="7"/>
        <v>COL20</v>
      </c>
      <c r="I255" s="55" t="s">
        <v>2773</v>
      </c>
    </row>
    <row r="256" spans="1:9" ht="15" customHeight="1" x14ac:dyDescent="0.35">
      <c r="A256" s="54">
        <v>21</v>
      </c>
      <c r="B256" s="54" t="s">
        <v>283</v>
      </c>
      <c r="C256" s="55" t="s">
        <v>739</v>
      </c>
      <c r="D256" s="55" t="s">
        <v>740</v>
      </c>
      <c r="E256" s="54" t="s">
        <v>706</v>
      </c>
      <c r="F256" s="55" t="s">
        <v>2753</v>
      </c>
      <c r="G256" s="55" t="str">
        <f t="shared" si="6"/>
        <v>Jaminton CAMPAZ - Colombia</v>
      </c>
      <c r="H256" s="55" t="str">
        <f t="shared" si="7"/>
        <v>COL21</v>
      </c>
      <c r="I256" s="55" t="s">
        <v>2774</v>
      </c>
    </row>
    <row r="257" spans="1:9" ht="15" customHeight="1" x14ac:dyDescent="0.35">
      <c r="A257" s="54">
        <v>22</v>
      </c>
      <c r="B257" s="54" t="s">
        <v>271</v>
      </c>
      <c r="C257" s="55" t="s">
        <v>741</v>
      </c>
      <c r="D257" s="55" t="s">
        <v>742</v>
      </c>
      <c r="E257" s="54" t="s">
        <v>706</v>
      </c>
      <c r="F257" s="55" t="s">
        <v>2753</v>
      </c>
      <c r="G257" s="55" t="str">
        <f t="shared" si="6"/>
        <v>Deiver MACHADO - Colombia</v>
      </c>
      <c r="H257" s="55" t="str">
        <f t="shared" si="7"/>
        <v>COL22</v>
      </c>
      <c r="I257" s="55" t="s">
        <v>2775</v>
      </c>
    </row>
    <row r="258" spans="1:9" ht="15" customHeight="1" x14ac:dyDescent="0.35">
      <c r="A258" s="54">
        <v>23</v>
      </c>
      <c r="B258" s="54" t="s">
        <v>271</v>
      </c>
      <c r="C258" s="55" t="s">
        <v>743</v>
      </c>
      <c r="D258" s="55" t="s">
        <v>744</v>
      </c>
      <c r="E258" s="54" t="s">
        <v>706</v>
      </c>
      <c r="F258" s="55" t="s">
        <v>2753</v>
      </c>
      <c r="G258" s="55" t="str">
        <f t="shared" si="6"/>
        <v>Davinson SANCHEZ - Colombia</v>
      </c>
      <c r="H258" s="55" t="str">
        <f t="shared" si="7"/>
        <v>COL23</v>
      </c>
      <c r="I258" s="55" t="s">
        <v>2776</v>
      </c>
    </row>
    <row r="259" spans="1:9" ht="15" customHeight="1" x14ac:dyDescent="0.35">
      <c r="A259" s="54">
        <v>24</v>
      </c>
      <c r="B259" s="54" t="s">
        <v>267</v>
      </c>
      <c r="C259" s="55" t="s">
        <v>745</v>
      </c>
      <c r="D259" s="55" t="s">
        <v>746</v>
      </c>
      <c r="E259" s="54" t="s">
        <v>706</v>
      </c>
      <c r="F259" s="55" t="s">
        <v>2753</v>
      </c>
      <c r="G259" s="55" t="str">
        <f t="shared" ref="G259:G322" si="8">_xlfn.CONCAT(C259, " ",D259, " - ",F259)</f>
        <v>Alvaro MONTERO - Colombia</v>
      </c>
      <c r="H259" s="55" t="str">
        <f t="shared" ref="H259:H322" si="9">_xlfn.CONCAT(E259,A259)</f>
        <v>COL24</v>
      </c>
      <c r="I259" s="55" t="s">
        <v>2777</v>
      </c>
    </row>
    <row r="260" spans="1:9" ht="15" customHeight="1" x14ac:dyDescent="0.35">
      <c r="A260" s="54">
        <v>25</v>
      </c>
      <c r="B260" s="54" t="s">
        <v>283</v>
      </c>
      <c r="C260" s="55" t="s">
        <v>716</v>
      </c>
      <c r="D260" s="55" t="s">
        <v>747</v>
      </c>
      <c r="E260" s="54" t="s">
        <v>706</v>
      </c>
      <c r="F260" s="55" t="s">
        <v>2753</v>
      </c>
      <c r="G260" s="55" t="str">
        <f t="shared" si="8"/>
        <v>Luis SUAREZ - Colombia</v>
      </c>
      <c r="H260" s="55" t="str">
        <f t="shared" si="9"/>
        <v>COL25</v>
      </c>
      <c r="I260" s="55" t="s">
        <v>2778</v>
      </c>
    </row>
    <row r="261" spans="1:9" ht="15" customHeight="1" x14ac:dyDescent="0.35">
      <c r="A261" s="54">
        <v>26</v>
      </c>
      <c r="B261" s="54" t="s">
        <v>283</v>
      </c>
      <c r="C261" s="55" t="s">
        <v>748</v>
      </c>
      <c r="D261" s="55" t="s">
        <v>749</v>
      </c>
      <c r="E261" s="54" t="s">
        <v>706</v>
      </c>
      <c r="F261" s="55" t="s">
        <v>2753</v>
      </c>
      <c r="G261" s="55" t="str">
        <f t="shared" si="8"/>
        <v>Andres GOMEZ - Colombia</v>
      </c>
      <c r="H261" s="55" t="str">
        <f t="shared" si="9"/>
        <v>COL26</v>
      </c>
      <c r="I261" s="55" t="s">
        <v>2779</v>
      </c>
    </row>
    <row r="262" spans="1:9" ht="15" customHeight="1" x14ac:dyDescent="0.35">
      <c r="A262" s="56">
        <v>1</v>
      </c>
      <c r="B262" s="56" t="s">
        <v>267</v>
      </c>
      <c r="C262" s="57" t="s">
        <v>340</v>
      </c>
      <c r="D262" s="57" t="s">
        <v>750</v>
      </c>
      <c r="E262" s="56" t="s">
        <v>751</v>
      </c>
      <c r="F262" s="57" t="s">
        <v>2780</v>
      </c>
      <c r="G262" s="57" t="str">
        <f t="shared" si="8"/>
        <v>Lionel MPASI - DR Congo</v>
      </c>
      <c r="H262" s="57" t="str">
        <f t="shared" si="9"/>
        <v>COD1</v>
      </c>
      <c r="I262" s="57" t="s">
        <v>2781</v>
      </c>
    </row>
    <row r="263" spans="1:9" ht="15" customHeight="1" x14ac:dyDescent="0.35">
      <c r="A263" s="56">
        <v>2</v>
      </c>
      <c r="B263" s="56" t="s">
        <v>271</v>
      </c>
      <c r="C263" s="57" t="s">
        <v>752</v>
      </c>
      <c r="D263" s="57" t="s">
        <v>753</v>
      </c>
      <c r="E263" s="56" t="s">
        <v>751</v>
      </c>
      <c r="F263" s="57" t="s">
        <v>2780</v>
      </c>
      <c r="G263" s="57" t="str">
        <f t="shared" si="8"/>
        <v>Aaron WAN-BISSAKA - DR Congo</v>
      </c>
      <c r="H263" s="57" t="str">
        <f t="shared" si="9"/>
        <v>COD2</v>
      </c>
      <c r="I263" s="57" t="s">
        <v>2782</v>
      </c>
    </row>
    <row r="264" spans="1:9" ht="15" customHeight="1" x14ac:dyDescent="0.35">
      <c r="A264" s="56">
        <v>3</v>
      </c>
      <c r="B264" s="56" t="s">
        <v>271</v>
      </c>
      <c r="C264" s="57" t="s">
        <v>754</v>
      </c>
      <c r="D264" s="57" t="s">
        <v>755</v>
      </c>
      <c r="E264" s="56" t="s">
        <v>751</v>
      </c>
      <c r="F264" s="57" t="s">
        <v>2780</v>
      </c>
      <c r="G264" s="57" t="str">
        <f t="shared" si="8"/>
        <v>Steve KAPUADI - DR Congo</v>
      </c>
      <c r="H264" s="57" t="str">
        <f t="shared" si="9"/>
        <v>COD3</v>
      </c>
      <c r="I264" s="57" t="s">
        <v>2783</v>
      </c>
    </row>
    <row r="265" spans="1:9" ht="15" customHeight="1" x14ac:dyDescent="0.35">
      <c r="A265" s="56">
        <v>4</v>
      </c>
      <c r="B265" s="56" t="s">
        <v>271</v>
      </c>
      <c r="C265" s="57" t="s">
        <v>470</v>
      </c>
      <c r="D265" s="57" t="s">
        <v>756</v>
      </c>
      <c r="E265" s="56" t="s">
        <v>751</v>
      </c>
      <c r="F265" s="57" t="s">
        <v>2780</v>
      </c>
      <c r="G265" s="57" t="str">
        <f t="shared" si="8"/>
        <v>Axel TUANZEBE - DR Congo</v>
      </c>
      <c r="H265" s="57" t="str">
        <f t="shared" si="9"/>
        <v>COD4</v>
      </c>
      <c r="I265" s="57" t="s">
        <v>2784</v>
      </c>
    </row>
    <row r="266" spans="1:9" ht="15" customHeight="1" x14ac:dyDescent="0.35">
      <c r="A266" s="56">
        <v>5</v>
      </c>
      <c r="B266" s="56" t="s">
        <v>271</v>
      </c>
      <c r="C266" s="57" t="s">
        <v>757</v>
      </c>
      <c r="D266" s="57" t="s">
        <v>758</v>
      </c>
      <c r="E266" s="56" t="s">
        <v>751</v>
      </c>
      <c r="F266" s="57" t="s">
        <v>2780</v>
      </c>
      <c r="G266" s="57" t="str">
        <f t="shared" si="8"/>
        <v>Dylan BATUBINSIKA - DR Congo</v>
      </c>
      <c r="H266" s="57" t="str">
        <f t="shared" si="9"/>
        <v>COD5</v>
      </c>
      <c r="I266" s="57" t="s">
        <v>2785</v>
      </c>
    </row>
    <row r="267" spans="1:9" ht="15" customHeight="1" x14ac:dyDescent="0.35">
      <c r="A267" s="56">
        <v>6</v>
      </c>
      <c r="B267" s="56" t="s">
        <v>280</v>
      </c>
      <c r="C267" s="57" t="s">
        <v>759</v>
      </c>
      <c r="D267" s="57" t="s">
        <v>760</v>
      </c>
      <c r="E267" s="56" t="s">
        <v>751</v>
      </c>
      <c r="F267" s="57" t="s">
        <v>2780</v>
      </c>
      <c r="G267" s="57" t="str">
        <f t="shared" si="8"/>
        <v>Ngalayel MUKAU - DR Congo</v>
      </c>
      <c r="H267" s="57" t="str">
        <f t="shared" si="9"/>
        <v>COD6</v>
      </c>
      <c r="I267" s="57" t="s">
        <v>2786</v>
      </c>
    </row>
    <row r="268" spans="1:9" ht="15" customHeight="1" x14ac:dyDescent="0.35">
      <c r="A268" s="56">
        <v>7</v>
      </c>
      <c r="B268" s="56" t="s">
        <v>280</v>
      </c>
      <c r="C268" s="57" t="s">
        <v>761</v>
      </c>
      <c r="D268" s="57" t="s">
        <v>762</v>
      </c>
      <c r="E268" s="56" t="s">
        <v>751</v>
      </c>
      <c r="F268" s="57" t="s">
        <v>2780</v>
      </c>
      <c r="G268" s="57" t="str">
        <f t="shared" si="8"/>
        <v>Nathanael MBUKU - DR Congo</v>
      </c>
      <c r="H268" s="57" t="str">
        <f t="shared" si="9"/>
        <v>COD7</v>
      </c>
      <c r="I268" s="57" t="s">
        <v>2787</v>
      </c>
    </row>
    <row r="269" spans="1:9" ht="15" customHeight="1" x14ac:dyDescent="0.35">
      <c r="A269" s="56">
        <v>8</v>
      </c>
      <c r="B269" s="56" t="s">
        <v>280</v>
      </c>
      <c r="C269" s="57" t="s">
        <v>763</v>
      </c>
      <c r="D269" s="57" t="s">
        <v>764</v>
      </c>
      <c r="E269" s="56" t="s">
        <v>751</v>
      </c>
      <c r="F269" s="57" t="s">
        <v>2780</v>
      </c>
      <c r="G269" s="57" t="str">
        <f t="shared" si="8"/>
        <v>Samuel MOUTOUSSAMY - DR Congo</v>
      </c>
      <c r="H269" s="57" t="str">
        <f t="shared" si="9"/>
        <v>COD8</v>
      </c>
      <c r="I269" s="57" t="s">
        <v>2788</v>
      </c>
    </row>
    <row r="270" spans="1:9" ht="15" customHeight="1" x14ac:dyDescent="0.35">
      <c r="A270" s="56">
        <v>9</v>
      </c>
      <c r="B270" s="56" t="s">
        <v>283</v>
      </c>
      <c r="C270" s="57" t="s">
        <v>765</v>
      </c>
      <c r="D270" s="57" t="s">
        <v>766</v>
      </c>
      <c r="E270" s="56" t="s">
        <v>751</v>
      </c>
      <c r="F270" s="57" t="s">
        <v>2780</v>
      </c>
      <c r="G270" s="57" t="str">
        <f t="shared" si="8"/>
        <v>Brian CIPENGA - DR Congo</v>
      </c>
      <c r="H270" s="57" t="str">
        <f t="shared" si="9"/>
        <v>COD9</v>
      </c>
      <c r="I270" s="57" t="s">
        <v>2789</v>
      </c>
    </row>
    <row r="271" spans="1:9" ht="15" customHeight="1" x14ac:dyDescent="0.35">
      <c r="A271" s="56">
        <v>10</v>
      </c>
      <c r="B271" s="56" t="s">
        <v>280</v>
      </c>
      <c r="C271" s="57" t="s">
        <v>767</v>
      </c>
      <c r="D271" s="57" t="s">
        <v>768</v>
      </c>
      <c r="E271" s="56" t="s">
        <v>751</v>
      </c>
      <c r="F271" s="57" t="s">
        <v>2780</v>
      </c>
      <c r="G271" s="57" t="str">
        <f t="shared" si="8"/>
        <v>Theo BONGONDA - DR Congo</v>
      </c>
      <c r="H271" s="57" t="str">
        <f t="shared" si="9"/>
        <v>COD10</v>
      </c>
      <c r="I271" s="57" t="s">
        <v>2790</v>
      </c>
    </row>
    <row r="272" spans="1:9" ht="15" customHeight="1" x14ac:dyDescent="0.35">
      <c r="A272" s="56">
        <v>11</v>
      </c>
      <c r="B272" s="56" t="s">
        <v>283</v>
      </c>
      <c r="C272" s="57" t="s">
        <v>769</v>
      </c>
      <c r="D272" s="57" t="s">
        <v>770</v>
      </c>
      <c r="E272" s="56" t="s">
        <v>751</v>
      </c>
      <c r="F272" s="57" t="s">
        <v>2780</v>
      </c>
      <c r="G272" s="57" t="str">
        <f t="shared" si="8"/>
        <v>Gael KAKUTA - DR Congo</v>
      </c>
      <c r="H272" s="57" t="str">
        <f t="shared" si="9"/>
        <v>COD11</v>
      </c>
      <c r="I272" s="57" t="s">
        <v>2791</v>
      </c>
    </row>
    <row r="273" spans="1:9" ht="15" customHeight="1" x14ac:dyDescent="0.35">
      <c r="A273" s="56">
        <v>12</v>
      </c>
      <c r="B273" s="56" t="s">
        <v>271</v>
      </c>
      <c r="C273" s="57" t="s">
        <v>771</v>
      </c>
      <c r="D273" s="57" t="s">
        <v>772</v>
      </c>
      <c r="E273" s="56" t="s">
        <v>751</v>
      </c>
      <c r="F273" s="57" t="s">
        <v>2780</v>
      </c>
      <c r="G273" s="57" t="str">
        <f t="shared" si="8"/>
        <v>Joris KAYEMBE - DR Congo</v>
      </c>
      <c r="H273" s="57" t="str">
        <f t="shared" si="9"/>
        <v>COD12</v>
      </c>
      <c r="I273" s="57" t="s">
        <v>2792</v>
      </c>
    </row>
    <row r="274" spans="1:9" ht="15" customHeight="1" x14ac:dyDescent="0.35">
      <c r="A274" s="56">
        <v>13</v>
      </c>
      <c r="B274" s="56" t="s">
        <v>283</v>
      </c>
      <c r="C274" s="57" t="s">
        <v>773</v>
      </c>
      <c r="D274" s="57" t="s">
        <v>774</v>
      </c>
      <c r="E274" s="56" t="s">
        <v>751</v>
      </c>
      <c r="F274" s="57" t="s">
        <v>2780</v>
      </c>
      <c r="G274" s="57" t="str">
        <f t="shared" si="8"/>
        <v>Meschack ELIA - DR Congo</v>
      </c>
      <c r="H274" s="57" t="str">
        <f t="shared" si="9"/>
        <v>COD13</v>
      </c>
      <c r="I274" s="57" t="s">
        <v>2793</v>
      </c>
    </row>
    <row r="275" spans="1:9" ht="15" customHeight="1" x14ac:dyDescent="0.35">
      <c r="A275" s="56">
        <v>14</v>
      </c>
      <c r="B275" s="56" t="s">
        <v>280</v>
      </c>
      <c r="C275" s="57" t="s">
        <v>775</v>
      </c>
      <c r="D275" s="57" t="s">
        <v>776</v>
      </c>
      <c r="E275" s="56" t="s">
        <v>751</v>
      </c>
      <c r="F275" s="57" t="s">
        <v>2780</v>
      </c>
      <c r="G275" s="57" t="str">
        <f t="shared" si="8"/>
        <v>Noah SADIKI - DR Congo</v>
      </c>
      <c r="H275" s="57" t="str">
        <f t="shared" si="9"/>
        <v>COD14</v>
      </c>
      <c r="I275" s="57" t="s">
        <v>2794</v>
      </c>
    </row>
    <row r="276" spans="1:9" ht="15" customHeight="1" x14ac:dyDescent="0.35">
      <c r="A276" s="56">
        <v>15</v>
      </c>
      <c r="B276" s="56" t="s">
        <v>280</v>
      </c>
      <c r="C276" s="57" t="s">
        <v>752</v>
      </c>
      <c r="D276" s="57" t="s">
        <v>777</v>
      </c>
      <c r="E276" s="56" t="s">
        <v>751</v>
      </c>
      <c r="F276" s="57" t="s">
        <v>2780</v>
      </c>
      <c r="G276" s="57" t="str">
        <f t="shared" si="8"/>
        <v>Aaron TSHIBOLA - DR Congo</v>
      </c>
      <c r="H276" s="57" t="str">
        <f t="shared" si="9"/>
        <v>COD15</v>
      </c>
      <c r="I276" s="57" t="s">
        <v>2795</v>
      </c>
    </row>
    <row r="277" spans="1:9" ht="15" customHeight="1" x14ac:dyDescent="0.35">
      <c r="A277" s="56">
        <v>16</v>
      </c>
      <c r="B277" s="56" t="s">
        <v>267</v>
      </c>
      <c r="C277" s="57" t="s">
        <v>498</v>
      </c>
      <c r="D277" s="57" t="s">
        <v>778</v>
      </c>
      <c r="E277" s="56" t="s">
        <v>751</v>
      </c>
      <c r="F277" s="57" t="s">
        <v>2780</v>
      </c>
      <c r="G277" s="57" t="str">
        <f t="shared" si="8"/>
        <v>Timothy FAYULU - DR Congo</v>
      </c>
      <c r="H277" s="57" t="str">
        <f t="shared" si="9"/>
        <v>COD16</v>
      </c>
      <c r="I277" s="57" t="s">
        <v>2796</v>
      </c>
    </row>
    <row r="278" spans="1:9" ht="15" customHeight="1" x14ac:dyDescent="0.35">
      <c r="A278" s="56">
        <v>17</v>
      </c>
      <c r="B278" s="56" t="s">
        <v>283</v>
      </c>
      <c r="C278" s="57" t="s">
        <v>779</v>
      </c>
      <c r="D278" s="57" t="s">
        <v>780</v>
      </c>
      <c r="E278" s="56" t="s">
        <v>751</v>
      </c>
      <c r="F278" s="57" t="s">
        <v>2780</v>
      </c>
      <c r="G278" s="57" t="str">
        <f t="shared" si="8"/>
        <v>Cedric BAKAMBU - DR Congo</v>
      </c>
      <c r="H278" s="57" t="str">
        <f t="shared" si="9"/>
        <v>COD17</v>
      </c>
      <c r="I278" s="57" t="s">
        <v>2797</v>
      </c>
    </row>
    <row r="279" spans="1:9" ht="15" customHeight="1" x14ac:dyDescent="0.35">
      <c r="A279" s="56">
        <v>18</v>
      </c>
      <c r="B279" s="56" t="s">
        <v>280</v>
      </c>
      <c r="C279" s="57" t="s">
        <v>490</v>
      </c>
      <c r="D279" s="57" t="s">
        <v>781</v>
      </c>
      <c r="E279" s="56" t="s">
        <v>751</v>
      </c>
      <c r="F279" s="57" t="s">
        <v>2780</v>
      </c>
      <c r="G279" s="57" t="str">
        <f t="shared" si="8"/>
        <v>Charles PICKEL - DR Congo</v>
      </c>
      <c r="H279" s="57" t="str">
        <f t="shared" si="9"/>
        <v>COD18</v>
      </c>
      <c r="I279" s="57" t="s">
        <v>2798</v>
      </c>
    </row>
    <row r="280" spans="1:9" ht="15" customHeight="1" x14ac:dyDescent="0.35">
      <c r="A280" s="56">
        <v>19</v>
      </c>
      <c r="B280" s="56" t="s">
        <v>283</v>
      </c>
      <c r="C280" s="57" t="s">
        <v>782</v>
      </c>
      <c r="D280" s="57" t="s">
        <v>783</v>
      </c>
      <c r="E280" s="56" t="s">
        <v>751</v>
      </c>
      <c r="F280" s="57" t="s">
        <v>2780</v>
      </c>
      <c r="G280" s="57" t="str">
        <f t="shared" si="8"/>
        <v>Fiston MAYELE - DR Congo</v>
      </c>
      <c r="H280" s="57" t="str">
        <f t="shared" si="9"/>
        <v>COD19</v>
      </c>
      <c r="I280" s="57" t="s">
        <v>2799</v>
      </c>
    </row>
    <row r="281" spans="1:9" ht="15" customHeight="1" x14ac:dyDescent="0.35">
      <c r="A281" s="56">
        <v>20</v>
      </c>
      <c r="B281" s="56" t="s">
        <v>283</v>
      </c>
      <c r="C281" s="57" t="s">
        <v>784</v>
      </c>
      <c r="D281" s="57" t="s">
        <v>785</v>
      </c>
      <c r="E281" s="56" t="s">
        <v>751</v>
      </c>
      <c r="F281" s="57" t="s">
        <v>2780</v>
      </c>
      <c r="G281" s="57" t="str">
        <f t="shared" si="8"/>
        <v>Yoane WISSA - DR Congo</v>
      </c>
      <c r="H281" s="57" t="str">
        <f t="shared" si="9"/>
        <v>COD20</v>
      </c>
      <c r="I281" s="57" t="s">
        <v>2800</v>
      </c>
    </row>
    <row r="282" spans="1:9" ht="15" customHeight="1" x14ac:dyDescent="0.35">
      <c r="A282" s="56">
        <v>21</v>
      </c>
      <c r="B282" s="56" t="s">
        <v>267</v>
      </c>
      <c r="C282" s="57" t="s">
        <v>786</v>
      </c>
      <c r="D282" s="57" t="s">
        <v>787</v>
      </c>
      <c r="E282" s="56" t="s">
        <v>751</v>
      </c>
      <c r="F282" s="57" t="s">
        <v>2780</v>
      </c>
      <c r="G282" s="57" t="str">
        <f t="shared" si="8"/>
        <v>Matthieu EPOLO - DR Congo</v>
      </c>
      <c r="H282" s="57" t="str">
        <f t="shared" si="9"/>
        <v>COD21</v>
      </c>
      <c r="I282" s="57" t="s">
        <v>2801</v>
      </c>
    </row>
    <row r="283" spans="1:9" ht="15" customHeight="1" x14ac:dyDescent="0.35">
      <c r="A283" s="56">
        <v>22</v>
      </c>
      <c r="B283" s="56" t="s">
        <v>271</v>
      </c>
      <c r="C283" s="57" t="s">
        <v>788</v>
      </c>
      <c r="D283" s="57" t="s">
        <v>789</v>
      </c>
      <c r="E283" s="56" t="s">
        <v>751</v>
      </c>
      <c r="F283" s="57" t="s">
        <v>2780</v>
      </c>
      <c r="G283" s="57" t="str">
        <f t="shared" si="8"/>
        <v>Chancel MBEMBA - DR Congo</v>
      </c>
      <c r="H283" s="57" t="str">
        <f t="shared" si="9"/>
        <v>COD22</v>
      </c>
      <c r="I283" s="57" t="s">
        <v>2802</v>
      </c>
    </row>
    <row r="284" spans="1:9" ht="15" customHeight="1" x14ac:dyDescent="0.35">
      <c r="A284" s="56">
        <v>23</v>
      </c>
      <c r="B284" s="56" t="s">
        <v>283</v>
      </c>
      <c r="C284" s="57" t="s">
        <v>790</v>
      </c>
      <c r="D284" s="57" t="s">
        <v>791</v>
      </c>
      <c r="E284" s="56" t="s">
        <v>751</v>
      </c>
      <c r="F284" s="57" t="s">
        <v>2780</v>
      </c>
      <c r="G284" s="57" t="str">
        <f t="shared" si="8"/>
        <v>Simon BANZA - DR Congo</v>
      </c>
      <c r="H284" s="57" t="str">
        <f t="shared" si="9"/>
        <v>COD23</v>
      </c>
      <c r="I284" s="57" t="s">
        <v>2803</v>
      </c>
    </row>
    <row r="285" spans="1:9" ht="15" customHeight="1" x14ac:dyDescent="0.35">
      <c r="A285" s="56">
        <v>24</v>
      </c>
      <c r="B285" s="56" t="s">
        <v>271</v>
      </c>
      <c r="C285" s="57" t="s">
        <v>792</v>
      </c>
      <c r="D285" s="57" t="s">
        <v>793</v>
      </c>
      <c r="E285" s="56" t="s">
        <v>751</v>
      </c>
      <c r="F285" s="57" t="s">
        <v>2780</v>
      </c>
      <c r="G285" s="57" t="str">
        <f t="shared" si="8"/>
        <v>Gedeon KALULU - DR Congo</v>
      </c>
      <c r="H285" s="57" t="str">
        <f t="shared" si="9"/>
        <v>COD24</v>
      </c>
      <c r="I285" s="57" t="s">
        <v>2804</v>
      </c>
    </row>
    <row r="286" spans="1:9" ht="15" customHeight="1" x14ac:dyDescent="0.35">
      <c r="A286" s="56">
        <v>25</v>
      </c>
      <c r="B286" s="56" t="s">
        <v>280</v>
      </c>
      <c r="C286" s="57" t="s">
        <v>794</v>
      </c>
      <c r="D286" s="57" t="s">
        <v>772</v>
      </c>
      <c r="E286" s="56" t="s">
        <v>751</v>
      </c>
      <c r="F286" s="57" t="s">
        <v>2780</v>
      </c>
      <c r="G286" s="57" t="str">
        <f t="shared" si="8"/>
        <v>Edo KAYEMBE - DR Congo</v>
      </c>
      <c r="H286" s="57" t="str">
        <f t="shared" si="9"/>
        <v>COD25</v>
      </c>
      <c r="I286" s="57" t="s">
        <v>2805</v>
      </c>
    </row>
    <row r="287" spans="1:9" ht="15" customHeight="1" x14ac:dyDescent="0.35">
      <c r="A287" s="56">
        <v>26</v>
      </c>
      <c r="B287" s="56" t="s">
        <v>271</v>
      </c>
      <c r="C287" s="57" t="s">
        <v>464</v>
      </c>
      <c r="D287" s="57" t="s">
        <v>795</v>
      </c>
      <c r="E287" s="56" t="s">
        <v>751</v>
      </c>
      <c r="F287" s="57" t="s">
        <v>2780</v>
      </c>
      <c r="G287" s="57" t="str">
        <f t="shared" si="8"/>
        <v>Arthur MASUAKU - DR Congo</v>
      </c>
      <c r="H287" s="57" t="str">
        <f t="shared" si="9"/>
        <v>COD26</v>
      </c>
      <c r="I287" s="57" t="s">
        <v>2806</v>
      </c>
    </row>
    <row r="288" spans="1:9" ht="15" customHeight="1" x14ac:dyDescent="0.35">
      <c r="A288" s="58">
        <v>1</v>
      </c>
      <c r="B288" s="58" t="s">
        <v>267</v>
      </c>
      <c r="C288" s="59" t="s">
        <v>796</v>
      </c>
      <c r="D288" s="59" t="s">
        <v>797</v>
      </c>
      <c r="E288" s="58" t="s">
        <v>798</v>
      </c>
      <c r="F288" s="59" t="s">
        <v>2807</v>
      </c>
      <c r="G288" s="59" t="str">
        <f t="shared" si="8"/>
        <v>Yahia FOFANA - Côte d'Ivoire</v>
      </c>
      <c r="H288" s="59" t="str">
        <f t="shared" si="9"/>
        <v>CIV1</v>
      </c>
      <c r="I288" s="59" t="s">
        <v>2808</v>
      </c>
    </row>
    <row r="289" spans="1:9" ht="15" customHeight="1" x14ac:dyDescent="0.35">
      <c r="A289" s="58">
        <v>2</v>
      </c>
      <c r="B289" s="58" t="s">
        <v>271</v>
      </c>
      <c r="C289" s="59" t="s">
        <v>799</v>
      </c>
      <c r="D289" s="59" t="s">
        <v>800</v>
      </c>
      <c r="E289" s="58" t="s">
        <v>798</v>
      </c>
      <c r="F289" s="59" t="s">
        <v>2807</v>
      </c>
      <c r="G289" s="59" t="str">
        <f t="shared" si="8"/>
        <v>Ousmane DIOMANDE - Côte d'Ivoire</v>
      </c>
      <c r="H289" s="59" t="str">
        <f t="shared" si="9"/>
        <v>CIV2</v>
      </c>
      <c r="I289" s="59" t="s">
        <v>2809</v>
      </c>
    </row>
    <row r="290" spans="1:9" ht="15" customHeight="1" x14ac:dyDescent="0.35">
      <c r="A290" s="58">
        <v>3</v>
      </c>
      <c r="B290" s="58" t="s">
        <v>271</v>
      </c>
      <c r="C290" s="59" t="s">
        <v>801</v>
      </c>
      <c r="D290" s="59" t="s">
        <v>802</v>
      </c>
      <c r="E290" s="58" t="s">
        <v>798</v>
      </c>
      <c r="F290" s="59" t="s">
        <v>2807</v>
      </c>
      <c r="G290" s="59" t="str">
        <f t="shared" si="8"/>
        <v>Ghislain KONAN - Côte d'Ivoire</v>
      </c>
      <c r="H290" s="59" t="str">
        <f t="shared" si="9"/>
        <v>CIV3</v>
      </c>
      <c r="I290" s="59" t="s">
        <v>2810</v>
      </c>
    </row>
    <row r="291" spans="1:9" ht="15" customHeight="1" x14ac:dyDescent="0.35">
      <c r="A291" s="58">
        <v>4</v>
      </c>
      <c r="B291" s="58" t="s">
        <v>280</v>
      </c>
      <c r="C291" s="59" t="s">
        <v>803</v>
      </c>
      <c r="D291" s="59" t="s">
        <v>804</v>
      </c>
      <c r="E291" s="58" t="s">
        <v>798</v>
      </c>
      <c r="F291" s="59" t="s">
        <v>2807</v>
      </c>
      <c r="G291" s="59" t="str">
        <f t="shared" si="8"/>
        <v>Jean Michael SERI - Côte d'Ivoire</v>
      </c>
      <c r="H291" s="59" t="str">
        <f t="shared" si="9"/>
        <v>CIV4</v>
      </c>
      <c r="I291" s="59" t="s">
        <v>2811</v>
      </c>
    </row>
    <row r="292" spans="1:9" ht="15" customHeight="1" x14ac:dyDescent="0.35">
      <c r="A292" s="58">
        <v>5</v>
      </c>
      <c r="B292" s="58" t="s">
        <v>271</v>
      </c>
      <c r="C292" s="59" t="s">
        <v>805</v>
      </c>
      <c r="D292" s="59" t="s">
        <v>806</v>
      </c>
      <c r="E292" s="58" t="s">
        <v>798</v>
      </c>
      <c r="F292" s="59" t="s">
        <v>2807</v>
      </c>
      <c r="G292" s="59" t="str">
        <f t="shared" si="8"/>
        <v>Wilfried SINGO - Côte d'Ivoire</v>
      </c>
      <c r="H292" s="59" t="str">
        <f t="shared" si="9"/>
        <v>CIV5</v>
      </c>
      <c r="I292" s="59" t="s">
        <v>2812</v>
      </c>
    </row>
    <row r="293" spans="1:9" ht="15" customHeight="1" x14ac:dyDescent="0.35">
      <c r="A293" s="58">
        <v>6</v>
      </c>
      <c r="B293" s="58" t="s">
        <v>280</v>
      </c>
      <c r="C293" s="59" t="s">
        <v>807</v>
      </c>
      <c r="D293" s="59" t="s">
        <v>797</v>
      </c>
      <c r="E293" s="58" t="s">
        <v>798</v>
      </c>
      <c r="F293" s="59" t="s">
        <v>2807</v>
      </c>
      <c r="G293" s="59" t="str">
        <f t="shared" si="8"/>
        <v>Seko FOFANA - Côte d'Ivoire</v>
      </c>
      <c r="H293" s="59" t="str">
        <f t="shared" si="9"/>
        <v>CIV6</v>
      </c>
      <c r="I293" s="59" t="s">
        <v>2813</v>
      </c>
    </row>
    <row r="294" spans="1:9" ht="15" customHeight="1" x14ac:dyDescent="0.35">
      <c r="A294" s="58">
        <v>7</v>
      </c>
      <c r="B294" s="58" t="s">
        <v>271</v>
      </c>
      <c r="C294" s="59" t="s">
        <v>808</v>
      </c>
      <c r="D294" s="59" t="s">
        <v>809</v>
      </c>
      <c r="E294" s="58" t="s">
        <v>798</v>
      </c>
      <c r="F294" s="59" t="s">
        <v>2807</v>
      </c>
      <c r="G294" s="59" t="str">
        <f t="shared" si="8"/>
        <v>Odilon KOSSOUNOU - Côte d'Ivoire</v>
      </c>
      <c r="H294" s="59" t="str">
        <f t="shared" si="9"/>
        <v>CIV7</v>
      </c>
      <c r="I294" s="59" t="s">
        <v>2814</v>
      </c>
    </row>
    <row r="295" spans="1:9" ht="15" customHeight="1" x14ac:dyDescent="0.35">
      <c r="A295" s="58">
        <v>8</v>
      </c>
      <c r="B295" s="58" t="s">
        <v>280</v>
      </c>
      <c r="C295" s="59" t="s">
        <v>810</v>
      </c>
      <c r="D295" s="59" t="s">
        <v>811</v>
      </c>
      <c r="E295" s="58" t="s">
        <v>798</v>
      </c>
      <c r="F295" s="59" t="s">
        <v>2807</v>
      </c>
      <c r="G295" s="59" t="str">
        <f t="shared" si="8"/>
        <v>Franck KESSIE - Côte d'Ivoire</v>
      </c>
      <c r="H295" s="59" t="str">
        <f t="shared" si="9"/>
        <v>CIV8</v>
      </c>
      <c r="I295" s="59" t="s">
        <v>2815</v>
      </c>
    </row>
    <row r="296" spans="1:9" ht="15" customHeight="1" x14ac:dyDescent="0.35">
      <c r="A296" s="58">
        <v>9</v>
      </c>
      <c r="B296" s="58" t="s">
        <v>283</v>
      </c>
      <c r="C296" s="59" t="s">
        <v>812</v>
      </c>
      <c r="D296" s="59" t="s">
        <v>813</v>
      </c>
      <c r="E296" s="58" t="s">
        <v>798</v>
      </c>
      <c r="F296" s="59" t="s">
        <v>2807</v>
      </c>
      <c r="G296" s="59" t="str">
        <f t="shared" si="8"/>
        <v>Ange-Yoan BONNY - Côte d'Ivoire</v>
      </c>
      <c r="H296" s="59" t="str">
        <f t="shared" si="9"/>
        <v>CIV9</v>
      </c>
      <c r="I296" s="59" t="s">
        <v>2816</v>
      </c>
    </row>
    <row r="297" spans="1:9" ht="15" customHeight="1" x14ac:dyDescent="0.35">
      <c r="A297" s="58">
        <v>10</v>
      </c>
      <c r="B297" s="58" t="s">
        <v>283</v>
      </c>
      <c r="C297" s="59" t="s">
        <v>790</v>
      </c>
      <c r="D297" s="59" t="s">
        <v>814</v>
      </c>
      <c r="E297" s="58" t="s">
        <v>798</v>
      </c>
      <c r="F297" s="59" t="s">
        <v>2807</v>
      </c>
      <c r="G297" s="59" t="str">
        <f t="shared" si="8"/>
        <v>Simon ADINGRA - Côte d'Ivoire</v>
      </c>
      <c r="H297" s="59" t="str">
        <f t="shared" si="9"/>
        <v>CIV10</v>
      </c>
      <c r="I297" s="59" t="s">
        <v>2817</v>
      </c>
    </row>
    <row r="298" spans="1:9" ht="15" customHeight="1" x14ac:dyDescent="0.35">
      <c r="A298" s="58">
        <v>11</v>
      </c>
      <c r="B298" s="58" t="s">
        <v>283</v>
      </c>
      <c r="C298" s="59" t="s">
        <v>815</v>
      </c>
      <c r="D298" s="59" t="s">
        <v>800</v>
      </c>
      <c r="E298" s="58" t="s">
        <v>798</v>
      </c>
      <c r="F298" s="59" t="s">
        <v>2807</v>
      </c>
      <c r="G298" s="59" t="str">
        <f t="shared" si="8"/>
        <v>Yan DIOMANDE - Côte d'Ivoire</v>
      </c>
      <c r="H298" s="59" t="str">
        <f t="shared" si="9"/>
        <v>CIV11</v>
      </c>
      <c r="I298" s="59" t="s">
        <v>2818</v>
      </c>
    </row>
    <row r="299" spans="1:9" ht="15" customHeight="1" x14ac:dyDescent="0.35">
      <c r="A299" s="58">
        <v>12</v>
      </c>
      <c r="B299" s="58" t="s">
        <v>283</v>
      </c>
      <c r="C299" s="59" t="s">
        <v>816</v>
      </c>
      <c r="D299" s="59" t="s">
        <v>817</v>
      </c>
      <c r="E299" s="58" t="s">
        <v>798</v>
      </c>
      <c r="F299" s="59" t="s">
        <v>2807</v>
      </c>
      <c r="G299" s="59" t="str">
        <f t="shared" si="8"/>
        <v>Elye WAHI - Côte d'Ivoire</v>
      </c>
      <c r="H299" s="59" t="str">
        <f t="shared" si="9"/>
        <v>CIV12</v>
      </c>
      <c r="I299" s="59" t="s">
        <v>2819</v>
      </c>
    </row>
    <row r="300" spans="1:9" ht="15" customHeight="1" x14ac:dyDescent="0.35">
      <c r="A300" s="58">
        <v>13</v>
      </c>
      <c r="B300" s="58" t="s">
        <v>271</v>
      </c>
      <c r="C300" s="59" t="s">
        <v>818</v>
      </c>
      <c r="D300" s="59" t="s">
        <v>819</v>
      </c>
      <c r="E300" s="58" t="s">
        <v>798</v>
      </c>
      <c r="F300" s="59" t="s">
        <v>2807</v>
      </c>
      <c r="G300" s="59" t="str">
        <f t="shared" si="8"/>
        <v>Christopher OPERI - Côte d'Ivoire</v>
      </c>
      <c r="H300" s="59" t="str">
        <f t="shared" si="9"/>
        <v>CIV13</v>
      </c>
      <c r="I300" s="59" t="s">
        <v>2820</v>
      </c>
    </row>
    <row r="301" spans="1:9" ht="15" customHeight="1" x14ac:dyDescent="0.35">
      <c r="A301" s="58">
        <v>14</v>
      </c>
      <c r="B301" s="58" t="s">
        <v>283</v>
      </c>
      <c r="C301" s="59" t="s">
        <v>820</v>
      </c>
      <c r="D301" s="59" t="s">
        <v>821</v>
      </c>
      <c r="E301" s="58" t="s">
        <v>798</v>
      </c>
      <c r="F301" s="59" t="s">
        <v>2807</v>
      </c>
      <c r="G301" s="59" t="str">
        <f t="shared" si="8"/>
        <v>Oumar DIAKITE - Côte d'Ivoire</v>
      </c>
      <c r="H301" s="59" t="str">
        <f t="shared" si="9"/>
        <v>CIV14</v>
      </c>
      <c r="I301" s="59" t="s">
        <v>2821</v>
      </c>
    </row>
    <row r="302" spans="1:9" ht="15" customHeight="1" x14ac:dyDescent="0.35">
      <c r="A302" s="58">
        <v>15</v>
      </c>
      <c r="B302" s="58" t="s">
        <v>283</v>
      </c>
      <c r="C302" s="59" t="s">
        <v>822</v>
      </c>
      <c r="D302" s="59" t="s">
        <v>823</v>
      </c>
      <c r="E302" s="58" t="s">
        <v>798</v>
      </c>
      <c r="F302" s="59" t="s">
        <v>2807</v>
      </c>
      <c r="G302" s="59" t="str">
        <f t="shared" si="8"/>
        <v>Amad DIALLO - Côte d'Ivoire</v>
      </c>
      <c r="H302" s="59" t="str">
        <f t="shared" si="9"/>
        <v>CIV15</v>
      </c>
      <c r="I302" s="59" t="s">
        <v>2822</v>
      </c>
    </row>
    <row r="303" spans="1:9" ht="15" customHeight="1" x14ac:dyDescent="0.35">
      <c r="A303" s="58">
        <v>16</v>
      </c>
      <c r="B303" s="58" t="s">
        <v>267</v>
      </c>
      <c r="C303" s="59" t="s">
        <v>306</v>
      </c>
      <c r="D303" s="59" t="s">
        <v>674</v>
      </c>
      <c r="E303" s="58" t="s">
        <v>798</v>
      </c>
      <c r="F303" s="59" t="s">
        <v>2807</v>
      </c>
      <c r="G303" s="59" t="str">
        <f t="shared" si="8"/>
        <v>Mohamed KONE - Côte d'Ivoire</v>
      </c>
      <c r="H303" s="59" t="str">
        <f t="shared" si="9"/>
        <v>CIV16</v>
      </c>
      <c r="I303" s="59" t="s">
        <v>2823</v>
      </c>
    </row>
    <row r="304" spans="1:9" ht="15" customHeight="1" x14ac:dyDescent="0.35">
      <c r="A304" s="58">
        <v>17</v>
      </c>
      <c r="B304" s="58" t="s">
        <v>271</v>
      </c>
      <c r="C304" s="59" t="s">
        <v>824</v>
      </c>
      <c r="D304" s="59" t="s">
        <v>825</v>
      </c>
      <c r="E304" s="58" t="s">
        <v>798</v>
      </c>
      <c r="F304" s="59" t="s">
        <v>2807</v>
      </c>
      <c r="G304" s="59" t="str">
        <f t="shared" si="8"/>
        <v>Guela DOUE - Côte d'Ivoire</v>
      </c>
      <c r="H304" s="59" t="str">
        <f t="shared" si="9"/>
        <v>CIV17</v>
      </c>
      <c r="I304" s="59" t="s">
        <v>2824</v>
      </c>
    </row>
    <row r="305" spans="1:9" ht="15" customHeight="1" x14ac:dyDescent="0.35">
      <c r="A305" s="58">
        <v>18</v>
      </c>
      <c r="B305" s="58" t="s">
        <v>280</v>
      </c>
      <c r="C305" s="59" t="s">
        <v>314</v>
      </c>
      <c r="D305" s="59" t="s">
        <v>826</v>
      </c>
      <c r="E305" s="58" t="s">
        <v>798</v>
      </c>
      <c r="F305" s="59" t="s">
        <v>2807</v>
      </c>
      <c r="G305" s="59" t="str">
        <f t="shared" si="8"/>
        <v>Ibrahim SANGARE - Côte d'Ivoire</v>
      </c>
      <c r="H305" s="59" t="str">
        <f t="shared" si="9"/>
        <v>CIV18</v>
      </c>
      <c r="I305" s="59" t="s">
        <v>2825</v>
      </c>
    </row>
    <row r="306" spans="1:9" ht="15" customHeight="1" x14ac:dyDescent="0.35">
      <c r="A306" s="58">
        <v>19</v>
      </c>
      <c r="B306" s="58" t="s">
        <v>283</v>
      </c>
      <c r="C306" s="59" t="s">
        <v>326</v>
      </c>
      <c r="D306" s="59" t="s">
        <v>827</v>
      </c>
      <c r="E306" s="58" t="s">
        <v>798</v>
      </c>
      <c r="F306" s="59" t="s">
        <v>2807</v>
      </c>
      <c r="G306" s="59" t="str">
        <f t="shared" si="8"/>
        <v>Nicolas PEPE - Côte d'Ivoire</v>
      </c>
      <c r="H306" s="59" t="str">
        <f t="shared" si="9"/>
        <v>CIV19</v>
      </c>
      <c r="I306" s="59" t="s">
        <v>2826</v>
      </c>
    </row>
    <row r="307" spans="1:9" ht="15" customHeight="1" x14ac:dyDescent="0.35">
      <c r="A307" s="58">
        <v>20</v>
      </c>
      <c r="B307" s="58" t="s">
        <v>271</v>
      </c>
      <c r="C307" s="59" t="s">
        <v>828</v>
      </c>
      <c r="D307" s="59" t="s">
        <v>829</v>
      </c>
      <c r="E307" s="58" t="s">
        <v>798</v>
      </c>
      <c r="F307" s="59" t="s">
        <v>2807</v>
      </c>
      <c r="G307" s="59" t="str">
        <f t="shared" si="8"/>
        <v>Emmanuel AGBADOU - Côte d'Ivoire</v>
      </c>
      <c r="H307" s="59" t="str">
        <f t="shared" si="9"/>
        <v>CIV20</v>
      </c>
      <c r="I307" s="59" t="s">
        <v>2827</v>
      </c>
    </row>
    <row r="308" spans="1:9" ht="15" customHeight="1" x14ac:dyDescent="0.35">
      <c r="A308" s="58">
        <v>21</v>
      </c>
      <c r="B308" s="58" t="s">
        <v>271</v>
      </c>
      <c r="C308" s="59" t="s">
        <v>830</v>
      </c>
      <c r="D308" s="59" t="s">
        <v>831</v>
      </c>
      <c r="E308" s="58" t="s">
        <v>798</v>
      </c>
      <c r="F308" s="59" t="s">
        <v>2807</v>
      </c>
      <c r="G308" s="59" t="str">
        <f t="shared" si="8"/>
        <v>Evan NDICKA - Côte d'Ivoire</v>
      </c>
      <c r="H308" s="59" t="str">
        <f t="shared" si="9"/>
        <v>CIV21</v>
      </c>
      <c r="I308" s="59" t="s">
        <v>2828</v>
      </c>
    </row>
    <row r="309" spans="1:9" ht="15" customHeight="1" x14ac:dyDescent="0.35">
      <c r="A309" s="58">
        <v>22</v>
      </c>
      <c r="B309" s="58" t="s">
        <v>283</v>
      </c>
      <c r="C309" s="59" t="s">
        <v>832</v>
      </c>
      <c r="D309" s="59" t="s">
        <v>833</v>
      </c>
      <c r="E309" s="58" t="s">
        <v>798</v>
      </c>
      <c r="F309" s="59" t="s">
        <v>2807</v>
      </c>
      <c r="G309" s="59" t="str">
        <f t="shared" si="8"/>
        <v>Evann GUESSAND - Côte d'Ivoire</v>
      </c>
      <c r="H309" s="59" t="str">
        <f t="shared" si="9"/>
        <v>CIV22</v>
      </c>
      <c r="I309" s="59" t="s">
        <v>2829</v>
      </c>
    </row>
    <row r="310" spans="1:9" ht="15" customHeight="1" x14ac:dyDescent="0.35">
      <c r="A310" s="58">
        <v>23</v>
      </c>
      <c r="B310" s="58" t="s">
        <v>267</v>
      </c>
      <c r="C310" s="59" t="s">
        <v>834</v>
      </c>
      <c r="D310" s="59" t="s">
        <v>835</v>
      </c>
      <c r="E310" s="58" t="s">
        <v>798</v>
      </c>
      <c r="F310" s="59" t="s">
        <v>2807</v>
      </c>
      <c r="G310" s="59" t="str">
        <f t="shared" si="8"/>
        <v>Alban LAFONT - Côte d'Ivoire</v>
      </c>
      <c r="H310" s="59" t="str">
        <f t="shared" si="9"/>
        <v>CIV23</v>
      </c>
      <c r="I310" s="59" t="s">
        <v>2830</v>
      </c>
    </row>
    <row r="311" spans="1:9" ht="15" customHeight="1" x14ac:dyDescent="0.35">
      <c r="A311" s="58">
        <v>24</v>
      </c>
      <c r="B311" s="58" t="s">
        <v>283</v>
      </c>
      <c r="C311" s="59" t="s">
        <v>836</v>
      </c>
      <c r="D311" s="59" t="s">
        <v>386</v>
      </c>
      <c r="E311" s="58" t="s">
        <v>798</v>
      </c>
      <c r="F311" s="59" t="s">
        <v>2807</v>
      </c>
      <c r="G311" s="59" t="str">
        <f t="shared" si="8"/>
        <v>Bazoumana TOURE - Côte d'Ivoire</v>
      </c>
      <c r="H311" s="59" t="str">
        <f t="shared" si="9"/>
        <v>CIV24</v>
      </c>
      <c r="I311" s="59" t="s">
        <v>2831</v>
      </c>
    </row>
    <row r="312" spans="1:9" ht="15" customHeight="1" x14ac:dyDescent="0.35">
      <c r="A312" s="58">
        <v>25</v>
      </c>
      <c r="B312" s="58" t="s">
        <v>280</v>
      </c>
      <c r="C312" s="59" t="s">
        <v>837</v>
      </c>
      <c r="D312" s="59" t="s">
        <v>838</v>
      </c>
      <c r="E312" s="58" t="s">
        <v>798</v>
      </c>
      <c r="F312" s="59" t="s">
        <v>2807</v>
      </c>
      <c r="G312" s="59" t="str">
        <f t="shared" si="8"/>
        <v>Parfait GUIAGON - Côte d'Ivoire</v>
      </c>
      <c r="H312" s="59" t="str">
        <f t="shared" si="9"/>
        <v>CIV25</v>
      </c>
      <c r="I312" s="59" t="s">
        <v>2832</v>
      </c>
    </row>
    <row r="313" spans="1:9" ht="15" customHeight="1" x14ac:dyDescent="0.35">
      <c r="A313" s="58">
        <v>26</v>
      </c>
      <c r="B313" s="58" t="s">
        <v>280</v>
      </c>
      <c r="C313" s="59" t="s">
        <v>839</v>
      </c>
      <c r="D313" s="59" t="s">
        <v>840</v>
      </c>
      <c r="E313" s="58" t="s">
        <v>798</v>
      </c>
      <c r="F313" s="59" t="s">
        <v>2807</v>
      </c>
      <c r="G313" s="59" t="str">
        <f t="shared" si="8"/>
        <v>Christ Inao OULAI - Côte d'Ivoire</v>
      </c>
      <c r="H313" s="59" t="str">
        <f t="shared" si="9"/>
        <v>CIV26</v>
      </c>
      <c r="I313" s="59" t="s">
        <v>2833</v>
      </c>
    </row>
    <row r="314" spans="1:9" ht="15" customHeight="1" x14ac:dyDescent="0.35">
      <c r="A314" s="60">
        <v>1</v>
      </c>
      <c r="B314" s="60" t="s">
        <v>267</v>
      </c>
      <c r="C314" s="61" t="s">
        <v>841</v>
      </c>
      <c r="D314" s="61" t="s">
        <v>842</v>
      </c>
      <c r="E314" s="60" t="s">
        <v>843</v>
      </c>
      <c r="F314" s="61" t="s">
        <v>2834</v>
      </c>
      <c r="G314" s="61" t="str">
        <f t="shared" si="8"/>
        <v>Dominik LIVAKOVIC - Croatia</v>
      </c>
      <c r="H314" s="61" t="str">
        <f t="shared" si="9"/>
        <v>HRV1</v>
      </c>
      <c r="I314" s="61" t="s">
        <v>2835</v>
      </c>
    </row>
    <row r="315" spans="1:9" ht="15" customHeight="1" x14ac:dyDescent="0.35">
      <c r="A315" s="60">
        <v>2</v>
      </c>
      <c r="B315" s="60" t="s">
        <v>271</v>
      </c>
      <c r="C315" s="61" t="s">
        <v>844</v>
      </c>
      <c r="D315" s="61" t="s">
        <v>845</v>
      </c>
      <c r="E315" s="60" t="s">
        <v>843</v>
      </c>
      <c r="F315" s="61" t="s">
        <v>2834</v>
      </c>
      <c r="G315" s="61" t="str">
        <f t="shared" si="8"/>
        <v>Josip STANISIC - Croatia</v>
      </c>
      <c r="H315" s="61" t="str">
        <f t="shared" si="9"/>
        <v>HRV2</v>
      </c>
      <c r="I315" s="61" t="s">
        <v>2836</v>
      </c>
    </row>
    <row r="316" spans="1:9" ht="15" customHeight="1" x14ac:dyDescent="0.35">
      <c r="A316" s="60">
        <v>3</v>
      </c>
      <c r="B316" s="60" t="s">
        <v>271</v>
      </c>
      <c r="C316" s="61" t="s">
        <v>846</v>
      </c>
      <c r="D316" s="61" t="s">
        <v>847</v>
      </c>
      <c r="E316" s="60" t="s">
        <v>843</v>
      </c>
      <c r="F316" s="61" t="s">
        <v>2834</v>
      </c>
      <c r="G316" s="61" t="str">
        <f t="shared" si="8"/>
        <v>Marin PONGRACIC - Croatia</v>
      </c>
      <c r="H316" s="61" t="str">
        <f t="shared" si="9"/>
        <v>HRV3</v>
      </c>
      <c r="I316" s="61" t="s">
        <v>2837</v>
      </c>
    </row>
    <row r="317" spans="1:9" ht="15" customHeight="1" x14ac:dyDescent="0.35">
      <c r="A317" s="60">
        <v>4</v>
      </c>
      <c r="B317" s="60" t="s">
        <v>271</v>
      </c>
      <c r="C317" s="61" t="s">
        <v>848</v>
      </c>
      <c r="D317" s="61" t="s">
        <v>849</v>
      </c>
      <c r="E317" s="60" t="s">
        <v>843</v>
      </c>
      <c r="F317" s="61" t="s">
        <v>2834</v>
      </c>
      <c r="G317" s="61" t="str">
        <f t="shared" si="8"/>
        <v>Josko GVARDIOL - Croatia</v>
      </c>
      <c r="H317" s="61" t="str">
        <f t="shared" si="9"/>
        <v>HRV4</v>
      </c>
      <c r="I317" s="61" t="s">
        <v>2838</v>
      </c>
    </row>
    <row r="318" spans="1:9" ht="15" customHeight="1" x14ac:dyDescent="0.35">
      <c r="A318" s="60">
        <v>5</v>
      </c>
      <c r="B318" s="60" t="s">
        <v>271</v>
      </c>
      <c r="C318" s="61" t="s">
        <v>850</v>
      </c>
      <c r="D318" s="61" t="s">
        <v>851</v>
      </c>
      <c r="E318" s="60" t="s">
        <v>843</v>
      </c>
      <c r="F318" s="61" t="s">
        <v>2834</v>
      </c>
      <c r="G318" s="61" t="str">
        <f t="shared" si="8"/>
        <v>Duje CALETA-CAR - Croatia</v>
      </c>
      <c r="H318" s="61" t="str">
        <f t="shared" si="9"/>
        <v>HRV5</v>
      </c>
      <c r="I318" s="61" t="s">
        <v>2839</v>
      </c>
    </row>
    <row r="319" spans="1:9" ht="15" customHeight="1" x14ac:dyDescent="0.35">
      <c r="A319" s="60">
        <v>6</v>
      </c>
      <c r="B319" s="60" t="s">
        <v>271</v>
      </c>
      <c r="C319" s="61" t="s">
        <v>844</v>
      </c>
      <c r="D319" s="61" t="s">
        <v>852</v>
      </c>
      <c r="E319" s="60" t="s">
        <v>843</v>
      </c>
      <c r="F319" s="61" t="s">
        <v>2834</v>
      </c>
      <c r="G319" s="61" t="str">
        <f t="shared" si="8"/>
        <v>Josip SUTALO - Croatia</v>
      </c>
      <c r="H319" s="61" t="str">
        <f t="shared" si="9"/>
        <v>HRV6</v>
      </c>
      <c r="I319" s="61" t="s">
        <v>2840</v>
      </c>
    </row>
    <row r="320" spans="1:9" ht="15" customHeight="1" x14ac:dyDescent="0.35">
      <c r="A320" s="60">
        <v>7</v>
      </c>
      <c r="B320" s="60" t="s">
        <v>280</v>
      </c>
      <c r="C320" s="61" t="s">
        <v>508</v>
      </c>
      <c r="D320" s="61" t="s">
        <v>853</v>
      </c>
      <c r="E320" s="60" t="s">
        <v>843</v>
      </c>
      <c r="F320" s="61" t="s">
        <v>2834</v>
      </c>
      <c r="G320" s="61" t="str">
        <f t="shared" si="8"/>
        <v>Nikola MORO - Croatia</v>
      </c>
      <c r="H320" s="61" t="str">
        <f t="shared" si="9"/>
        <v>HRV7</v>
      </c>
      <c r="I320" s="61" t="s">
        <v>2841</v>
      </c>
    </row>
    <row r="321" spans="1:9" ht="15" customHeight="1" x14ac:dyDescent="0.35">
      <c r="A321" s="60">
        <v>8</v>
      </c>
      <c r="B321" s="60" t="s">
        <v>280</v>
      </c>
      <c r="C321" s="61" t="s">
        <v>854</v>
      </c>
      <c r="D321" s="61" t="s">
        <v>855</v>
      </c>
      <c r="E321" s="60" t="s">
        <v>843</v>
      </c>
      <c r="F321" s="61" t="s">
        <v>2834</v>
      </c>
      <c r="G321" s="61" t="str">
        <f t="shared" si="8"/>
        <v>Mateo KOVACIC - Croatia</v>
      </c>
      <c r="H321" s="61" t="str">
        <f t="shared" si="9"/>
        <v>HRV8</v>
      </c>
      <c r="I321" s="61" t="s">
        <v>2842</v>
      </c>
    </row>
    <row r="322" spans="1:9" ht="15" customHeight="1" x14ac:dyDescent="0.35">
      <c r="A322" s="60">
        <v>9</v>
      </c>
      <c r="B322" s="60" t="s">
        <v>283</v>
      </c>
      <c r="C322" s="61" t="s">
        <v>856</v>
      </c>
      <c r="D322" s="61" t="s">
        <v>857</v>
      </c>
      <c r="E322" s="60" t="s">
        <v>843</v>
      </c>
      <c r="F322" s="61" t="s">
        <v>2834</v>
      </c>
      <c r="G322" s="61" t="str">
        <f t="shared" si="8"/>
        <v>Andrej KRAMARIC - Croatia</v>
      </c>
      <c r="H322" s="61" t="str">
        <f t="shared" si="9"/>
        <v>HRV9</v>
      </c>
      <c r="I322" s="61" t="s">
        <v>2843</v>
      </c>
    </row>
    <row r="323" spans="1:9" ht="15" customHeight="1" x14ac:dyDescent="0.35">
      <c r="A323" s="60">
        <v>10</v>
      </c>
      <c r="B323" s="60" t="s">
        <v>280</v>
      </c>
      <c r="C323" s="61" t="s">
        <v>858</v>
      </c>
      <c r="D323" s="61" t="s">
        <v>859</v>
      </c>
      <c r="E323" s="60" t="s">
        <v>843</v>
      </c>
      <c r="F323" s="61" t="s">
        <v>2834</v>
      </c>
      <c r="G323" s="61" t="str">
        <f t="shared" ref="G323:G386" si="10">_xlfn.CONCAT(C323, " ",D323, " - ",F323)</f>
        <v>Luka MODRIC - Croatia</v>
      </c>
      <c r="H323" s="61" t="str">
        <f t="shared" ref="H323:H386" si="11">_xlfn.CONCAT(E323,A323)</f>
        <v>HRV10</v>
      </c>
      <c r="I323" s="61" t="s">
        <v>2844</v>
      </c>
    </row>
    <row r="324" spans="1:9" ht="15" customHeight="1" x14ac:dyDescent="0.35">
      <c r="A324" s="60">
        <v>11</v>
      </c>
      <c r="B324" s="60" t="s">
        <v>283</v>
      </c>
      <c r="C324" s="61" t="s">
        <v>860</v>
      </c>
      <c r="D324" s="61" t="s">
        <v>861</v>
      </c>
      <c r="E324" s="60" t="s">
        <v>843</v>
      </c>
      <c r="F324" s="61" t="s">
        <v>2834</v>
      </c>
      <c r="G324" s="61" t="str">
        <f t="shared" si="10"/>
        <v>Ante BUDIMIR - Croatia</v>
      </c>
      <c r="H324" s="61" t="str">
        <f t="shared" si="11"/>
        <v>HRV11</v>
      </c>
      <c r="I324" s="61" t="s">
        <v>2845</v>
      </c>
    </row>
    <row r="325" spans="1:9" ht="15" customHeight="1" x14ac:dyDescent="0.35">
      <c r="A325" s="60">
        <v>12</v>
      </c>
      <c r="B325" s="60" t="s">
        <v>267</v>
      </c>
      <c r="C325" s="61" t="s">
        <v>862</v>
      </c>
      <c r="D325" s="61" t="s">
        <v>863</v>
      </c>
      <c r="E325" s="60" t="s">
        <v>843</v>
      </c>
      <c r="F325" s="61" t="s">
        <v>2834</v>
      </c>
      <c r="G325" s="61" t="str">
        <f t="shared" si="10"/>
        <v>Ivor PANDUR - Croatia</v>
      </c>
      <c r="H325" s="61" t="str">
        <f t="shared" si="11"/>
        <v>HRV12</v>
      </c>
      <c r="I325" s="61" t="s">
        <v>2846</v>
      </c>
    </row>
    <row r="326" spans="1:9" ht="15" customHeight="1" x14ac:dyDescent="0.35">
      <c r="A326" s="60">
        <v>13</v>
      </c>
      <c r="B326" s="60" t="s">
        <v>280</v>
      </c>
      <c r="C326" s="61" t="s">
        <v>508</v>
      </c>
      <c r="D326" s="61" t="s">
        <v>864</v>
      </c>
      <c r="E326" s="60" t="s">
        <v>843</v>
      </c>
      <c r="F326" s="61" t="s">
        <v>2834</v>
      </c>
      <c r="G326" s="61" t="str">
        <f t="shared" si="10"/>
        <v>Nikola VLASIC - Croatia</v>
      </c>
      <c r="H326" s="61" t="str">
        <f t="shared" si="11"/>
        <v>HRV13</v>
      </c>
      <c r="I326" s="61" t="s">
        <v>2847</v>
      </c>
    </row>
    <row r="327" spans="1:9" ht="15" customHeight="1" x14ac:dyDescent="0.35">
      <c r="A327" s="60">
        <v>14</v>
      </c>
      <c r="B327" s="60" t="s">
        <v>283</v>
      </c>
      <c r="C327" s="61" t="s">
        <v>533</v>
      </c>
      <c r="D327" s="61" t="s">
        <v>865</v>
      </c>
      <c r="E327" s="60" t="s">
        <v>843</v>
      </c>
      <c r="F327" s="61" t="s">
        <v>2834</v>
      </c>
      <c r="G327" s="61" t="str">
        <f t="shared" si="10"/>
        <v>Ivan PERISIC - Croatia</v>
      </c>
      <c r="H327" s="61" t="str">
        <f t="shared" si="11"/>
        <v>HRV14</v>
      </c>
      <c r="I327" s="61" t="s">
        <v>2848</v>
      </c>
    </row>
    <row r="328" spans="1:9" ht="15" customHeight="1" x14ac:dyDescent="0.35">
      <c r="A328" s="60">
        <v>15</v>
      </c>
      <c r="B328" s="60" t="s">
        <v>280</v>
      </c>
      <c r="C328" s="61" t="s">
        <v>866</v>
      </c>
      <c r="D328" s="61" t="s">
        <v>867</v>
      </c>
      <c r="E328" s="60" t="s">
        <v>843</v>
      </c>
      <c r="F328" s="61" t="s">
        <v>2834</v>
      </c>
      <c r="G328" s="61" t="str">
        <f t="shared" si="10"/>
        <v>Mario PASALIC - Croatia</v>
      </c>
      <c r="H328" s="61" t="str">
        <f t="shared" si="11"/>
        <v>HRV15</v>
      </c>
      <c r="I328" s="61" t="s">
        <v>2849</v>
      </c>
    </row>
    <row r="329" spans="1:9" ht="15" customHeight="1" x14ac:dyDescent="0.35">
      <c r="A329" s="60">
        <v>16</v>
      </c>
      <c r="B329" s="60" t="s">
        <v>280</v>
      </c>
      <c r="C329" s="61" t="s">
        <v>548</v>
      </c>
      <c r="D329" s="61" t="s">
        <v>868</v>
      </c>
      <c r="E329" s="60" t="s">
        <v>843</v>
      </c>
      <c r="F329" s="61" t="s">
        <v>2834</v>
      </c>
      <c r="G329" s="61" t="str">
        <f t="shared" si="10"/>
        <v>Martin BATURINA - Croatia</v>
      </c>
      <c r="H329" s="61" t="str">
        <f t="shared" si="11"/>
        <v>HRV16</v>
      </c>
      <c r="I329" s="61" t="s">
        <v>2850</v>
      </c>
    </row>
    <row r="330" spans="1:9" ht="15" customHeight="1" x14ac:dyDescent="0.35">
      <c r="A330" s="60">
        <v>17</v>
      </c>
      <c r="B330" s="60" t="s">
        <v>280</v>
      </c>
      <c r="C330" s="61" t="s">
        <v>869</v>
      </c>
      <c r="D330" s="61" t="s">
        <v>870</v>
      </c>
      <c r="E330" s="60" t="s">
        <v>843</v>
      </c>
      <c r="F330" s="61" t="s">
        <v>2834</v>
      </c>
      <c r="G330" s="61" t="str">
        <f t="shared" si="10"/>
        <v>Petar SUCIC - Croatia</v>
      </c>
      <c r="H330" s="61" t="str">
        <f t="shared" si="11"/>
        <v>HRV17</v>
      </c>
      <c r="I330" s="61" t="s">
        <v>2851</v>
      </c>
    </row>
    <row r="331" spans="1:9" ht="15" customHeight="1" x14ac:dyDescent="0.35">
      <c r="A331" s="60">
        <v>18</v>
      </c>
      <c r="B331" s="60" t="s">
        <v>271</v>
      </c>
      <c r="C331" s="61" t="s">
        <v>871</v>
      </c>
      <c r="D331" s="61" t="s">
        <v>872</v>
      </c>
      <c r="E331" s="60" t="s">
        <v>843</v>
      </c>
      <c r="F331" s="61" t="s">
        <v>2834</v>
      </c>
      <c r="G331" s="61" t="str">
        <f t="shared" si="10"/>
        <v>Kristijan JAKIC - Croatia</v>
      </c>
      <c r="H331" s="61" t="str">
        <f t="shared" si="11"/>
        <v>HRV18</v>
      </c>
      <c r="I331" s="61" t="s">
        <v>2852</v>
      </c>
    </row>
    <row r="332" spans="1:9" ht="15" customHeight="1" x14ac:dyDescent="0.35">
      <c r="A332" s="60">
        <v>19</v>
      </c>
      <c r="B332" s="60" t="s">
        <v>280</v>
      </c>
      <c r="C332" s="61" t="s">
        <v>873</v>
      </c>
      <c r="D332" s="61" t="s">
        <v>874</v>
      </c>
      <c r="E332" s="60" t="s">
        <v>843</v>
      </c>
      <c r="F332" s="61" t="s">
        <v>2834</v>
      </c>
      <c r="G332" s="61" t="str">
        <f t="shared" si="10"/>
        <v>Toni FRUK - Croatia</v>
      </c>
      <c r="H332" s="61" t="str">
        <f t="shared" si="11"/>
        <v>HRV19</v>
      </c>
      <c r="I332" s="61" t="s">
        <v>2853</v>
      </c>
    </row>
    <row r="333" spans="1:9" ht="15" customHeight="1" x14ac:dyDescent="0.35">
      <c r="A333" s="60">
        <v>20</v>
      </c>
      <c r="B333" s="60" t="s">
        <v>283</v>
      </c>
      <c r="C333" s="61" t="s">
        <v>875</v>
      </c>
      <c r="D333" s="61" t="s">
        <v>876</v>
      </c>
      <c r="E333" s="60" t="s">
        <v>843</v>
      </c>
      <c r="F333" s="61" t="s">
        <v>2834</v>
      </c>
      <c r="G333" s="61" t="str">
        <f t="shared" si="10"/>
        <v>Igor MATANOVIC - Croatia</v>
      </c>
      <c r="H333" s="61" t="str">
        <f t="shared" si="11"/>
        <v>HRV20</v>
      </c>
      <c r="I333" s="61" t="s">
        <v>2854</v>
      </c>
    </row>
    <row r="334" spans="1:9" ht="15" customHeight="1" x14ac:dyDescent="0.35">
      <c r="A334" s="60">
        <v>21</v>
      </c>
      <c r="B334" s="60" t="s">
        <v>280</v>
      </c>
      <c r="C334" s="61" t="s">
        <v>858</v>
      </c>
      <c r="D334" s="61" t="s">
        <v>870</v>
      </c>
      <c r="E334" s="60" t="s">
        <v>843</v>
      </c>
      <c r="F334" s="61" t="s">
        <v>2834</v>
      </c>
      <c r="G334" s="61" t="str">
        <f t="shared" si="10"/>
        <v>Luka SUCIC - Croatia</v>
      </c>
      <c r="H334" s="61" t="str">
        <f t="shared" si="11"/>
        <v>HRV21</v>
      </c>
      <c r="I334" s="61" t="s">
        <v>2855</v>
      </c>
    </row>
    <row r="335" spans="1:9" ht="15" customHeight="1" x14ac:dyDescent="0.35">
      <c r="A335" s="60">
        <v>22</v>
      </c>
      <c r="B335" s="60" t="s">
        <v>271</v>
      </c>
      <c r="C335" s="61" t="s">
        <v>858</v>
      </c>
      <c r="D335" s="61" t="s">
        <v>877</v>
      </c>
      <c r="E335" s="60" t="s">
        <v>843</v>
      </c>
      <c r="F335" s="61" t="s">
        <v>2834</v>
      </c>
      <c r="G335" s="61" t="str">
        <f t="shared" si="10"/>
        <v>Luka VUSKOVIC - Croatia</v>
      </c>
      <c r="H335" s="61" t="str">
        <f t="shared" si="11"/>
        <v>HRV22</v>
      </c>
      <c r="I335" s="61" t="s">
        <v>2856</v>
      </c>
    </row>
    <row r="336" spans="1:9" ht="15" customHeight="1" x14ac:dyDescent="0.35">
      <c r="A336" s="60">
        <v>23</v>
      </c>
      <c r="B336" s="60" t="s">
        <v>267</v>
      </c>
      <c r="C336" s="61" t="s">
        <v>841</v>
      </c>
      <c r="D336" s="61" t="s">
        <v>878</v>
      </c>
      <c r="E336" s="60" t="s">
        <v>843</v>
      </c>
      <c r="F336" s="61" t="s">
        <v>2834</v>
      </c>
      <c r="G336" s="61" t="str">
        <f t="shared" si="10"/>
        <v>Dominik KOTARSKI - Croatia</v>
      </c>
      <c r="H336" s="61" t="str">
        <f t="shared" si="11"/>
        <v>HRV23</v>
      </c>
      <c r="I336" s="61" t="s">
        <v>2857</v>
      </c>
    </row>
    <row r="337" spans="1:9" ht="15" customHeight="1" x14ac:dyDescent="0.35">
      <c r="A337" s="60">
        <v>24</v>
      </c>
      <c r="B337" s="60" t="s">
        <v>283</v>
      </c>
      <c r="C337" s="61" t="s">
        <v>454</v>
      </c>
      <c r="D337" s="61" t="s">
        <v>867</v>
      </c>
      <c r="E337" s="60" t="s">
        <v>843</v>
      </c>
      <c r="F337" s="61" t="s">
        <v>2834</v>
      </c>
      <c r="G337" s="61" t="str">
        <f t="shared" si="10"/>
        <v>Marco PASALIC - Croatia</v>
      </c>
      <c r="H337" s="61" t="str">
        <f t="shared" si="11"/>
        <v>HRV24</v>
      </c>
      <c r="I337" s="61" t="s">
        <v>2858</v>
      </c>
    </row>
    <row r="338" spans="1:9" ht="15" customHeight="1" x14ac:dyDescent="0.35">
      <c r="A338" s="60">
        <v>25</v>
      </c>
      <c r="B338" s="60" t="s">
        <v>271</v>
      </c>
      <c r="C338" s="61" t="s">
        <v>548</v>
      </c>
      <c r="D338" s="61" t="s">
        <v>879</v>
      </c>
      <c r="E338" s="60" t="s">
        <v>843</v>
      </c>
      <c r="F338" s="61" t="s">
        <v>2834</v>
      </c>
      <c r="G338" s="61" t="str">
        <f t="shared" si="10"/>
        <v>Martin ERLIC - Croatia</v>
      </c>
      <c r="H338" s="61" t="str">
        <f t="shared" si="11"/>
        <v>HRV25</v>
      </c>
      <c r="I338" s="61" t="s">
        <v>2859</v>
      </c>
    </row>
    <row r="339" spans="1:9" ht="15" customHeight="1" x14ac:dyDescent="0.35">
      <c r="A339" s="60">
        <v>26</v>
      </c>
      <c r="B339" s="60" t="s">
        <v>283</v>
      </c>
      <c r="C339" s="61" t="s">
        <v>869</v>
      </c>
      <c r="D339" s="61" t="s">
        <v>880</v>
      </c>
      <c r="E339" s="60" t="s">
        <v>843</v>
      </c>
      <c r="F339" s="61" t="s">
        <v>2834</v>
      </c>
      <c r="G339" s="61" t="str">
        <f t="shared" si="10"/>
        <v>Petar MUSA - Croatia</v>
      </c>
      <c r="H339" s="61" t="str">
        <f t="shared" si="11"/>
        <v>HRV26</v>
      </c>
      <c r="I339" s="61" t="s">
        <v>2860</v>
      </c>
    </row>
    <row r="340" spans="1:9" ht="15" customHeight="1" x14ac:dyDescent="0.35">
      <c r="A340" s="62">
        <v>1</v>
      </c>
      <c r="B340" s="62" t="s">
        <v>267</v>
      </c>
      <c r="C340" s="63" t="s">
        <v>881</v>
      </c>
      <c r="D340" s="63" t="s">
        <v>882</v>
      </c>
      <c r="E340" s="62" t="s">
        <v>883</v>
      </c>
      <c r="F340" s="63" t="s">
        <v>2861</v>
      </c>
      <c r="G340" s="63" t="str">
        <f t="shared" si="10"/>
        <v>Eloy ROOM - Curaçao</v>
      </c>
      <c r="H340" s="63" t="str">
        <f t="shared" si="11"/>
        <v>CUW1</v>
      </c>
      <c r="I340" s="63" t="s">
        <v>2862</v>
      </c>
    </row>
    <row r="341" spans="1:9" ht="15" customHeight="1" x14ac:dyDescent="0.35">
      <c r="A341" s="62">
        <v>2</v>
      </c>
      <c r="B341" s="62" t="s">
        <v>271</v>
      </c>
      <c r="C341" s="63" t="s">
        <v>884</v>
      </c>
      <c r="D341" s="63" t="s">
        <v>885</v>
      </c>
      <c r="E341" s="62" t="s">
        <v>883</v>
      </c>
      <c r="F341" s="63" t="s">
        <v>2861</v>
      </c>
      <c r="G341" s="63" t="str">
        <f t="shared" si="10"/>
        <v>Shurandy SAMBO - Curaçao</v>
      </c>
      <c r="H341" s="63" t="str">
        <f t="shared" si="11"/>
        <v>CUW2</v>
      </c>
      <c r="I341" s="63" t="s">
        <v>2863</v>
      </c>
    </row>
    <row r="342" spans="1:9" ht="15" customHeight="1" x14ac:dyDescent="0.35">
      <c r="A342" s="62">
        <v>3</v>
      </c>
      <c r="B342" s="62" t="s">
        <v>271</v>
      </c>
      <c r="C342" s="63" t="s">
        <v>886</v>
      </c>
      <c r="D342" s="63" t="s">
        <v>887</v>
      </c>
      <c r="E342" s="62" t="s">
        <v>883</v>
      </c>
      <c r="F342" s="63" t="s">
        <v>2861</v>
      </c>
      <c r="G342" s="63" t="str">
        <f t="shared" si="10"/>
        <v>Jurien GAARI - Curaçao</v>
      </c>
      <c r="H342" s="63" t="str">
        <f t="shared" si="11"/>
        <v>CUW3</v>
      </c>
      <c r="I342" s="63" t="s">
        <v>2864</v>
      </c>
    </row>
    <row r="343" spans="1:9" ht="15" customHeight="1" x14ac:dyDescent="0.35">
      <c r="A343" s="62">
        <v>4</v>
      </c>
      <c r="B343" s="62" t="s">
        <v>271</v>
      </c>
      <c r="C343" s="63" t="s">
        <v>888</v>
      </c>
      <c r="D343" s="63" t="s">
        <v>889</v>
      </c>
      <c r="E343" s="62" t="s">
        <v>883</v>
      </c>
      <c r="F343" s="63" t="s">
        <v>2861</v>
      </c>
      <c r="G343" s="63" t="str">
        <f t="shared" si="10"/>
        <v>Roshon VAN EIJMA - Curaçao</v>
      </c>
      <c r="H343" s="63" t="str">
        <f t="shared" si="11"/>
        <v>CUW4</v>
      </c>
      <c r="I343" s="63" t="s">
        <v>2865</v>
      </c>
    </row>
    <row r="344" spans="1:9" ht="15" customHeight="1" x14ac:dyDescent="0.35">
      <c r="A344" s="62">
        <v>5</v>
      </c>
      <c r="B344" s="62" t="s">
        <v>271</v>
      </c>
      <c r="C344" s="63" t="s">
        <v>890</v>
      </c>
      <c r="D344" s="63" t="s">
        <v>891</v>
      </c>
      <c r="E344" s="62" t="s">
        <v>883</v>
      </c>
      <c r="F344" s="63" t="s">
        <v>2861</v>
      </c>
      <c r="G344" s="63" t="str">
        <f t="shared" si="10"/>
        <v>Sherel FLORANUS - Curaçao</v>
      </c>
      <c r="H344" s="63" t="str">
        <f t="shared" si="11"/>
        <v>CUW5</v>
      </c>
      <c r="I344" s="63" t="s">
        <v>2866</v>
      </c>
    </row>
    <row r="345" spans="1:9" ht="15" customHeight="1" x14ac:dyDescent="0.35">
      <c r="A345" s="62">
        <v>6</v>
      </c>
      <c r="B345" s="62" t="s">
        <v>280</v>
      </c>
      <c r="C345" s="63" t="s">
        <v>892</v>
      </c>
      <c r="D345" s="63" t="s">
        <v>893</v>
      </c>
      <c r="E345" s="62" t="s">
        <v>883</v>
      </c>
      <c r="F345" s="63" t="s">
        <v>2861</v>
      </c>
      <c r="G345" s="63" t="str">
        <f t="shared" si="10"/>
        <v>Godfried ROEMERATOE - Curaçao</v>
      </c>
      <c r="H345" s="63" t="str">
        <f t="shared" si="11"/>
        <v>CUW6</v>
      </c>
      <c r="I345" s="63" t="s">
        <v>2867</v>
      </c>
    </row>
    <row r="346" spans="1:9" ht="15" customHeight="1" x14ac:dyDescent="0.35">
      <c r="A346" s="62">
        <v>7</v>
      </c>
      <c r="B346" s="62" t="s">
        <v>280</v>
      </c>
      <c r="C346" s="63" t="s">
        <v>894</v>
      </c>
      <c r="D346" s="63" t="s">
        <v>895</v>
      </c>
      <c r="E346" s="62" t="s">
        <v>883</v>
      </c>
      <c r="F346" s="63" t="s">
        <v>2861</v>
      </c>
      <c r="G346" s="63" t="str">
        <f t="shared" si="10"/>
        <v>Juninho BACUNA - Curaçao</v>
      </c>
      <c r="H346" s="63" t="str">
        <f t="shared" si="11"/>
        <v>CUW7</v>
      </c>
      <c r="I346" s="63" t="s">
        <v>2868</v>
      </c>
    </row>
    <row r="347" spans="1:9" ht="15" customHeight="1" x14ac:dyDescent="0.35">
      <c r="A347" s="62">
        <v>8</v>
      </c>
      <c r="B347" s="62" t="s">
        <v>280</v>
      </c>
      <c r="C347" s="63" t="s">
        <v>896</v>
      </c>
      <c r="D347" s="63" t="s">
        <v>897</v>
      </c>
      <c r="E347" s="62" t="s">
        <v>883</v>
      </c>
      <c r="F347" s="63" t="s">
        <v>2861</v>
      </c>
      <c r="G347" s="63" t="str">
        <f t="shared" si="10"/>
        <v>Livano COMENENCIA - Curaçao</v>
      </c>
      <c r="H347" s="63" t="str">
        <f t="shared" si="11"/>
        <v>CUW8</v>
      </c>
      <c r="I347" s="63" t="s">
        <v>2869</v>
      </c>
    </row>
    <row r="348" spans="1:9" ht="15" customHeight="1" x14ac:dyDescent="0.35">
      <c r="A348" s="62">
        <v>9</v>
      </c>
      <c r="B348" s="62" t="s">
        <v>283</v>
      </c>
      <c r="C348" s="63" t="s">
        <v>898</v>
      </c>
      <c r="D348" s="63" t="s">
        <v>899</v>
      </c>
      <c r="E348" s="62" t="s">
        <v>883</v>
      </c>
      <c r="F348" s="63" t="s">
        <v>2861</v>
      </c>
      <c r="G348" s="63" t="str">
        <f t="shared" si="10"/>
        <v>Juergen LOCADIA - Curaçao</v>
      </c>
      <c r="H348" s="63" t="str">
        <f t="shared" si="11"/>
        <v>CUW9</v>
      </c>
      <c r="I348" s="63" t="s">
        <v>2870</v>
      </c>
    </row>
    <row r="349" spans="1:9" ht="15" customHeight="1" x14ac:dyDescent="0.35">
      <c r="A349" s="62">
        <v>10</v>
      </c>
      <c r="B349" s="62" t="s">
        <v>280</v>
      </c>
      <c r="C349" s="63" t="s">
        <v>330</v>
      </c>
      <c r="D349" s="63" t="s">
        <v>895</v>
      </c>
      <c r="E349" s="62" t="s">
        <v>883</v>
      </c>
      <c r="F349" s="63" t="s">
        <v>2861</v>
      </c>
      <c r="G349" s="63" t="str">
        <f t="shared" si="10"/>
        <v>Leandro BACUNA - Curaçao</v>
      </c>
      <c r="H349" s="63" t="str">
        <f t="shared" si="11"/>
        <v>CUW10</v>
      </c>
      <c r="I349" s="63" t="s">
        <v>2871</v>
      </c>
    </row>
    <row r="350" spans="1:9" ht="15" customHeight="1" x14ac:dyDescent="0.35">
      <c r="A350" s="62">
        <v>11</v>
      </c>
      <c r="B350" s="62" t="s">
        <v>283</v>
      </c>
      <c r="C350" s="63" t="s">
        <v>478</v>
      </c>
      <c r="D350" s="63" t="s">
        <v>900</v>
      </c>
      <c r="E350" s="62" t="s">
        <v>883</v>
      </c>
      <c r="F350" s="63" t="s">
        <v>2861</v>
      </c>
      <c r="G350" s="63" t="str">
        <f t="shared" si="10"/>
        <v>Jeremy ANTONISSE - Curaçao</v>
      </c>
      <c r="H350" s="63" t="str">
        <f t="shared" si="11"/>
        <v>CUW11</v>
      </c>
      <c r="I350" s="63" t="s">
        <v>2872</v>
      </c>
    </row>
    <row r="351" spans="1:9" ht="15" customHeight="1" x14ac:dyDescent="0.35">
      <c r="A351" s="62">
        <v>12</v>
      </c>
      <c r="B351" s="62" t="s">
        <v>283</v>
      </c>
      <c r="C351" s="63" t="s">
        <v>901</v>
      </c>
      <c r="D351" s="63" t="s">
        <v>902</v>
      </c>
      <c r="E351" s="62" t="s">
        <v>883</v>
      </c>
      <c r="F351" s="63" t="s">
        <v>2861</v>
      </c>
      <c r="G351" s="63" t="str">
        <f t="shared" si="10"/>
        <v>Sontje HANSEN - Curaçao</v>
      </c>
      <c r="H351" s="63" t="str">
        <f t="shared" si="11"/>
        <v>CUW12</v>
      </c>
      <c r="I351" s="63" t="s">
        <v>2873</v>
      </c>
    </row>
    <row r="352" spans="1:9" ht="15" customHeight="1" x14ac:dyDescent="0.35">
      <c r="A352" s="62">
        <v>13</v>
      </c>
      <c r="B352" s="62" t="s">
        <v>283</v>
      </c>
      <c r="C352" s="63" t="s">
        <v>903</v>
      </c>
      <c r="D352" s="63" t="s">
        <v>904</v>
      </c>
      <c r="E352" s="62" t="s">
        <v>883</v>
      </c>
      <c r="F352" s="63" t="s">
        <v>2861</v>
      </c>
      <c r="G352" s="63" t="str">
        <f t="shared" si="10"/>
        <v>Tyrese NOSLIN - Curaçao</v>
      </c>
      <c r="H352" s="63" t="str">
        <f t="shared" si="11"/>
        <v>CUW13</v>
      </c>
      <c r="I352" s="63" t="s">
        <v>2874</v>
      </c>
    </row>
    <row r="353" spans="1:9" ht="15" customHeight="1" x14ac:dyDescent="0.35">
      <c r="A353" s="62">
        <v>14</v>
      </c>
      <c r="B353" s="62" t="s">
        <v>283</v>
      </c>
      <c r="C353" s="63" t="s">
        <v>905</v>
      </c>
      <c r="D353" s="63" t="s">
        <v>906</v>
      </c>
      <c r="E353" s="62" t="s">
        <v>883</v>
      </c>
      <c r="F353" s="63" t="s">
        <v>2861</v>
      </c>
      <c r="G353" s="63" t="str">
        <f t="shared" si="10"/>
        <v>Kenji GORRE - Curaçao</v>
      </c>
      <c r="H353" s="63" t="str">
        <f t="shared" si="11"/>
        <v>CUW14</v>
      </c>
      <c r="I353" s="63" t="s">
        <v>2875</v>
      </c>
    </row>
    <row r="354" spans="1:9" ht="15" customHeight="1" x14ac:dyDescent="0.35">
      <c r="A354" s="62">
        <v>15</v>
      </c>
      <c r="B354" s="62" t="s">
        <v>280</v>
      </c>
      <c r="C354" s="63" t="s">
        <v>907</v>
      </c>
      <c r="D354" s="63" t="s">
        <v>908</v>
      </c>
      <c r="E354" s="62" t="s">
        <v>883</v>
      </c>
      <c r="F354" s="63" t="s">
        <v>2861</v>
      </c>
      <c r="G354" s="63" t="str">
        <f t="shared" si="10"/>
        <v>Arjany MARTHA - Curaçao</v>
      </c>
      <c r="H354" s="63" t="str">
        <f t="shared" si="11"/>
        <v>CUW15</v>
      </c>
      <c r="I354" s="63" t="s">
        <v>2876</v>
      </c>
    </row>
    <row r="355" spans="1:9" ht="15" customHeight="1" x14ac:dyDescent="0.35">
      <c r="A355" s="62">
        <v>16</v>
      </c>
      <c r="B355" s="62" t="s">
        <v>283</v>
      </c>
      <c r="C355" s="63" t="s">
        <v>909</v>
      </c>
      <c r="D355" s="63" t="s">
        <v>910</v>
      </c>
      <c r="E355" s="62" t="s">
        <v>883</v>
      </c>
      <c r="F355" s="63" t="s">
        <v>2861</v>
      </c>
      <c r="G355" s="63" t="str">
        <f t="shared" si="10"/>
        <v>Jearl MARGARITHA - Curaçao</v>
      </c>
      <c r="H355" s="63" t="str">
        <f t="shared" si="11"/>
        <v>CUW16</v>
      </c>
      <c r="I355" s="63" t="s">
        <v>2877</v>
      </c>
    </row>
    <row r="356" spans="1:9" ht="15" customHeight="1" x14ac:dyDescent="0.35">
      <c r="A356" s="62">
        <v>17</v>
      </c>
      <c r="B356" s="62" t="s">
        <v>283</v>
      </c>
      <c r="C356" s="63" t="s">
        <v>911</v>
      </c>
      <c r="D356" s="63" t="s">
        <v>912</v>
      </c>
      <c r="E356" s="62" t="s">
        <v>883</v>
      </c>
      <c r="F356" s="63" t="s">
        <v>2861</v>
      </c>
      <c r="G356" s="63" t="str">
        <f t="shared" si="10"/>
        <v>Brandley KUWAS - Curaçao</v>
      </c>
      <c r="H356" s="63" t="str">
        <f t="shared" si="11"/>
        <v>CUW17</v>
      </c>
      <c r="I356" s="63" t="s">
        <v>2878</v>
      </c>
    </row>
    <row r="357" spans="1:9" ht="15" customHeight="1" x14ac:dyDescent="0.35">
      <c r="A357" s="62">
        <v>18</v>
      </c>
      <c r="B357" s="62" t="s">
        <v>271</v>
      </c>
      <c r="C357" s="63" t="s">
        <v>913</v>
      </c>
      <c r="D357" s="63" t="s">
        <v>914</v>
      </c>
      <c r="E357" s="62" t="s">
        <v>883</v>
      </c>
      <c r="F357" s="63" t="s">
        <v>2861</v>
      </c>
      <c r="G357" s="63" t="str">
        <f t="shared" si="10"/>
        <v>Armando OBISPO - Curaçao</v>
      </c>
      <c r="H357" s="63" t="str">
        <f t="shared" si="11"/>
        <v>CUW18</v>
      </c>
      <c r="I357" s="63" t="s">
        <v>2879</v>
      </c>
    </row>
    <row r="358" spans="1:9" ht="15" customHeight="1" x14ac:dyDescent="0.35">
      <c r="A358" s="62">
        <v>19</v>
      </c>
      <c r="B358" s="62" t="s">
        <v>283</v>
      </c>
      <c r="C358" s="63" t="s">
        <v>915</v>
      </c>
      <c r="D358" s="63" t="s">
        <v>916</v>
      </c>
      <c r="E358" s="62" t="s">
        <v>883</v>
      </c>
      <c r="F358" s="63" t="s">
        <v>2861</v>
      </c>
      <c r="G358" s="63" t="str">
        <f t="shared" si="10"/>
        <v>Gervane KASTANEER - Curaçao</v>
      </c>
      <c r="H358" s="63" t="str">
        <f t="shared" si="11"/>
        <v>CUW19</v>
      </c>
      <c r="I358" s="63" t="s">
        <v>2880</v>
      </c>
    </row>
    <row r="359" spans="1:9" ht="15" customHeight="1" x14ac:dyDescent="0.35">
      <c r="A359" s="62">
        <v>20</v>
      </c>
      <c r="B359" s="62" t="s">
        <v>271</v>
      </c>
      <c r="C359" s="63" t="s">
        <v>917</v>
      </c>
      <c r="D359" s="63" t="s">
        <v>918</v>
      </c>
      <c r="E359" s="62" t="s">
        <v>883</v>
      </c>
      <c r="F359" s="63" t="s">
        <v>2861</v>
      </c>
      <c r="G359" s="63" t="str">
        <f t="shared" si="10"/>
        <v>Joshua BRENET - Curaçao</v>
      </c>
      <c r="H359" s="63" t="str">
        <f t="shared" si="11"/>
        <v>CUW20</v>
      </c>
      <c r="I359" s="63" t="s">
        <v>2881</v>
      </c>
    </row>
    <row r="360" spans="1:9" ht="15" customHeight="1" x14ac:dyDescent="0.35">
      <c r="A360" s="62">
        <v>21</v>
      </c>
      <c r="B360" s="62" t="s">
        <v>280</v>
      </c>
      <c r="C360" s="63" t="s">
        <v>919</v>
      </c>
      <c r="D360" s="63" t="s">
        <v>920</v>
      </c>
      <c r="E360" s="62" t="s">
        <v>883</v>
      </c>
      <c r="F360" s="63" t="s">
        <v>2861</v>
      </c>
      <c r="G360" s="63" t="str">
        <f t="shared" si="10"/>
        <v>Tahith CHONG - Curaçao</v>
      </c>
      <c r="H360" s="63" t="str">
        <f t="shared" si="11"/>
        <v>CUW21</v>
      </c>
      <c r="I360" s="63" t="s">
        <v>2882</v>
      </c>
    </row>
    <row r="361" spans="1:9" ht="15" customHeight="1" x14ac:dyDescent="0.35">
      <c r="A361" s="62">
        <v>22</v>
      </c>
      <c r="B361" s="62" t="s">
        <v>280</v>
      </c>
      <c r="C361" s="63" t="s">
        <v>423</v>
      </c>
      <c r="D361" s="63" t="s">
        <v>921</v>
      </c>
      <c r="E361" s="62" t="s">
        <v>883</v>
      </c>
      <c r="F361" s="63" t="s">
        <v>2861</v>
      </c>
      <c r="G361" s="63" t="str">
        <f t="shared" si="10"/>
        <v>Kevin FELIDA - Curaçao</v>
      </c>
      <c r="H361" s="63" t="str">
        <f t="shared" si="11"/>
        <v>CUW22</v>
      </c>
      <c r="I361" s="63" t="s">
        <v>2883</v>
      </c>
    </row>
    <row r="362" spans="1:9" ht="15" customHeight="1" x14ac:dyDescent="0.35">
      <c r="A362" s="62">
        <v>23</v>
      </c>
      <c r="B362" s="62" t="s">
        <v>271</v>
      </c>
      <c r="C362" s="63" t="s">
        <v>922</v>
      </c>
      <c r="D362" s="63" t="s">
        <v>923</v>
      </c>
      <c r="E362" s="62" t="s">
        <v>883</v>
      </c>
      <c r="F362" s="63" t="s">
        <v>2861</v>
      </c>
      <c r="G362" s="63" t="str">
        <f t="shared" si="10"/>
        <v>Riechedly BAZOER - Curaçao</v>
      </c>
      <c r="H362" s="63" t="str">
        <f t="shared" si="11"/>
        <v>CUW23</v>
      </c>
      <c r="I362" s="63" t="s">
        <v>2884</v>
      </c>
    </row>
    <row r="363" spans="1:9" ht="15" customHeight="1" x14ac:dyDescent="0.35">
      <c r="A363" s="62">
        <v>24</v>
      </c>
      <c r="B363" s="62" t="s">
        <v>271</v>
      </c>
      <c r="C363" s="63" t="s">
        <v>924</v>
      </c>
      <c r="D363" s="63" t="s">
        <v>925</v>
      </c>
      <c r="E363" s="62" t="s">
        <v>883</v>
      </c>
      <c r="F363" s="63" t="s">
        <v>2861</v>
      </c>
      <c r="G363" s="63" t="str">
        <f t="shared" si="10"/>
        <v>Deveron FONVILLE - Curaçao</v>
      </c>
      <c r="H363" s="63" t="str">
        <f t="shared" si="11"/>
        <v>CUW24</v>
      </c>
      <c r="I363" s="63" t="s">
        <v>2885</v>
      </c>
    </row>
    <row r="364" spans="1:9" ht="15" customHeight="1" x14ac:dyDescent="0.35">
      <c r="A364" s="62">
        <v>25</v>
      </c>
      <c r="B364" s="62" t="s">
        <v>267</v>
      </c>
      <c r="C364" s="63" t="s">
        <v>926</v>
      </c>
      <c r="D364" s="63" t="s">
        <v>927</v>
      </c>
      <c r="E364" s="62" t="s">
        <v>883</v>
      </c>
      <c r="F364" s="63" t="s">
        <v>2861</v>
      </c>
      <c r="G364" s="63" t="str">
        <f t="shared" si="10"/>
        <v>Tyrick BODAK - Curaçao</v>
      </c>
      <c r="H364" s="63" t="str">
        <f t="shared" si="11"/>
        <v>CUW25</v>
      </c>
      <c r="I364" s="63" t="s">
        <v>2886</v>
      </c>
    </row>
    <row r="365" spans="1:9" ht="15" customHeight="1" x14ac:dyDescent="0.35">
      <c r="A365" s="62">
        <v>26</v>
      </c>
      <c r="B365" s="62" t="s">
        <v>267</v>
      </c>
      <c r="C365" s="63" t="s">
        <v>928</v>
      </c>
      <c r="D365" s="63" t="s">
        <v>929</v>
      </c>
      <c r="E365" s="62" t="s">
        <v>883</v>
      </c>
      <c r="F365" s="63" t="s">
        <v>2861</v>
      </c>
      <c r="G365" s="63" t="str">
        <f t="shared" si="10"/>
        <v>Trevor DOORNBUSCH - Curaçao</v>
      </c>
      <c r="H365" s="63" t="str">
        <f t="shared" si="11"/>
        <v>CUW26</v>
      </c>
      <c r="I365" s="63" t="s">
        <v>2887</v>
      </c>
    </row>
    <row r="366" spans="1:9" ht="15" customHeight="1" x14ac:dyDescent="0.35">
      <c r="A366" s="64">
        <v>1</v>
      </c>
      <c r="B366" s="64" t="s">
        <v>267</v>
      </c>
      <c r="C366" s="65" t="s">
        <v>930</v>
      </c>
      <c r="D366" s="65" t="s">
        <v>931</v>
      </c>
      <c r="E366" s="64" t="s">
        <v>932</v>
      </c>
      <c r="F366" s="65" t="s">
        <v>2888</v>
      </c>
      <c r="G366" s="65" t="str">
        <f t="shared" si="10"/>
        <v>Matej KOVAR - Czechia</v>
      </c>
      <c r="H366" s="65" t="str">
        <f t="shared" si="11"/>
        <v>CZE1</v>
      </c>
      <c r="I366" s="65" t="s">
        <v>2889</v>
      </c>
    </row>
    <row r="367" spans="1:9" ht="15" customHeight="1" x14ac:dyDescent="0.35">
      <c r="A367" s="64">
        <v>2</v>
      </c>
      <c r="B367" s="64" t="s">
        <v>271</v>
      </c>
      <c r="C367" s="65" t="s">
        <v>421</v>
      </c>
      <c r="D367" s="65" t="s">
        <v>933</v>
      </c>
      <c r="E367" s="64" t="s">
        <v>932</v>
      </c>
      <c r="F367" s="65" t="s">
        <v>2888</v>
      </c>
      <c r="G367" s="65" t="str">
        <f t="shared" si="10"/>
        <v>David ZIMA - Czechia</v>
      </c>
      <c r="H367" s="65" t="str">
        <f t="shared" si="11"/>
        <v>CZE2</v>
      </c>
      <c r="I367" s="65" t="s">
        <v>2890</v>
      </c>
    </row>
    <row r="368" spans="1:9" ht="15" customHeight="1" x14ac:dyDescent="0.35">
      <c r="A368" s="64">
        <v>3</v>
      </c>
      <c r="B368" s="64" t="s">
        <v>271</v>
      </c>
      <c r="C368" s="65" t="s">
        <v>934</v>
      </c>
      <c r="D368" s="65" t="s">
        <v>935</v>
      </c>
      <c r="E368" s="64" t="s">
        <v>932</v>
      </c>
      <c r="F368" s="65" t="s">
        <v>2888</v>
      </c>
      <c r="G368" s="65" t="str">
        <f t="shared" si="10"/>
        <v>Tomas HOLES - Czechia</v>
      </c>
      <c r="H368" s="65" t="str">
        <f t="shared" si="11"/>
        <v>CZE3</v>
      </c>
      <c r="I368" s="65" t="s">
        <v>2891</v>
      </c>
    </row>
    <row r="369" spans="1:9" ht="15" customHeight="1" x14ac:dyDescent="0.35">
      <c r="A369" s="64">
        <v>4</v>
      </c>
      <c r="B369" s="64" t="s">
        <v>271</v>
      </c>
      <c r="C369" s="65" t="s">
        <v>936</v>
      </c>
      <c r="D369" s="65" t="s">
        <v>937</v>
      </c>
      <c r="E369" s="64" t="s">
        <v>932</v>
      </c>
      <c r="F369" s="65" t="s">
        <v>2888</v>
      </c>
      <c r="G369" s="65" t="str">
        <f t="shared" si="10"/>
        <v>Robin HRANAC - Czechia</v>
      </c>
      <c r="H369" s="65" t="str">
        <f t="shared" si="11"/>
        <v>CZE4</v>
      </c>
      <c r="I369" s="65" t="s">
        <v>2892</v>
      </c>
    </row>
    <row r="370" spans="1:9" ht="15" customHeight="1" x14ac:dyDescent="0.35">
      <c r="A370" s="64">
        <v>5</v>
      </c>
      <c r="B370" s="64" t="s">
        <v>271</v>
      </c>
      <c r="C370" s="65" t="s">
        <v>938</v>
      </c>
      <c r="D370" s="65" t="s">
        <v>939</v>
      </c>
      <c r="E370" s="64" t="s">
        <v>932</v>
      </c>
      <c r="F370" s="65" t="s">
        <v>2888</v>
      </c>
      <c r="G370" s="65" t="str">
        <f t="shared" si="10"/>
        <v>Vladimir COUFAL - Czechia</v>
      </c>
      <c r="H370" s="65" t="str">
        <f t="shared" si="11"/>
        <v>CZE5</v>
      </c>
      <c r="I370" s="65" t="s">
        <v>2893</v>
      </c>
    </row>
    <row r="371" spans="1:9" ht="15" customHeight="1" x14ac:dyDescent="0.35">
      <c r="A371" s="64">
        <v>6</v>
      </c>
      <c r="B371" s="64" t="s">
        <v>271</v>
      </c>
      <c r="C371" s="65" t="s">
        <v>940</v>
      </c>
      <c r="D371" s="65" t="s">
        <v>941</v>
      </c>
      <c r="E371" s="64" t="s">
        <v>932</v>
      </c>
      <c r="F371" s="65" t="s">
        <v>2888</v>
      </c>
      <c r="G371" s="65" t="str">
        <f t="shared" si="10"/>
        <v>Stepan CHALOUPEK - Czechia</v>
      </c>
      <c r="H371" s="65" t="str">
        <f t="shared" si="11"/>
        <v>CZE6</v>
      </c>
      <c r="I371" s="65" t="s">
        <v>2894</v>
      </c>
    </row>
    <row r="372" spans="1:9" ht="15" customHeight="1" x14ac:dyDescent="0.35">
      <c r="A372" s="64">
        <v>7</v>
      </c>
      <c r="B372" s="64" t="s">
        <v>271</v>
      </c>
      <c r="C372" s="65" t="s">
        <v>942</v>
      </c>
      <c r="D372" s="65" t="s">
        <v>943</v>
      </c>
      <c r="E372" s="64" t="s">
        <v>932</v>
      </c>
      <c r="F372" s="65" t="s">
        <v>2888</v>
      </c>
      <c r="G372" s="65" t="str">
        <f t="shared" si="10"/>
        <v>Ladislav KREJCI - Czechia</v>
      </c>
      <c r="H372" s="65" t="str">
        <f t="shared" si="11"/>
        <v>CZE7</v>
      </c>
      <c r="I372" s="65" t="s">
        <v>2895</v>
      </c>
    </row>
    <row r="373" spans="1:9" ht="15" customHeight="1" x14ac:dyDescent="0.35">
      <c r="A373" s="64">
        <v>8</v>
      </c>
      <c r="B373" s="64" t="s">
        <v>280</v>
      </c>
      <c r="C373" s="65" t="s">
        <v>938</v>
      </c>
      <c r="D373" s="65" t="s">
        <v>944</v>
      </c>
      <c r="E373" s="64" t="s">
        <v>932</v>
      </c>
      <c r="F373" s="65" t="s">
        <v>2888</v>
      </c>
      <c r="G373" s="65" t="str">
        <f t="shared" si="10"/>
        <v>Vladimir DARIDA - Czechia</v>
      </c>
      <c r="H373" s="65" t="str">
        <f t="shared" si="11"/>
        <v>CZE8</v>
      </c>
      <c r="I373" s="65" t="s">
        <v>2896</v>
      </c>
    </row>
    <row r="374" spans="1:9" ht="15" customHeight="1" x14ac:dyDescent="0.35">
      <c r="A374" s="64">
        <v>9</v>
      </c>
      <c r="B374" s="64" t="s">
        <v>283</v>
      </c>
      <c r="C374" s="65" t="s">
        <v>945</v>
      </c>
      <c r="D374" s="65" t="s">
        <v>946</v>
      </c>
      <c r="E374" s="64" t="s">
        <v>932</v>
      </c>
      <c r="F374" s="65" t="s">
        <v>2888</v>
      </c>
      <c r="G374" s="65" t="str">
        <f t="shared" si="10"/>
        <v>Adam HLOZEK - Czechia</v>
      </c>
      <c r="H374" s="65" t="str">
        <f t="shared" si="11"/>
        <v>CZE9</v>
      </c>
      <c r="I374" s="65" t="s">
        <v>2897</v>
      </c>
    </row>
    <row r="375" spans="1:9" ht="15" customHeight="1" x14ac:dyDescent="0.35">
      <c r="A375" s="64">
        <v>10</v>
      </c>
      <c r="B375" s="64" t="s">
        <v>283</v>
      </c>
      <c r="C375" s="65" t="s">
        <v>947</v>
      </c>
      <c r="D375" s="65" t="s">
        <v>948</v>
      </c>
      <c r="E375" s="64" t="s">
        <v>932</v>
      </c>
      <c r="F375" s="65" t="s">
        <v>2888</v>
      </c>
      <c r="G375" s="65" t="str">
        <f t="shared" si="10"/>
        <v>Patrik SCHICK - Czechia</v>
      </c>
      <c r="H375" s="65" t="str">
        <f t="shared" si="11"/>
        <v>CZE10</v>
      </c>
      <c r="I375" s="65" t="s">
        <v>2898</v>
      </c>
    </row>
    <row r="376" spans="1:9" ht="15" customHeight="1" x14ac:dyDescent="0.35">
      <c r="A376" s="64">
        <v>11</v>
      </c>
      <c r="B376" s="64" t="s">
        <v>283</v>
      </c>
      <c r="C376" s="65" t="s">
        <v>949</v>
      </c>
      <c r="D376" s="65" t="s">
        <v>950</v>
      </c>
      <c r="E376" s="64" t="s">
        <v>932</v>
      </c>
      <c r="F376" s="65" t="s">
        <v>2888</v>
      </c>
      <c r="G376" s="65" t="str">
        <f t="shared" si="10"/>
        <v>Jan KUCHTA - Czechia</v>
      </c>
      <c r="H376" s="65" t="str">
        <f t="shared" si="11"/>
        <v>CZE11</v>
      </c>
      <c r="I376" s="65" t="s">
        <v>2899</v>
      </c>
    </row>
    <row r="377" spans="1:9" ht="15" customHeight="1" x14ac:dyDescent="0.35">
      <c r="A377" s="64">
        <v>12</v>
      </c>
      <c r="B377" s="64" t="s">
        <v>280</v>
      </c>
      <c r="C377" s="65" t="s">
        <v>951</v>
      </c>
      <c r="D377" s="65" t="s">
        <v>952</v>
      </c>
      <c r="E377" s="64" t="s">
        <v>932</v>
      </c>
      <c r="F377" s="65" t="s">
        <v>2888</v>
      </c>
      <c r="G377" s="65" t="str">
        <f t="shared" si="10"/>
        <v>Lukas CERV - Czechia</v>
      </c>
      <c r="H377" s="65" t="str">
        <f t="shared" si="11"/>
        <v>CZE12</v>
      </c>
      <c r="I377" s="65" t="s">
        <v>2900</v>
      </c>
    </row>
    <row r="378" spans="1:9" ht="15" customHeight="1" x14ac:dyDescent="0.35">
      <c r="A378" s="64">
        <v>13</v>
      </c>
      <c r="B378" s="64" t="s">
        <v>283</v>
      </c>
      <c r="C378" s="65" t="s">
        <v>953</v>
      </c>
      <c r="D378" s="65" t="s">
        <v>954</v>
      </c>
      <c r="E378" s="64" t="s">
        <v>932</v>
      </c>
      <c r="F378" s="65" t="s">
        <v>2888</v>
      </c>
      <c r="G378" s="65" t="str">
        <f t="shared" si="10"/>
        <v>Mojmir CHYTIL - Czechia</v>
      </c>
      <c r="H378" s="65" t="str">
        <f t="shared" si="11"/>
        <v>CZE13</v>
      </c>
      <c r="I378" s="65" t="s">
        <v>2901</v>
      </c>
    </row>
    <row r="379" spans="1:9" ht="15" customHeight="1" x14ac:dyDescent="0.35">
      <c r="A379" s="64">
        <v>14</v>
      </c>
      <c r="B379" s="64" t="s">
        <v>271</v>
      </c>
      <c r="C379" s="65" t="s">
        <v>421</v>
      </c>
      <c r="D379" s="65" t="s">
        <v>955</v>
      </c>
      <c r="E379" s="64" t="s">
        <v>932</v>
      </c>
      <c r="F379" s="65" t="s">
        <v>2888</v>
      </c>
      <c r="G379" s="65" t="str">
        <f t="shared" si="10"/>
        <v>David JURASEK - Czechia</v>
      </c>
      <c r="H379" s="65" t="str">
        <f t="shared" si="11"/>
        <v>CZE14</v>
      </c>
      <c r="I379" s="65" t="s">
        <v>2902</v>
      </c>
    </row>
    <row r="380" spans="1:9" ht="15" customHeight="1" x14ac:dyDescent="0.35">
      <c r="A380" s="64">
        <v>15</v>
      </c>
      <c r="B380" s="64" t="s">
        <v>283</v>
      </c>
      <c r="C380" s="65" t="s">
        <v>956</v>
      </c>
      <c r="D380" s="65" t="s">
        <v>957</v>
      </c>
      <c r="E380" s="64" t="s">
        <v>932</v>
      </c>
      <c r="F380" s="65" t="s">
        <v>2888</v>
      </c>
      <c r="G380" s="65" t="str">
        <f t="shared" si="10"/>
        <v>Pavel SULC - Czechia</v>
      </c>
      <c r="H380" s="65" t="str">
        <f t="shared" si="11"/>
        <v>CZE15</v>
      </c>
      <c r="I380" s="65" t="s">
        <v>2903</v>
      </c>
    </row>
    <row r="381" spans="1:9" ht="15" customHeight="1" x14ac:dyDescent="0.35">
      <c r="A381" s="64">
        <v>16</v>
      </c>
      <c r="B381" s="64" t="s">
        <v>267</v>
      </c>
      <c r="C381" s="65" t="s">
        <v>958</v>
      </c>
      <c r="D381" s="65" t="s">
        <v>959</v>
      </c>
      <c r="E381" s="64" t="s">
        <v>932</v>
      </c>
      <c r="F381" s="65" t="s">
        <v>2888</v>
      </c>
      <c r="G381" s="65" t="str">
        <f t="shared" si="10"/>
        <v>Jindrich STANEK - Czechia</v>
      </c>
      <c r="H381" s="65" t="str">
        <f t="shared" si="11"/>
        <v>CZE16</v>
      </c>
      <c r="I381" s="65" t="s">
        <v>2904</v>
      </c>
    </row>
    <row r="382" spans="1:9" ht="15" customHeight="1" x14ac:dyDescent="0.35">
      <c r="A382" s="64">
        <v>17</v>
      </c>
      <c r="B382" s="64" t="s">
        <v>280</v>
      </c>
      <c r="C382" s="65" t="s">
        <v>951</v>
      </c>
      <c r="D382" s="65" t="s">
        <v>960</v>
      </c>
      <c r="E382" s="64" t="s">
        <v>932</v>
      </c>
      <c r="F382" s="65" t="s">
        <v>2888</v>
      </c>
      <c r="G382" s="65" t="str">
        <f t="shared" si="10"/>
        <v>Lukas PROVOD - Czechia</v>
      </c>
      <c r="H382" s="65" t="str">
        <f t="shared" si="11"/>
        <v>CZE17</v>
      </c>
      <c r="I382" s="65" t="s">
        <v>2905</v>
      </c>
    </row>
    <row r="383" spans="1:9" ht="15" customHeight="1" x14ac:dyDescent="0.35">
      <c r="A383" s="64">
        <v>18</v>
      </c>
      <c r="B383" s="64" t="s">
        <v>280</v>
      </c>
      <c r="C383" s="65" t="s">
        <v>961</v>
      </c>
      <c r="D383" s="65" t="s">
        <v>962</v>
      </c>
      <c r="E383" s="64" t="s">
        <v>932</v>
      </c>
      <c r="F383" s="65" t="s">
        <v>2888</v>
      </c>
      <c r="G383" s="65" t="str">
        <f t="shared" si="10"/>
        <v>Michal SADILEK - Czechia</v>
      </c>
      <c r="H383" s="65" t="str">
        <f t="shared" si="11"/>
        <v>CZE18</v>
      </c>
      <c r="I383" s="65" t="s">
        <v>2906</v>
      </c>
    </row>
    <row r="384" spans="1:9" ht="15" customHeight="1" x14ac:dyDescent="0.35">
      <c r="A384" s="64">
        <v>19</v>
      </c>
      <c r="B384" s="64" t="s">
        <v>283</v>
      </c>
      <c r="C384" s="65" t="s">
        <v>934</v>
      </c>
      <c r="D384" s="65" t="s">
        <v>963</v>
      </c>
      <c r="E384" s="64" t="s">
        <v>932</v>
      </c>
      <c r="F384" s="65" t="s">
        <v>2888</v>
      </c>
      <c r="G384" s="65" t="str">
        <f t="shared" si="10"/>
        <v>Tomas CHORY - Czechia</v>
      </c>
      <c r="H384" s="65" t="str">
        <f t="shared" si="11"/>
        <v>CZE19</v>
      </c>
      <c r="I384" s="65" t="s">
        <v>2907</v>
      </c>
    </row>
    <row r="385" spans="1:9" ht="15" customHeight="1" x14ac:dyDescent="0.35">
      <c r="A385" s="64">
        <v>20</v>
      </c>
      <c r="B385" s="64" t="s">
        <v>271</v>
      </c>
      <c r="C385" s="65" t="s">
        <v>964</v>
      </c>
      <c r="D385" s="65" t="s">
        <v>965</v>
      </c>
      <c r="E385" s="64" t="s">
        <v>932</v>
      </c>
      <c r="F385" s="65" t="s">
        <v>2888</v>
      </c>
      <c r="G385" s="65" t="str">
        <f t="shared" si="10"/>
        <v>Jaroslav ZELENY - Czechia</v>
      </c>
      <c r="H385" s="65" t="str">
        <f t="shared" si="11"/>
        <v>CZE20</v>
      </c>
      <c r="I385" s="65" t="s">
        <v>2908</v>
      </c>
    </row>
    <row r="386" spans="1:9" ht="15" customHeight="1" x14ac:dyDescent="0.35">
      <c r="A386" s="64">
        <v>21</v>
      </c>
      <c r="B386" s="64" t="s">
        <v>271</v>
      </c>
      <c r="C386" s="65" t="s">
        <v>421</v>
      </c>
      <c r="D386" s="65" t="s">
        <v>966</v>
      </c>
      <c r="E386" s="64" t="s">
        <v>932</v>
      </c>
      <c r="F386" s="65" t="s">
        <v>2888</v>
      </c>
      <c r="G386" s="65" t="str">
        <f t="shared" si="10"/>
        <v>David DOUDERA - Czechia</v>
      </c>
      <c r="H386" s="65" t="str">
        <f t="shared" si="11"/>
        <v>CZE21</v>
      </c>
      <c r="I386" s="65" t="s">
        <v>2909</v>
      </c>
    </row>
    <row r="387" spans="1:9" ht="15" customHeight="1" x14ac:dyDescent="0.35">
      <c r="A387" s="64">
        <v>22</v>
      </c>
      <c r="B387" s="64" t="s">
        <v>280</v>
      </c>
      <c r="C387" s="65" t="s">
        <v>934</v>
      </c>
      <c r="D387" s="65" t="s">
        <v>967</v>
      </c>
      <c r="E387" s="64" t="s">
        <v>932</v>
      </c>
      <c r="F387" s="65" t="s">
        <v>2888</v>
      </c>
      <c r="G387" s="65" t="str">
        <f t="shared" ref="G387:G450" si="12">_xlfn.CONCAT(C387, " ",D387, " - ",F387)</f>
        <v>Tomas SOUCEK - Czechia</v>
      </c>
      <c r="H387" s="65" t="str">
        <f t="shared" ref="H387:H450" si="13">_xlfn.CONCAT(E387,A387)</f>
        <v>CZE22</v>
      </c>
      <c r="I387" s="65" t="s">
        <v>2910</v>
      </c>
    </row>
    <row r="388" spans="1:9" ht="15" customHeight="1" x14ac:dyDescent="0.35">
      <c r="A388" s="64">
        <v>23</v>
      </c>
      <c r="B388" s="64" t="s">
        <v>267</v>
      </c>
      <c r="C388" s="65" t="s">
        <v>951</v>
      </c>
      <c r="D388" s="65" t="s">
        <v>968</v>
      </c>
      <c r="E388" s="64" t="s">
        <v>932</v>
      </c>
      <c r="F388" s="65" t="s">
        <v>2888</v>
      </c>
      <c r="G388" s="65" t="str">
        <f t="shared" si="12"/>
        <v>Lukas HORNICEK - Czechia</v>
      </c>
      <c r="H388" s="65" t="str">
        <f t="shared" si="13"/>
        <v>CZE23</v>
      </c>
      <c r="I388" s="65" t="s">
        <v>2911</v>
      </c>
    </row>
    <row r="389" spans="1:9" ht="15" customHeight="1" x14ac:dyDescent="0.35">
      <c r="A389" s="64">
        <v>24</v>
      </c>
      <c r="B389" s="64" t="s">
        <v>280</v>
      </c>
      <c r="C389" s="65" t="s">
        <v>969</v>
      </c>
      <c r="D389" s="65" t="s">
        <v>970</v>
      </c>
      <c r="E389" s="64" t="s">
        <v>932</v>
      </c>
      <c r="F389" s="65" t="s">
        <v>2888</v>
      </c>
      <c r="G389" s="65" t="str">
        <f t="shared" si="12"/>
        <v>Alexandr SOJKA - Czechia</v>
      </c>
      <c r="H389" s="65" t="str">
        <f t="shared" si="13"/>
        <v>CZE24</v>
      </c>
      <c r="I389" s="65" t="s">
        <v>2912</v>
      </c>
    </row>
    <row r="390" spans="1:9" ht="15" customHeight="1" x14ac:dyDescent="0.35">
      <c r="A390" s="64">
        <v>25</v>
      </c>
      <c r="B390" s="64" t="s">
        <v>280</v>
      </c>
      <c r="C390" s="65" t="s">
        <v>971</v>
      </c>
      <c r="D390" s="65" t="s">
        <v>972</v>
      </c>
      <c r="E390" s="64" t="s">
        <v>932</v>
      </c>
      <c r="F390" s="65" t="s">
        <v>2888</v>
      </c>
      <c r="G390" s="65" t="str">
        <f t="shared" si="12"/>
        <v>Hugo SOCHUREK - Czechia</v>
      </c>
      <c r="H390" s="65" t="str">
        <f t="shared" si="13"/>
        <v>CZE25</v>
      </c>
      <c r="I390" s="65" t="s">
        <v>2913</v>
      </c>
    </row>
    <row r="391" spans="1:9" ht="15" customHeight="1" x14ac:dyDescent="0.35">
      <c r="A391" s="64">
        <v>26</v>
      </c>
      <c r="B391" s="64" t="s">
        <v>283</v>
      </c>
      <c r="C391" s="65" t="s">
        <v>973</v>
      </c>
      <c r="D391" s="65" t="s">
        <v>974</v>
      </c>
      <c r="E391" s="64" t="s">
        <v>932</v>
      </c>
      <c r="F391" s="65" t="s">
        <v>2888</v>
      </c>
      <c r="G391" s="65" t="str">
        <f t="shared" si="12"/>
        <v>Denis VISINSKY - Czechia</v>
      </c>
      <c r="H391" s="65" t="str">
        <f t="shared" si="13"/>
        <v>CZE26</v>
      </c>
      <c r="I391" s="65" t="s">
        <v>2914</v>
      </c>
    </row>
    <row r="392" spans="1:9" ht="15" customHeight="1" x14ac:dyDescent="0.35">
      <c r="A392" s="66">
        <v>1</v>
      </c>
      <c r="B392" s="66" t="s">
        <v>267</v>
      </c>
      <c r="C392" s="67" t="s">
        <v>975</v>
      </c>
      <c r="D392" s="67" t="s">
        <v>976</v>
      </c>
      <c r="E392" s="66" t="s">
        <v>977</v>
      </c>
      <c r="F392" s="67" t="s">
        <v>2915</v>
      </c>
      <c r="G392" s="67" t="str">
        <f t="shared" si="12"/>
        <v>Hernan GALINDEZ - Ecuador</v>
      </c>
      <c r="H392" s="67" t="str">
        <f t="shared" si="13"/>
        <v>ECU1</v>
      </c>
      <c r="I392" s="67" t="s">
        <v>2916</v>
      </c>
    </row>
    <row r="393" spans="1:9" ht="15" customHeight="1" x14ac:dyDescent="0.35">
      <c r="A393" s="66">
        <v>2</v>
      </c>
      <c r="B393" s="66" t="s">
        <v>271</v>
      </c>
      <c r="C393" s="67" t="s">
        <v>978</v>
      </c>
      <c r="D393" s="67" t="s">
        <v>979</v>
      </c>
      <c r="E393" s="66" t="s">
        <v>977</v>
      </c>
      <c r="F393" s="67" t="s">
        <v>2915</v>
      </c>
      <c r="G393" s="67" t="str">
        <f t="shared" si="12"/>
        <v>Felix TORRES - Ecuador</v>
      </c>
      <c r="H393" s="67" t="str">
        <f t="shared" si="13"/>
        <v>ECU2</v>
      </c>
      <c r="I393" s="67" t="s">
        <v>2917</v>
      </c>
    </row>
    <row r="394" spans="1:9" ht="15" customHeight="1" x14ac:dyDescent="0.35">
      <c r="A394" s="66">
        <v>3</v>
      </c>
      <c r="B394" s="66" t="s">
        <v>271</v>
      </c>
      <c r="C394" s="67" t="s">
        <v>980</v>
      </c>
      <c r="D394" s="67" t="s">
        <v>981</v>
      </c>
      <c r="E394" s="66" t="s">
        <v>977</v>
      </c>
      <c r="F394" s="67" t="s">
        <v>2915</v>
      </c>
      <c r="G394" s="67" t="str">
        <f t="shared" si="12"/>
        <v>Piero HINCAPIE - Ecuador</v>
      </c>
      <c r="H394" s="67" t="str">
        <f t="shared" si="13"/>
        <v>ECU3</v>
      </c>
      <c r="I394" s="67" t="s">
        <v>2918</v>
      </c>
    </row>
    <row r="395" spans="1:9" ht="15" customHeight="1" x14ac:dyDescent="0.35">
      <c r="A395" s="66">
        <v>4</v>
      </c>
      <c r="B395" s="66" t="s">
        <v>271</v>
      </c>
      <c r="C395" s="67" t="s">
        <v>667</v>
      </c>
      <c r="D395" s="67" t="s">
        <v>982</v>
      </c>
      <c r="E395" s="66" t="s">
        <v>977</v>
      </c>
      <c r="F395" s="67" t="s">
        <v>2915</v>
      </c>
      <c r="G395" s="67" t="str">
        <f t="shared" si="12"/>
        <v>Joel ORDONEZ - Ecuador</v>
      </c>
      <c r="H395" s="67" t="str">
        <f t="shared" si="13"/>
        <v>ECU4</v>
      </c>
      <c r="I395" s="67" t="s">
        <v>2919</v>
      </c>
    </row>
    <row r="396" spans="1:9" ht="15" customHeight="1" x14ac:dyDescent="0.35">
      <c r="A396" s="66">
        <v>5</v>
      </c>
      <c r="B396" s="66" t="s">
        <v>280</v>
      </c>
      <c r="C396" s="67" t="s">
        <v>983</v>
      </c>
      <c r="D396" s="67" t="s">
        <v>984</v>
      </c>
      <c r="E396" s="66" t="s">
        <v>977</v>
      </c>
      <c r="F396" s="67" t="s">
        <v>2915</v>
      </c>
      <c r="G396" s="67" t="str">
        <f t="shared" si="12"/>
        <v>Jordy ALCIVAR - Ecuador</v>
      </c>
      <c r="H396" s="67" t="str">
        <f t="shared" si="13"/>
        <v>ECU5</v>
      </c>
      <c r="I396" s="67" t="s">
        <v>2920</v>
      </c>
    </row>
    <row r="397" spans="1:9" ht="15" customHeight="1" x14ac:dyDescent="0.35">
      <c r="A397" s="66">
        <v>6</v>
      </c>
      <c r="B397" s="66" t="s">
        <v>271</v>
      </c>
      <c r="C397" s="67" t="s">
        <v>985</v>
      </c>
      <c r="D397" s="67" t="s">
        <v>986</v>
      </c>
      <c r="E397" s="66" t="s">
        <v>977</v>
      </c>
      <c r="F397" s="67" t="s">
        <v>2915</v>
      </c>
      <c r="G397" s="67" t="str">
        <f t="shared" si="12"/>
        <v>Willian PACHO - Ecuador</v>
      </c>
      <c r="H397" s="67" t="str">
        <f t="shared" si="13"/>
        <v>ECU6</v>
      </c>
      <c r="I397" s="67" t="s">
        <v>2921</v>
      </c>
    </row>
    <row r="398" spans="1:9" ht="15" customHeight="1" x14ac:dyDescent="0.35">
      <c r="A398" s="66">
        <v>7</v>
      </c>
      <c r="B398" s="66" t="s">
        <v>271</v>
      </c>
      <c r="C398" s="67" t="s">
        <v>987</v>
      </c>
      <c r="D398" s="67" t="s">
        <v>988</v>
      </c>
      <c r="E398" s="66" t="s">
        <v>977</v>
      </c>
      <c r="F398" s="67" t="s">
        <v>2915</v>
      </c>
      <c r="G398" s="67" t="str">
        <f t="shared" si="12"/>
        <v>Pervis ESTUPINAN - Ecuador</v>
      </c>
      <c r="H398" s="67" t="str">
        <f t="shared" si="13"/>
        <v>ECU7</v>
      </c>
      <c r="I398" s="67" t="s">
        <v>2922</v>
      </c>
    </row>
    <row r="399" spans="1:9" ht="15" customHeight="1" x14ac:dyDescent="0.35">
      <c r="A399" s="66">
        <v>8</v>
      </c>
      <c r="B399" s="66" t="s">
        <v>280</v>
      </c>
      <c r="C399" s="67" t="s">
        <v>989</v>
      </c>
      <c r="D399" s="67" t="s">
        <v>990</v>
      </c>
      <c r="E399" s="66" t="s">
        <v>977</v>
      </c>
      <c r="F399" s="67" t="s">
        <v>2915</v>
      </c>
      <c r="G399" s="67" t="str">
        <f t="shared" si="12"/>
        <v>Anthony VALENCIA - Ecuador</v>
      </c>
      <c r="H399" s="67" t="str">
        <f t="shared" si="13"/>
        <v>ECU8</v>
      </c>
      <c r="I399" s="67" t="s">
        <v>2923</v>
      </c>
    </row>
    <row r="400" spans="1:9" ht="15" customHeight="1" x14ac:dyDescent="0.35">
      <c r="A400" s="66">
        <v>9</v>
      </c>
      <c r="B400" s="66" t="s">
        <v>283</v>
      </c>
      <c r="C400" s="67" t="s">
        <v>991</v>
      </c>
      <c r="D400" s="67" t="s">
        <v>992</v>
      </c>
      <c r="E400" s="66" t="s">
        <v>977</v>
      </c>
      <c r="F400" s="67" t="s">
        <v>2915</v>
      </c>
      <c r="G400" s="67" t="str">
        <f t="shared" si="12"/>
        <v>John YEBOAH - Ecuador</v>
      </c>
      <c r="H400" s="67" t="str">
        <f t="shared" si="13"/>
        <v>ECU9</v>
      </c>
      <c r="I400" s="67" t="s">
        <v>2924</v>
      </c>
    </row>
    <row r="401" spans="1:9" ht="15" customHeight="1" x14ac:dyDescent="0.35">
      <c r="A401" s="66">
        <v>10</v>
      </c>
      <c r="B401" s="66" t="s">
        <v>280</v>
      </c>
      <c r="C401" s="67" t="s">
        <v>993</v>
      </c>
      <c r="D401" s="67" t="s">
        <v>994</v>
      </c>
      <c r="E401" s="66" t="s">
        <v>977</v>
      </c>
      <c r="F401" s="67" t="s">
        <v>2915</v>
      </c>
      <c r="G401" s="67" t="str">
        <f t="shared" si="12"/>
        <v>Kendry PAEZ - Ecuador</v>
      </c>
      <c r="H401" s="67" t="str">
        <f t="shared" si="13"/>
        <v>ECU10</v>
      </c>
      <c r="I401" s="67" t="s">
        <v>2925</v>
      </c>
    </row>
    <row r="402" spans="1:9" ht="15" customHeight="1" x14ac:dyDescent="0.35">
      <c r="A402" s="66">
        <v>11</v>
      </c>
      <c r="B402" s="66" t="s">
        <v>283</v>
      </c>
      <c r="C402" s="67" t="s">
        <v>423</v>
      </c>
      <c r="D402" s="67" t="s">
        <v>722</v>
      </c>
      <c r="E402" s="66" t="s">
        <v>977</v>
      </c>
      <c r="F402" s="67" t="s">
        <v>2915</v>
      </c>
      <c r="G402" s="67" t="str">
        <f t="shared" si="12"/>
        <v>Kevin RODRIGUEZ - Ecuador</v>
      </c>
      <c r="H402" s="67" t="str">
        <f t="shared" si="13"/>
        <v>ECU11</v>
      </c>
      <c r="I402" s="67" t="s">
        <v>2926</v>
      </c>
    </row>
    <row r="403" spans="1:9" ht="15" customHeight="1" x14ac:dyDescent="0.35">
      <c r="A403" s="66">
        <v>12</v>
      </c>
      <c r="B403" s="66" t="s">
        <v>267</v>
      </c>
      <c r="C403" s="67" t="s">
        <v>995</v>
      </c>
      <c r="D403" s="67" t="s">
        <v>996</v>
      </c>
      <c r="E403" s="66" t="s">
        <v>977</v>
      </c>
      <c r="F403" s="67" t="s">
        <v>2915</v>
      </c>
      <c r="G403" s="67" t="str">
        <f t="shared" si="12"/>
        <v>Moises RAMIREZ - Ecuador</v>
      </c>
      <c r="H403" s="67" t="str">
        <f t="shared" si="13"/>
        <v>ECU12</v>
      </c>
      <c r="I403" s="67" t="s">
        <v>2927</v>
      </c>
    </row>
    <row r="404" spans="1:9" ht="15" customHeight="1" x14ac:dyDescent="0.35">
      <c r="A404" s="66">
        <v>13</v>
      </c>
      <c r="B404" s="66" t="s">
        <v>283</v>
      </c>
      <c r="C404" s="67" t="s">
        <v>997</v>
      </c>
      <c r="D404" s="67" t="s">
        <v>990</v>
      </c>
      <c r="E404" s="66" t="s">
        <v>977</v>
      </c>
      <c r="F404" s="67" t="s">
        <v>2915</v>
      </c>
      <c r="G404" s="67" t="str">
        <f t="shared" si="12"/>
        <v>Enner VALENCIA - Ecuador</v>
      </c>
      <c r="H404" s="67" t="str">
        <f t="shared" si="13"/>
        <v>ECU13</v>
      </c>
      <c r="I404" s="67" t="s">
        <v>2928</v>
      </c>
    </row>
    <row r="405" spans="1:9" ht="15" customHeight="1" x14ac:dyDescent="0.35">
      <c r="A405" s="66">
        <v>14</v>
      </c>
      <c r="B405" s="66" t="s">
        <v>280</v>
      </c>
      <c r="C405" s="67" t="s">
        <v>998</v>
      </c>
      <c r="D405" s="67" t="s">
        <v>999</v>
      </c>
      <c r="E405" s="66" t="s">
        <v>977</v>
      </c>
      <c r="F405" s="67" t="s">
        <v>2915</v>
      </c>
      <c r="G405" s="67" t="str">
        <f t="shared" si="12"/>
        <v>Alan MINDA - Ecuador</v>
      </c>
      <c r="H405" s="67" t="str">
        <f t="shared" si="13"/>
        <v>ECU14</v>
      </c>
      <c r="I405" s="67" t="s">
        <v>2929</v>
      </c>
    </row>
    <row r="406" spans="1:9" ht="15" customHeight="1" x14ac:dyDescent="0.35">
      <c r="A406" s="66">
        <v>15</v>
      </c>
      <c r="B406" s="66" t="s">
        <v>280</v>
      </c>
      <c r="C406" s="67" t="s">
        <v>1000</v>
      </c>
      <c r="D406" s="67" t="s">
        <v>1001</v>
      </c>
      <c r="E406" s="66" t="s">
        <v>977</v>
      </c>
      <c r="F406" s="67" t="s">
        <v>2915</v>
      </c>
      <c r="G406" s="67" t="str">
        <f t="shared" si="12"/>
        <v>Pedro VITE - Ecuador</v>
      </c>
      <c r="H406" s="67" t="str">
        <f t="shared" si="13"/>
        <v>ECU15</v>
      </c>
      <c r="I406" s="67" t="s">
        <v>2930</v>
      </c>
    </row>
    <row r="407" spans="1:9" ht="15" customHeight="1" x14ac:dyDescent="0.35">
      <c r="A407" s="66">
        <v>16</v>
      </c>
      <c r="B407" s="66" t="s">
        <v>283</v>
      </c>
      <c r="C407" s="67" t="s">
        <v>983</v>
      </c>
      <c r="D407" s="67" t="s">
        <v>1002</v>
      </c>
      <c r="E407" s="66" t="s">
        <v>977</v>
      </c>
      <c r="F407" s="67" t="s">
        <v>2915</v>
      </c>
      <c r="G407" s="67" t="str">
        <f t="shared" si="12"/>
        <v>Jordy CAICEDO - Ecuador</v>
      </c>
      <c r="H407" s="67" t="str">
        <f t="shared" si="13"/>
        <v>ECU16</v>
      </c>
      <c r="I407" s="67" t="s">
        <v>2931</v>
      </c>
    </row>
    <row r="408" spans="1:9" ht="15" customHeight="1" x14ac:dyDescent="0.35">
      <c r="A408" s="66">
        <v>17</v>
      </c>
      <c r="B408" s="66" t="s">
        <v>271</v>
      </c>
      <c r="C408" s="67" t="s">
        <v>1003</v>
      </c>
      <c r="D408" s="67" t="s">
        <v>1004</v>
      </c>
      <c r="E408" s="66" t="s">
        <v>977</v>
      </c>
      <c r="F408" s="67" t="s">
        <v>2915</v>
      </c>
      <c r="G408" s="67" t="str">
        <f t="shared" si="12"/>
        <v>Angelo PRECIADO - Ecuador</v>
      </c>
      <c r="H408" s="67" t="str">
        <f t="shared" si="13"/>
        <v>ECU17</v>
      </c>
      <c r="I408" s="67" t="s">
        <v>2932</v>
      </c>
    </row>
    <row r="409" spans="1:9" ht="15" customHeight="1" x14ac:dyDescent="0.35">
      <c r="A409" s="66">
        <v>18</v>
      </c>
      <c r="B409" s="66" t="s">
        <v>280</v>
      </c>
      <c r="C409" s="67" t="s">
        <v>1005</v>
      </c>
      <c r="D409" s="67" t="s">
        <v>1006</v>
      </c>
      <c r="E409" s="66" t="s">
        <v>977</v>
      </c>
      <c r="F409" s="67" t="s">
        <v>2915</v>
      </c>
      <c r="G409" s="67" t="str">
        <f t="shared" si="12"/>
        <v>Denil CASTILLO - Ecuador</v>
      </c>
      <c r="H409" s="67" t="str">
        <f t="shared" si="13"/>
        <v>ECU18</v>
      </c>
      <c r="I409" s="67" t="s">
        <v>2933</v>
      </c>
    </row>
    <row r="410" spans="1:9" ht="15" customHeight="1" x14ac:dyDescent="0.35">
      <c r="A410" s="66">
        <v>19</v>
      </c>
      <c r="B410" s="66" t="s">
        <v>283</v>
      </c>
      <c r="C410" s="67" t="s">
        <v>328</v>
      </c>
      <c r="D410" s="67" t="s">
        <v>1007</v>
      </c>
      <c r="E410" s="66" t="s">
        <v>977</v>
      </c>
      <c r="F410" s="67" t="s">
        <v>2915</v>
      </c>
      <c r="G410" s="67" t="str">
        <f t="shared" si="12"/>
        <v>Gonzalo PLATA - Ecuador</v>
      </c>
      <c r="H410" s="67" t="str">
        <f t="shared" si="13"/>
        <v>ECU19</v>
      </c>
      <c r="I410" s="67" t="s">
        <v>2934</v>
      </c>
    </row>
    <row r="411" spans="1:9" ht="15" customHeight="1" x14ac:dyDescent="0.35">
      <c r="A411" s="66">
        <v>20</v>
      </c>
      <c r="B411" s="66" t="s">
        <v>283</v>
      </c>
      <c r="C411" s="67" t="s">
        <v>1008</v>
      </c>
      <c r="D411" s="67" t="s">
        <v>1009</v>
      </c>
      <c r="E411" s="66" t="s">
        <v>977</v>
      </c>
      <c r="F411" s="67" t="s">
        <v>2915</v>
      </c>
      <c r="G411" s="67" t="str">
        <f t="shared" si="12"/>
        <v>Nilson ANGULO - Ecuador</v>
      </c>
      <c r="H411" s="67" t="str">
        <f t="shared" si="13"/>
        <v>ECU20</v>
      </c>
      <c r="I411" s="67" t="s">
        <v>2935</v>
      </c>
    </row>
    <row r="412" spans="1:9" ht="15" customHeight="1" x14ac:dyDescent="0.35">
      <c r="A412" s="66">
        <v>21</v>
      </c>
      <c r="B412" s="66" t="s">
        <v>280</v>
      </c>
      <c r="C412" s="67" t="s">
        <v>998</v>
      </c>
      <c r="D412" s="67" t="s">
        <v>1010</v>
      </c>
      <c r="E412" s="66" t="s">
        <v>977</v>
      </c>
      <c r="F412" s="67" t="s">
        <v>2915</v>
      </c>
      <c r="G412" s="67" t="str">
        <f t="shared" si="12"/>
        <v>Alan FRANCO - Ecuador</v>
      </c>
      <c r="H412" s="67" t="str">
        <f t="shared" si="13"/>
        <v>ECU21</v>
      </c>
      <c r="I412" s="67" t="s">
        <v>2936</v>
      </c>
    </row>
    <row r="413" spans="1:9" ht="15" customHeight="1" x14ac:dyDescent="0.35">
      <c r="A413" s="66">
        <v>22</v>
      </c>
      <c r="B413" s="66" t="s">
        <v>267</v>
      </c>
      <c r="C413" s="67" t="s">
        <v>328</v>
      </c>
      <c r="D413" s="67" t="s">
        <v>1011</v>
      </c>
      <c r="E413" s="66" t="s">
        <v>977</v>
      </c>
      <c r="F413" s="67" t="s">
        <v>2915</v>
      </c>
      <c r="G413" s="67" t="str">
        <f t="shared" si="12"/>
        <v>Gonzalo VALLE - Ecuador</v>
      </c>
      <c r="H413" s="67" t="str">
        <f t="shared" si="13"/>
        <v>ECU22</v>
      </c>
      <c r="I413" s="67" t="s">
        <v>2937</v>
      </c>
    </row>
    <row r="414" spans="1:9" ht="15" customHeight="1" x14ac:dyDescent="0.35">
      <c r="A414" s="66">
        <v>23</v>
      </c>
      <c r="B414" s="66" t="s">
        <v>280</v>
      </c>
      <c r="C414" s="67" t="s">
        <v>995</v>
      </c>
      <c r="D414" s="67" t="s">
        <v>1002</v>
      </c>
      <c r="E414" s="66" t="s">
        <v>977</v>
      </c>
      <c r="F414" s="67" t="s">
        <v>2915</v>
      </c>
      <c r="G414" s="67" t="str">
        <f t="shared" si="12"/>
        <v>Moises CAICEDO - Ecuador</v>
      </c>
      <c r="H414" s="67" t="str">
        <f t="shared" si="13"/>
        <v>ECU23</v>
      </c>
      <c r="I414" s="67" t="s">
        <v>2938</v>
      </c>
    </row>
    <row r="415" spans="1:9" ht="15" customHeight="1" x14ac:dyDescent="0.35">
      <c r="A415" s="66">
        <v>24</v>
      </c>
      <c r="B415" s="66" t="s">
        <v>283</v>
      </c>
      <c r="C415" s="67" t="s">
        <v>478</v>
      </c>
      <c r="D415" s="67" t="s">
        <v>1012</v>
      </c>
      <c r="E415" s="66" t="s">
        <v>977</v>
      </c>
      <c r="F415" s="67" t="s">
        <v>2915</v>
      </c>
      <c r="G415" s="67" t="str">
        <f t="shared" si="12"/>
        <v>Jeremy AREVALO - Ecuador</v>
      </c>
      <c r="H415" s="67" t="str">
        <f t="shared" si="13"/>
        <v>ECU24</v>
      </c>
      <c r="I415" s="67" t="s">
        <v>2939</v>
      </c>
    </row>
    <row r="416" spans="1:9" ht="15" customHeight="1" x14ac:dyDescent="0.35">
      <c r="A416" s="66">
        <v>25</v>
      </c>
      <c r="B416" s="66" t="s">
        <v>271</v>
      </c>
      <c r="C416" s="67" t="s">
        <v>409</v>
      </c>
      <c r="D416" s="67" t="s">
        <v>1013</v>
      </c>
      <c r="E416" s="66" t="s">
        <v>977</v>
      </c>
      <c r="F416" s="67" t="s">
        <v>2915</v>
      </c>
      <c r="G416" s="67" t="str">
        <f t="shared" si="12"/>
        <v>Jackson POROZO - Ecuador</v>
      </c>
      <c r="H416" s="67" t="str">
        <f t="shared" si="13"/>
        <v>ECU25</v>
      </c>
      <c r="I416" s="67" t="s">
        <v>2940</v>
      </c>
    </row>
    <row r="417" spans="1:9" ht="15" customHeight="1" x14ac:dyDescent="0.35">
      <c r="A417" s="66">
        <v>26</v>
      </c>
      <c r="B417" s="66" t="s">
        <v>271</v>
      </c>
      <c r="C417" s="67" t="s">
        <v>1014</v>
      </c>
      <c r="D417" s="67" t="s">
        <v>367</v>
      </c>
      <c r="E417" s="66" t="s">
        <v>977</v>
      </c>
      <c r="F417" s="67" t="s">
        <v>2915</v>
      </c>
      <c r="G417" s="67" t="str">
        <f t="shared" si="12"/>
        <v>Yaimar MEDINA - Ecuador</v>
      </c>
      <c r="H417" s="67" t="str">
        <f t="shared" si="13"/>
        <v>ECU26</v>
      </c>
      <c r="I417" s="67" t="s">
        <v>2941</v>
      </c>
    </row>
    <row r="418" spans="1:9" ht="15" customHeight="1" x14ac:dyDescent="0.35">
      <c r="A418" s="68">
        <v>1</v>
      </c>
      <c r="B418" s="68" t="s">
        <v>267</v>
      </c>
      <c r="C418" s="69" t="s">
        <v>306</v>
      </c>
      <c r="D418" s="69" t="s">
        <v>1015</v>
      </c>
      <c r="E418" s="68" t="s">
        <v>1016</v>
      </c>
      <c r="F418" s="69" t="s">
        <v>2942</v>
      </c>
      <c r="G418" s="69" t="str">
        <f t="shared" si="12"/>
        <v>Mohamed ELSHENAWY - Egypt</v>
      </c>
      <c r="H418" s="69" t="str">
        <f t="shared" si="13"/>
        <v>EGY1</v>
      </c>
      <c r="I418" s="69" t="s">
        <v>2943</v>
      </c>
    </row>
    <row r="419" spans="1:9" ht="15" customHeight="1" x14ac:dyDescent="0.35">
      <c r="A419" s="68">
        <v>2</v>
      </c>
      <c r="B419" s="68" t="s">
        <v>271</v>
      </c>
      <c r="C419" s="69" t="s">
        <v>1017</v>
      </c>
      <c r="D419" s="69" t="s">
        <v>1018</v>
      </c>
      <c r="E419" s="68" t="s">
        <v>1016</v>
      </c>
      <c r="F419" s="69" t="s">
        <v>2942</v>
      </c>
      <c r="G419" s="69" t="str">
        <f t="shared" si="12"/>
        <v>Yasser IBRAHIM - Egypt</v>
      </c>
      <c r="H419" s="69" t="str">
        <f t="shared" si="13"/>
        <v>EGY2</v>
      </c>
      <c r="I419" s="69" t="s">
        <v>2944</v>
      </c>
    </row>
    <row r="420" spans="1:9" ht="15" customHeight="1" x14ac:dyDescent="0.35">
      <c r="A420" s="68">
        <v>3</v>
      </c>
      <c r="B420" s="68" t="s">
        <v>271</v>
      </c>
      <c r="C420" s="69" t="s">
        <v>306</v>
      </c>
      <c r="D420" s="69" t="s">
        <v>1019</v>
      </c>
      <c r="E420" s="68" t="s">
        <v>1016</v>
      </c>
      <c r="F420" s="69" t="s">
        <v>2942</v>
      </c>
      <c r="G420" s="69" t="str">
        <f t="shared" si="12"/>
        <v>Mohamed HANY - Egypt</v>
      </c>
      <c r="H420" s="69" t="str">
        <f t="shared" si="13"/>
        <v>EGY3</v>
      </c>
      <c r="I420" s="69" t="s">
        <v>2945</v>
      </c>
    </row>
    <row r="421" spans="1:9" ht="15" customHeight="1" x14ac:dyDescent="0.35">
      <c r="A421" s="68">
        <v>4</v>
      </c>
      <c r="B421" s="68" t="s">
        <v>271</v>
      </c>
      <c r="C421" s="69" t="s">
        <v>1020</v>
      </c>
      <c r="D421" s="69" t="s">
        <v>1021</v>
      </c>
      <c r="E421" s="68" t="s">
        <v>1016</v>
      </c>
      <c r="F421" s="69" t="s">
        <v>2942</v>
      </c>
      <c r="G421" s="69" t="str">
        <f t="shared" si="12"/>
        <v>Hossam ABDELMAGUID - Egypt</v>
      </c>
      <c r="H421" s="69" t="str">
        <f t="shared" si="13"/>
        <v>EGY4</v>
      </c>
      <c r="I421" s="69" t="s">
        <v>2946</v>
      </c>
    </row>
    <row r="422" spans="1:9" ht="15" customHeight="1" x14ac:dyDescent="0.35">
      <c r="A422" s="68">
        <v>5</v>
      </c>
      <c r="B422" s="68" t="s">
        <v>271</v>
      </c>
      <c r="C422" s="69" t="s">
        <v>312</v>
      </c>
      <c r="D422" s="69" t="s">
        <v>1022</v>
      </c>
      <c r="E422" s="68" t="s">
        <v>1016</v>
      </c>
      <c r="F422" s="69" t="s">
        <v>2942</v>
      </c>
      <c r="G422" s="69" t="str">
        <f t="shared" si="12"/>
        <v>Ramy RABIA - Egypt</v>
      </c>
      <c r="H422" s="69" t="str">
        <f t="shared" si="13"/>
        <v>EGY5</v>
      </c>
      <c r="I422" s="69" t="s">
        <v>2947</v>
      </c>
    </row>
    <row r="423" spans="1:9" ht="15" customHeight="1" x14ac:dyDescent="0.35">
      <c r="A423" s="68">
        <v>6</v>
      </c>
      <c r="B423" s="68" t="s">
        <v>271</v>
      </c>
      <c r="C423" s="69" t="s">
        <v>306</v>
      </c>
      <c r="D423" s="69" t="s">
        <v>1023</v>
      </c>
      <c r="E423" s="68" t="s">
        <v>1016</v>
      </c>
      <c r="F423" s="69" t="s">
        <v>2942</v>
      </c>
      <c r="G423" s="69" t="str">
        <f t="shared" si="12"/>
        <v>Mohamed ABDELMONEIM - Egypt</v>
      </c>
      <c r="H423" s="69" t="str">
        <f t="shared" si="13"/>
        <v>EGY6</v>
      </c>
      <c r="I423" s="69" t="s">
        <v>2948</v>
      </c>
    </row>
    <row r="424" spans="1:9" ht="15" customHeight="1" x14ac:dyDescent="0.35">
      <c r="A424" s="68">
        <v>7</v>
      </c>
      <c r="B424" s="68" t="s">
        <v>283</v>
      </c>
      <c r="C424" s="69" t="s">
        <v>1024</v>
      </c>
      <c r="D424" s="69" t="s">
        <v>1025</v>
      </c>
      <c r="E424" s="68" t="s">
        <v>1016</v>
      </c>
      <c r="F424" s="69" t="s">
        <v>2942</v>
      </c>
      <c r="G424" s="69" t="str">
        <f t="shared" si="12"/>
        <v>Mahmoud TREZEGUET - Egypt</v>
      </c>
      <c r="H424" s="69" t="str">
        <f t="shared" si="13"/>
        <v>EGY7</v>
      </c>
      <c r="I424" s="69" t="s">
        <v>2949</v>
      </c>
    </row>
    <row r="425" spans="1:9" ht="15" customHeight="1" x14ac:dyDescent="0.35">
      <c r="A425" s="68">
        <v>8</v>
      </c>
      <c r="B425" s="68" t="s">
        <v>280</v>
      </c>
      <c r="C425" s="69" t="s">
        <v>1026</v>
      </c>
      <c r="D425" s="69" t="s">
        <v>1027</v>
      </c>
      <c r="E425" s="68" t="s">
        <v>1016</v>
      </c>
      <c r="F425" s="69" t="s">
        <v>2942</v>
      </c>
      <c r="G425" s="69" t="str">
        <f t="shared" si="12"/>
        <v>Emam ASHOUR - Egypt</v>
      </c>
      <c r="H425" s="69" t="str">
        <f t="shared" si="13"/>
        <v>EGY8</v>
      </c>
      <c r="I425" s="69" t="s">
        <v>2950</v>
      </c>
    </row>
    <row r="426" spans="1:9" ht="15" customHeight="1" x14ac:dyDescent="0.35">
      <c r="A426" s="68">
        <v>9</v>
      </c>
      <c r="B426" s="68" t="s">
        <v>283</v>
      </c>
      <c r="C426" s="69" t="s">
        <v>1028</v>
      </c>
      <c r="D426" s="69" t="s">
        <v>1029</v>
      </c>
      <c r="E426" s="68" t="s">
        <v>1016</v>
      </c>
      <c r="F426" s="69" t="s">
        <v>2942</v>
      </c>
      <c r="G426" s="69" t="str">
        <f t="shared" si="12"/>
        <v>Hamza ABDELKARIM - Egypt</v>
      </c>
      <c r="H426" s="69" t="str">
        <f t="shared" si="13"/>
        <v>EGY9</v>
      </c>
      <c r="I426" s="69" t="s">
        <v>2951</v>
      </c>
    </row>
    <row r="427" spans="1:9" ht="15" customHeight="1" x14ac:dyDescent="0.35">
      <c r="A427" s="68">
        <v>10</v>
      </c>
      <c r="B427" s="68" t="s">
        <v>283</v>
      </c>
      <c r="C427" s="69" t="s">
        <v>306</v>
      </c>
      <c r="D427" s="69" t="s">
        <v>1030</v>
      </c>
      <c r="E427" s="68" t="s">
        <v>1016</v>
      </c>
      <c r="F427" s="69" t="s">
        <v>2942</v>
      </c>
      <c r="G427" s="69" t="str">
        <f t="shared" si="12"/>
        <v>Mohamed SALAH - Egypt</v>
      </c>
      <c r="H427" s="69" t="str">
        <f t="shared" si="13"/>
        <v>EGY10</v>
      </c>
      <c r="I427" s="69" t="s">
        <v>2952</v>
      </c>
    </row>
    <row r="428" spans="1:9" ht="15" customHeight="1" x14ac:dyDescent="0.35">
      <c r="A428" s="68">
        <v>11</v>
      </c>
      <c r="B428" s="68" t="s">
        <v>280</v>
      </c>
      <c r="C428" s="69" t="s">
        <v>1031</v>
      </c>
      <c r="D428" s="69" t="s">
        <v>1032</v>
      </c>
      <c r="E428" s="68" t="s">
        <v>1016</v>
      </c>
      <c r="F428" s="69" t="s">
        <v>2942</v>
      </c>
      <c r="G428" s="69" t="str">
        <f t="shared" si="12"/>
        <v>Mostafa ZICO - Egypt</v>
      </c>
      <c r="H428" s="69" t="str">
        <f t="shared" si="13"/>
        <v>EGY11</v>
      </c>
      <c r="I428" s="69" t="s">
        <v>2953</v>
      </c>
    </row>
    <row r="429" spans="1:9" ht="15" customHeight="1" x14ac:dyDescent="0.35">
      <c r="A429" s="68">
        <v>12</v>
      </c>
      <c r="B429" s="68" t="s">
        <v>283</v>
      </c>
      <c r="C429" s="69" t="s">
        <v>1033</v>
      </c>
      <c r="D429" s="69" t="s">
        <v>1034</v>
      </c>
      <c r="E429" s="68" t="s">
        <v>1016</v>
      </c>
      <c r="F429" s="69" t="s">
        <v>2942</v>
      </c>
      <c r="G429" s="69" t="str">
        <f t="shared" si="12"/>
        <v>Haissem HASSAN - Egypt</v>
      </c>
      <c r="H429" s="69" t="str">
        <f t="shared" si="13"/>
        <v>EGY12</v>
      </c>
      <c r="I429" s="69" t="s">
        <v>2954</v>
      </c>
    </row>
    <row r="430" spans="1:9" ht="15" customHeight="1" x14ac:dyDescent="0.35">
      <c r="A430" s="68">
        <v>13</v>
      </c>
      <c r="B430" s="68" t="s">
        <v>271</v>
      </c>
      <c r="C430" s="69" t="s">
        <v>1035</v>
      </c>
      <c r="D430" s="69" t="s">
        <v>1036</v>
      </c>
      <c r="E430" s="68" t="s">
        <v>1016</v>
      </c>
      <c r="F430" s="69" t="s">
        <v>2942</v>
      </c>
      <c r="G430" s="69" t="str">
        <f t="shared" si="12"/>
        <v>Ahmed FATOUH - Egypt</v>
      </c>
      <c r="H430" s="69" t="str">
        <f t="shared" si="13"/>
        <v>EGY13</v>
      </c>
      <c r="I430" s="69" t="s">
        <v>2955</v>
      </c>
    </row>
    <row r="431" spans="1:9" ht="15" customHeight="1" x14ac:dyDescent="0.35">
      <c r="A431" s="68">
        <v>14</v>
      </c>
      <c r="B431" s="68" t="s">
        <v>280</v>
      </c>
      <c r="C431" s="69" t="s">
        <v>1037</v>
      </c>
      <c r="D431" s="69" t="s">
        <v>1038</v>
      </c>
      <c r="E431" s="68" t="s">
        <v>1016</v>
      </c>
      <c r="F431" s="69" t="s">
        <v>2942</v>
      </c>
      <c r="G431" s="69" t="str">
        <f t="shared" si="12"/>
        <v>Hamdy FATHY - Egypt</v>
      </c>
      <c r="H431" s="69" t="str">
        <f t="shared" si="13"/>
        <v>EGY14</v>
      </c>
      <c r="I431" s="69" t="s">
        <v>2956</v>
      </c>
    </row>
    <row r="432" spans="1:9" ht="15" customHeight="1" x14ac:dyDescent="0.35">
      <c r="A432" s="68">
        <v>15</v>
      </c>
      <c r="B432" s="68" t="s">
        <v>271</v>
      </c>
      <c r="C432" s="69" t="s">
        <v>1039</v>
      </c>
      <c r="D432" s="69" t="s">
        <v>1040</v>
      </c>
      <c r="E432" s="68" t="s">
        <v>1016</v>
      </c>
      <c r="F432" s="69" t="s">
        <v>2942</v>
      </c>
      <c r="G432" s="69" t="str">
        <f t="shared" si="12"/>
        <v>Karim HAFEZ - Egypt</v>
      </c>
      <c r="H432" s="69" t="str">
        <f t="shared" si="13"/>
        <v>EGY15</v>
      </c>
      <c r="I432" s="69" t="s">
        <v>2957</v>
      </c>
    </row>
    <row r="433" spans="1:9" ht="15" customHeight="1" x14ac:dyDescent="0.35">
      <c r="A433" s="68">
        <v>16</v>
      </c>
      <c r="B433" s="68" t="s">
        <v>267</v>
      </c>
      <c r="C433" s="69" t="s">
        <v>1041</v>
      </c>
      <c r="D433" s="69" t="s">
        <v>1042</v>
      </c>
      <c r="E433" s="68" t="s">
        <v>1016</v>
      </c>
      <c r="F433" s="69" t="s">
        <v>2942</v>
      </c>
      <c r="G433" s="69" t="str">
        <f t="shared" si="12"/>
        <v>Mahdy SOLIMAN - Egypt</v>
      </c>
      <c r="H433" s="69" t="str">
        <f t="shared" si="13"/>
        <v>EGY16</v>
      </c>
      <c r="I433" s="69" t="s">
        <v>2958</v>
      </c>
    </row>
    <row r="434" spans="1:9" ht="15" customHeight="1" x14ac:dyDescent="0.35">
      <c r="A434" s="68">
        <v>17</v>
      </c>
      <c r="B434" s="68" t="s">
        <v>280</v>
      </c>
      <c r="C434" s="69" t="s">
        <v>1043</v>
      </c>
      <c r="D434" s="69" t="s">
        <v>1044</v>
      </c>
      <c r="E434" s="68" t="s">
        <v>1016</v>
      </c>
      <c r="F434" s="69" t="s">
        <v>2942</v>
      </c>
      <c r="G434" s="69" t="str">
        <f t="shared" si="12"/>
        <v>Mohanad LASHIN - Egypt</v>
      </c>
      <c r="H434" s="69" t="str">
        <f t="shared" si="13"/>
        <v>EGY17</v>
      </c>
      <c r="I434" s="69" t="s">
        <v>2959</v>
      </c>
    </row>
    <row r="435" spans="1:9" ht="15" customHeight="1" x14ac:dyDescent="0.35">
      <c r="A435" s="68">
        <v>18</v>
      </c>
      <c r="B435" s="68" t="s">
        <v>280</v>
      </c>
      <c r="C435" s="69" t="s">
        <v>308</v>
      </c>
      <c r="D435" s="69" t="s">
        <v>1045</v>
      </c>
      <c r="E435" s="68" t="s">
        <v>1016</v>
      </c>
      <c r="F435" s="69" t="s">
        <v>2942</v>
      </c>
      <c r="G435" s="69" t="str">
        <f t="shared" si="12"/>
        <v>Nabil DONGA - Egypt</v>
      </c>
      <c r="H435" s="69" t="str">
        <f t="shared" si="13"/>
        <v>EGY18</v>
      </c>
      <c r="I435" s="69" t="s">
        <v>2960</v>
      </c>
    </row>
    <row r="436" spans="1:9" ht="15" customHeight="1" x14ac:dyDescent="0.35">
      <c r="A436" s="68">
        <v>19</v>
      </c>
      <c r="B436" s="68" t="s">
        <v>280</v>
      </c>
      <c r="C436" s="69" t="s">
        <v>1046</v>
      </c>
      <c r="D436" s="69" t="s">
        <v>1047</v>
      </c>
      <c r="E436" s="68" t="s">
        <v>1016</v>
      </c>
      <c r="F436" s="69" t="s">
        <v>2942</v>
      </c>
      <c r="G436" s="69" t="str">
        <f t="shared" si="12"/>
        <v>Marawan ATTIA - Egypt</v>
      </c>
      <c r="H436" s="69" t="str">
        <f t="shared" si="13"/>
        <v>EGY19</v>
      </c>
      <c r="I436" s="69" t="s">
        <v>2961</v>
      </c>
    </row>
    <row r="437" spans="1:9" ht="15" customHeight="1" x14ac:dyDescent="0.35">
      <c r="A437" s="68">
        <v>20</v>
      </c>
      <c r="B437" s="68" t="s">
        <v>283</v>
      </c>
      <c r="C437" s="69" t="s">
        <v>314</v>
      </c>
      <c r="D437" s="69" t="s">
        <v>1048</v>
      </c>
      <c r="E437" s="68" t="s">
        <v>1016</v>
      </c>
      <c r="F437" s="69" t="s">
        <v>2942</v>
      </c>
      <c r="G437" s="69" t="str">
        <f t="shared" si="12"/>
        <v>Ibrahim ADEL - Egypt</v>
      </c>
      <c r="H437" s="69" t="str">
        <f t="shared" si="13"/>
        <v>EGY20</v>
      </c>
      <c r="I437" s="69" t="s">
        <v>2962</v>
      </c>
    </row>
    <row r="438" spans="1:9" ht="15" customHeight="1" x14ac:dyDescent="0.35">
      <c r="A438" s="68">
        <v>21</v>
      </c>
      <c r="B438" s="68" t="s">
        <v>280</v>
      </c>
      <c r="C438" s="69" t="s">
        <v>1024</v>
      </c>
      <c r="D438" s="69" t="s">
        <v>1049</v>
      </c>
      <c r="E438" s="68" t="s">
        <v>1016</v>
      </c>
      <c r="F438" s="69" t="s">
        <v>2942</v>
      </c>
      <c r="G438" s="69" t="str">
        <f t="shared" si="12"/>
        <v>Mahmoud SABER - Egypt</v>
      </c>
      <c r="H438" s="69" t="str">
        <f t="shared" si="13"/>
        <v>EGY21</v>
      </c>
      <c r="I438" s="69" t="s">
        <v>2963</v>
      </c>
    </row>
    <row r="439" spans="1:9" ht="15" customHeight="1" x14ac:dyDescent="0.35">
      <c r="A439" s="68">
        <v>22</v>
      </c>
      <c r="B439" s="68" t="s">
        <v>283</v>
      </c>
      <c r="C439" s="69" t="s">
        <v>1050</v>
      </c>
      <c r="D439" s="69" t="s">
        <v>1051</v>
      </c>
      <c r="E439" s="68" t="s">
        <v>1016</v>
      </c>
      <c r="F439" s="69" t="s">
        <v>2942</v>
      </c>
      <c r="G439" s="69" t="str">
        <f t="shared" si="12"/>
        <v>Omar MARMOUSH - Egypt</v>
      </c>
      <c r="H439" s="69" t="str">
        <f t="shared" si="13"/>
        <v>EGY22</v>
      </c>
      <c r="I439" s="69" t="s">
        <v>2964</v>
      </c>
    </row>
    <row r="440" spans="1:9" ht="15" customHeight="1" x14ac:dyDescent="0.35">
      <c r="A440" s="68">
        <v>23</v>
      </c>
      <c r="B440" s="68" t="s">
        <v>267</v>
      </c>
      <c r="C440" s="69" t="s">
        <v>1031</v>
      </c>
      <c r="D440" s="69" t="s">
        <v>1052</v>
      </c>
      <c r="E440" s="68" t="s">
        <v>1016</v>
      </c>
      <c r="F440" s="69" t="s">
        <v>2942</v>
      </c>
      <c r="G440" s="69" t="str">
        <f t="shared" si="12"/>
        <v>Mostafa SHOUBIR - Egypt</v>
      </c>
      <c r="H440" s="69" t="str">
        <f t="shared" si="13"/>
        <v>EGY23</v>
      </c>
      <c r="I440" s="69" t="s">
        <v>2965</v>
      </c>
    </row>
    <row r="441" spans="1:9" ht="15" customHeight="1" x14ac:dyDescent="0.35">
      <c r="A441" s="68">
        <v>24</v>
      </c>
      <c r="B441" s="68" t="s">
        <v>271</v>
      </c>
      <c r="C441" s="69" t="s">
        <v>1053</v>
      </c>
      <c r="D441" s="69" t="s">
        <v>1054</v>
      </c>
      <c r="E441" s="68" t="s">
        <v>1016</v>
      </c>
      <c r="F441" s="69" t="s">
        <v>2942</v>
      </c>
      <c r="G441" s="69" t="str">
        <f t="shared" si="12"/>
        <v>Tarek ALAA - Egypt</v>
      </c>
      <c r="H441" s="69" t="str">
        <f t="shared" si="13"/>
        <v>EGY24</v>
      </c>
      <c r="I441" s="69" t="s">
        <v>2966</v>
      </c>
    </row>
    <row r="442" spans="1:9" ht="15" customHeight="1" x14ac:dyDescent="0.35">
      <c r="A442" s="68">
        <v>25</v>
      </c>
      <c r="B442" s="68" t="s">
        <v>283</v>
      </c>
      <c r="C442" s="69" t="s">
        <v>1035</v>
      </c>
      <c r="D442" s="69" t="s">
        <v>1055</v>
      </c>
      <c r="E442" s="68" t="s">
        <v>1016</v>
      </c>
      <c r="F442" s="69" t="s">
        <v>2942</v>
      </c>
      <c r="G442" s="69" t="str">
        <f t="shared" si="12"/>
        <v>Ahmed ZIZO - Egypt</v>
      </c>
      <c r="H442" s="69" t="str">
        <f t="shared" si="13"/>
        <v>EGY25</v>
      </c>
      <c r="I442" s="69" t="s">
        <v>2967</v>
      </c>
    </row>
    <row r="443" spans="1:9" ht="15" customHeight="1" x14ac:dyDescent="0.35">
      <c r="A443" s="68">
        <v>26</v>
      </c>
      <c r="B443" s="68" t="s">
        <v>267</v>
      </c>
      <c r="C443" s="69" t="s">
        <v>306</v>
      </c>
      <c r="D443" s="69" t="s">
        <v>1054</v>
      </c>
      <c r="E443" s="68" t="s">
        <v>1016</v>
      </c>
      <c r="F443" s="69" t="s">
        <v>2942</v>
      </c>
      <c r="G443" s="69" t="str">
        <f t="shared" si="12"/>
        <v>Mohamed ALAA - Egypt</v>
      </c>
      <c r="H443" s="69" t="str">
        <f t="shared" si="13"/>
        <v>EGY26</v>
      </c>
      <c r="I443" s="69" t="s">
        <v>2968</v>
      </c>
    </row>
    <row r="444" spans="1:9" ht="15" customHeight="1" x14ac:dyDescent="0.35">
      <c r="A444" s="70">
        <v>1</v>
      </c>
      <c r="B444" s="70" t="s">
        <v>267</v>
      </c>
      <c r="C444" s="71" t="s">
        <v>379</v>
      </c>
      <c r="D444" s="71" t="s">
        <v>1056</v>
      </c>
      <c r="E444" s="70" t="s">
        <v>1057</v>
      </c>
      <c r="F444" s="71" t="s">
        <v>2969</v>
      </c>
      <c r="G444" s="71" t="str">
        <f t="shared" si="12"/>
        <v>Jordan PICKFORD - England</v>
      </c>
      <c r="H444" s="71" t="str">
        <f t="shared" si="13"/>
        <v>ENG1</v>
      </c>
      <c r="I444" s="71" t="s">
        <v>2970</v>
      </c>
    </row>
    <row r="445" spans="1:9" ht="15" customHeight="1" x14ac:dyDescent="0.35">
      <c r="A445" s="70">
        <v>2</v>
      </c>
      <c r="B445" s="70" t="s">
        <v>271</v>
      </c>
      <c r="C445" s="71" t="s">
        <v>1058</v>
      </c>
      <c r="D445" s="71" t="s">
        <v>1059</v>
      </c>
      <c r="E445" s="70" t="s">
        <v>1057</v>
      </c>
      <c r="F445" s="71" t="s">
        <v>2969</v>
      </c>
      <c r="G445" s="71" t="str">
        <f t="shared" si="12"/>
        <v>Ezri KONSA - England</v>
      </c>
      <c r="H445" s="71" t="str">
        <f t="shared" si="13"/>
        <v>ENG2</v>
      </c>
      <c r="I445" s="71" t="s">
        <v>2971</v>
      </c>
    </row>
    <row r="446" spans="1:9" ht="15" customHeight="1" x14ac:dyDescent="0.35">
      <c r="A446" s="70">
        <v>3</v>
      </c>
      <c r="B446" s="70" t="s">
        <v>271</v>
      </c>
      <c r="C446" s="71" t="s">
        <v>350</v>
      </c>
      <c r="D446" s="71" t="s">
        <v>1060</v>
      </c>
      <c r="E446" s="70" t="s">
        <v>1057</v>
      </c>
      <c r="F446" s="71" t="s">
        <v>2969</v>
      </c>
      <c r="G446" s="71" t="str">
        <f t="shared" si="12"/>
        <v>Nico OREILLY - England</v>
      </c>
      <c r="H446" s="71" t="str">
        <f t="shared" si="13"/>
        <v>ENG3</v>
      </c>
      <c r="I446" s="71" t="s">
        <v>2972</v>
      </c>
    </row>
    <row r="447" spans="1:9" ht="15" customHeight="1" x14ac:dyDescent="0.35">
      <c r="A447" s="70">
        <v>4</v>
      </c>
      <c r="B447" s="70" t="s">
        <v>280</v>
      </c>
      <c r="C447" s="71" t="s">
        <v>1061</v>
      </c>
      <c r="D447" s="71" t="s">
        <v>1062</v>
      </c>
      <c r="E447" s="70" t="s">
        <v>1057</v>
      </c>
      <c r="F447" s="71" t="s">
        <v>2969</v>
      </c>
      <c r="G447" s="71" t="str">
        <f t="shared" si="12"/>
        <v>Declan RICE - England</v>
      </c>
      <c r="H447" s="71" t="str">
        <f t="shared" si="13"/>
        <v>ENG4</v>
      </c>
      <c r="I447" s="71" t="s">
        <v>2973</v>
      </c>
    </row>
    <row r="448" spans="1:9" ht="15" customHeight="1" x14ac:dyDescent="0.35">
      <c r="A448" s="70">
        <v>5</v>
      </c>
      <c r="B448" s="70" t="s">
        <v>271</v>
      </c>
      <c r="C448" s="71" t="s">
        <v>991</v>
      </c>
      <c r="D448" s="71" t="s">
        <v>1063</v>
      </c>
      <c r="E448" s="70" t="s">
        <v>1057</v>
      </c>
      <c r="F448" s="71" t="s">
        <v>2969</v>
      </c>
      <c r="G448" s="71" t="str">
        <f t="shared" si="12"/>
        <v>John STONES - England</v>
      </c>
      <c r="H448" s="71" t="str">
        <f t="shared" si="13"/>
        <v>ENG5</v>
      </c>
      <c r="I448" s="71" t="s">
        <v>2974</v>
      </c>
    </row>
    <row r="449" spans="1:9" ht="15" customHeight="1" x14ac:dyDescent="0.35">
      <c r="A449" s="70">
        <v>6</v>
      </c>
      <c r="B449" s="70" t="s">
        <v>271</v>
      </c>
      <c r="C449" s="71" t="s">
        <v>1064</v>
      </c>
      <c r="D449" s="71" t="s">
        <v>1065</v>
      </c>
      <c r="E449" s="70" t="s">
        <v>1057</v>
      </c>
      <c r="F449" s="71" t="s">
        <v>2969</v>
      </c>
      <c r="G449" s="71" t="str">
        <f t="shared" si="12"/>
        <v>Marc GUEHI - England</v>
      </c>
      <c r="H449" s="71" t="str">
        <f t="shared" si="13"/>
        <v>ENG6</v>
      </c>
      <c r="I449" s="71" t="s">
        <v>2975</v>
      </c>
    </row>
    <row r="450" spans="1:9" ht="15" customHeight="1" x14ac:dyDescent="0.35">
      <c r="A450" s="70">
        <v>7</v>
      </c>
      <c r="B450" s="70" t="s">
        <v>283</v>
      </c>
      <c r="C450" s="71" t="s">
        <v>1066</v>
      </c>
      <c r="D450" s="71" t="s">
        <v>1067</v>
      </c>
      <c r="E450" s="70" t="s">
        <v>1057</v>
      </c>
      <c r="F450" s="71" t="s">
        <v>2969</v>
      </c>
      <c r="G450" s="71" t="str">
        <f t="shared" si="12"/>
        <v>Bukayo SAKA - England</v>
      </c>
      <c r="H450" s="71" t="str">
        <f t="shared" si="13"/>
        <v>ENG7</v>
      </c>
      <c r="I450" s="71" t="s">
        <v>2976</v>
      </c>
    </row>
    <row r="451" spans="1:9" ht="15" customHeight="1" x14ac:dyDescent="0.35">
      <c r="A451" s="70">
        <v>8</v>
      </c>
      <c r="B451" s="70" t="s">
        <v>280</v>
      </c>
      <c r="C451" s="71" t="s">
        <v>1068</v>
      </c>
      <c r="D451" s="71" t="s">
        <v>1069</v>
      </c>
      <c r="E451" s="70" t="s">
        <v>1057</v>
      </c>
      <c r="F451" s="71" t="s">
        <v>2969</v>
      </c>
      <c r="G451" s="71" t="str">
        <f t="shared" ref="G451:G514" si="14">_xlfn.CONCAT(C451, " ",D451, " - ",F451)</f>
        <v>Elliot ANDERSON - England</v>
      </c>
      <c r="H451" s="71" t="str">
        <f t="shared" ref="H451:H514" si="15">_xlfn.CONCAT(E451,A451)</f>
        <v>ENG8</v>
      </c>
      <c r="I451" s="71" t="s">
        <v>2977</v>
      </c>
    </row>
    <row r="452" spans="1:9" ht="15" customHeight="1" x14ac:dyDescent="0.35">
      <c r="A452" s="70">
        <v>9</v>
      </c>
      <c r="B452" s="70" t="s">
        <v>283</v>
      </c>
      <c r="C452" s="71" t="s">
        <v>405</v>
      </c>
      <c r="D452" s="71" t="s">
        <v>1070</v>
      </c>
      <c r="E452" s="70" t="s">
        <v>1057</v>
      </c>
      <c r="F452" s="71" t="s">
        <v>2969</v>
      </c>
      <c r="G452" s="71" t="str">
        <f t="shared" si="14"/>
        <v>Harry KANE - England</v>
      </c>
      <c r="H452" s="71" t="str">
        <f t="shared" si="15"/>
        <v>ENG9</v>
      </c>
      <c r="I452" s="71" t="s">
        <v>2978</v>
      </c>
    </row>
    <row r="453" spans="1:9" ht="15" customHeight="1" x14ac:dyDescent="0.35">
      <c r="A453" s="70">
        <v>10</v>
      </c>
      <c r="B453" s="70" t="s">
        <v>280</v>
      </c>
      <c r="C453" s="71" t="s">
        <v>1071</v>
      </c>
      <c r="D453" s="71" t="s">
        <v>1072</v>
      </c>
      <c r="E453" s="70" t="s">
        <v>1057</v>
      </c>
      <c r="F453" s="71" t="s">
        <v>2969</v>
      </c>
      <c r="G453" s="71" t="str">
        <f t="shared" si="14"/>
        <v>Jude BELLINGHAM - England</v>
      </c>
      <c r="H453" s="71" t="str">
        <f t="shared" si="15"/>
        <v>ENG10</v>
      </c>
      <c r="I453" s="71" t="s">
        <v>2979</v>
      </c>
    </row>
    <row r="454" spans="1:9" ht="15" customHeight="1" x14ac:dyDescent="0.35">
      <c r="A454" s="70">
        <v>11</v>
      </c>
      <c r="B454" s="70" t="s">
        <v>283</v>
      </c>
      <c r="C454" s="71" t="s">
        <v>1073</v>
      </c>
      <c r="D454" s="71" t="s">
        <v>1074</v>
      </c>
      <c r="E454" s="70" t="s">
        <v>1057</v>
      </c>
      <c r="F454" s="71" t="s">
        <v>2969</v>
      </c>
      <c r="G454" s="71" t="str">
        <f t="shared" si="14"/>
        <v>Marcus RASHFORD - England</v>
      </c>
      <c r="H454" s="71" t="str">
        <f t="shared" si="15"/>
        <v>ENG11</v>
      </c>
      <c r="I454" s="71" t="s">
        <v>2980</v>
      </c>
    </row>
    <row r="455" spans="1:9" ht="15" customHeight="1" x14ac:dyDescent="0.35">
      <c r="A455" s="70">
        <v>12</v>
      </c>
      <c r="B455" s="70" t="s">
        <v>271</v>
      </c>
      <c r="C455" s="71" t="s">
        <v>2509</v>
      </c>
      <c r="D455" s="71" t="s">
        <v>2508</v>
      </c>
      <c r="E455" s="70" t="s">
        <v>1057</v>
      </c>
      <c r="F455" s="71" t="s">
        <v>2969</v>
      </c>
      <c r="G455" s="71" t="str">
        <f t="shared" si="14"/>
        <v>Trevoh CHALOBAH - England</v>
      </c>
      <c r="H455" s="71" t="str">
        <f t="shared" si="15"/>
        <v>ENG12</v>
      </c>
      <c r="I455" s="71" t="s">
        <v>3799</v>
      </c>
    </row>
    <row r="456" spans="1:9" ht="15" customHeight="1" x14ac:dyDescent="0.35">
      <c r="A456" s="70">
        <v>13</v>
      </c>
      <c r="B456" s="70" t="s">
        <v>267</v>
      </c>
      <c r="C456" s="71" t="s">
        <v>1075</v>
      </c>
      <c r="D456" s="71" t="s">
        <v>1076</v>
      </c>
      <c r="E456" s="70" t="s">
        <v>1057</v>
      </c>
      <c r="F456" s="71" t="s">
        <v>2969</v>
      </c>
      <c r="G456" s="71" t="str">
        <f t="shared" si="14"/>
        <v>Dean HENDERSON - England</v>
      </c>
      <c r="H456" s="71" t="str">
        <f t="shared" si="15"/>
        <v>ENG13</v>
      </c>
      <c r="I456" s="71" t="s">
        <v>2981</v>
      </c>
    </row>
    <row r="457" spans="1:9" ht="15" customHeight="1" x14ac:dyDescent="0.35">
      <c r="A457" s="70">
        <v>14</v>
      </c>
      <c r="B457" s="70" t="s">
        <v>280</v>
      </c>
      <c r="C457" s="71" t="s">
        <v>379</v>
      </c>
      <c r="D457" s="71" t="s">
        <v>1076</v>
      </c>
      <c r="E457" s="70" t="s">
        <v>1057</v>
      </c>
      <c r="F457" s="71" t="s">
        <v>2969</v>
      </c>
      <c r="G457" s="71" t="str">
        <f t="shared" si="14"/>
        <v>Jordan HENDERSON - England</v>
      </c>
      <c r="H457" s="71" t="str">
        <f t="shared" si="15"/>
        <v>ENG14</v>
      </c>
      <c r="I457" s="71" t="s">
        <v>2982</v>
      </c>
    </row>
    <row r="458" spans="1:9" ht="15" customHeight="1" x14ac:dyDescent="0.35">
      <c r="A458" s="70">
        <v>15</v>
      </c>
      <c r="B458" s="70" t="s">
        <v>271</v>
      </c>
      <c r="C458" s="71" t="s">
        <v>1077</v>
      </c>
      <c r="D458" s="71" t="s">
        <v>1078</v>
      </c>
      <c r="E458" s="70" t="s">
        <v>1057</v>
      </c>
      <c r="F458" s="71" t="s">
        <v>2969</v>
      </c>
      <c r="G458" s="71" t="str">
        <f t="shared" si="14"/>
        <v>Dan BURN - England</v>
      </c>
      <c r="H458" s="71" t="str">
        <f t="shared" si="15"/>
        <v>ENG15</v>
      </c>
      <c r="I458" s="71" t="s">
        <v>2983</v>
      </c>
    </row>
    <row r="459" spans="1:9" ht="15" customHeight="1" x14ac:dyDescent="0.35">
      <c r="A459" s="70">
        <v>16</v>
      </c>
      <c r="B459" s="70" t="s">
        <v>280</v>
      </c>
      <c r="C459" s="71" t="s">
        <v>1079</v>
      </c>
      <c r="D459" s="71" t="s">
        <v>1080</v>
      </c>
      <c r="E459" s="70" t="s">
        <v>1057</v>
      </c>
      <c r="F459" s="71" t="s">
        <v>2969</v>
      </c>
      <c r="G459" s="71" t="str">
        <f t="shared" si="14"/>
        <v>Kobbie MAINOO - England</v>
      </c>
      <c r="H459" s="71" t="str">
        <f t="shared" si="15"/>
        <v>ENG16</v>
      </c>
      <c r="I459" s="71" t="s">
        <v>2984</v>
      </c>
    </row>
    <row r="460" spans="1:9" ht="15" customHeight="1" x14ac:dyDescent="0.35">
      <c r="A460" s="70">
        <v>17</v>
      </c>
      <c r="B460" s="70" t="s">
        <v>280</v>
      </c>
      <c r="C460" s="71" t="s">
        <v>1081</v>
      </c>
      <c r="D460" s="71" t="s">
        <v>1082</v>
      </c>
      <c r="E460" s="70" t="s">
        <v>1057</v>
      </c>
      <c r="F460" s="71" t="s">
        <v>2969</v>
      </c>
      <c r="G460" s="71" t="str">
        <f t="shared" si="14"/>
        <v>Morgan ROGERS - England</v>
      </c>
      <c r="H460" s="71" t="str">
        <f t="shared" si="15"/>
        <v>ENG17</v>
      </c>
      <c r="I460" s="71" t="s">
        <v>2985</v>
      </c>
    </row>
    <row r="461" spans="1:9" ht="15" customHeight="1" x14ac:dyDescent="0.35">
      <c r="A461" s="70">
        <v>18</v>
      </c>
      <c r="B461" s="70" t="s">
        <v>283</v>
      </c>
      <c r="C461" s="71" t="s">
        <v>989</v>
      </c>
      <c r="D461" s="71" t="s">
        <v>1083</v>
      </c>
      <c r="E461" s="70" t="s">
        <v>1057</v>
      </c>
      <c r="F461" s="71" t="s">
        <v>2969</v>
      </c>
      <c r="G461" s="71" t="str">
        <f t="shared" si="14"/>
        <v>Anthony GORDON - England</v>
      </c>
      <c r="H461" s="71" t="str">
        <f t="shared" si="15"/>
        <v>ENG18</v>
      </c>
      <c r="I461" s="71" t="s">
        <v>2986</v>
      </c>
    </row>
    <row r="462" spans="1:9" ht="15" customHeight="1" x14ac:dyDescent="0.35">
      <c r="A462" s="70">
        <v>19</v>
      </c>
      <c r="B462" s="70" t="s">
        <v>283</v>
      </c>
      <c r="C462" s="71" t="s">
        <v>1084</v>
      </c>
      <c r="D462" s="71" t="s">
        <v>1085</v>
      </c>
      <c r="E462" s="70" t="s">
        <v>1057</v>
      </c>
      <c r="F462" s="71" t="s">
        <v>2969</v>
      </c>
      <c r="G462" s="71" t="str">
        <f t="shared" si="14"/>
        <v>Ollie WATKINS - England</v>
      </c>
      <c r="H462" s="71" t="str">
        <f t="shared" si="15"/>
        <v>ENG19</v>
      </c>
      <c r="I462" s="71" t="s">
        <v>2987</v>
      </c>
    </row>
    <row r="463" spans="1:9" ht="15" customHeight="1" x14ac:dyDescent="0.35">
      <c r="A463" s="70">
        <v>20</v>
      </c>
      <c r="B463" s="70" t="s">
        <v>283</v>
      </c>
      <c r="C463" s="71" t="s">
        <v>1086</v>
      </c>
      <c r="D463" s="71" t="s">
        <v>1087</v>
      </c>
      <c r="E463" s="70" t="s">
        <v>1057</v>
      </c>
      <c r="F463" s="71" t="s">
        <v>2969</v>
      </c>
      <c r="G463" s="71" t="str">
        <f t="shared" si="14"/>
        <v>Noni MADUEKE - England</v>
      </c>
      <c r="H463" s="71" t="str">
        <f t="shared" si="15"/>
        <v>ENG20</v>
      </c>
      <c r="I463" s="71" t="s">
        <v>2988</v>
      </c>
    </row>
    <row r="464" spans="1:9" ht="15" customHeight="1" x14ac:dyDescent="0.35">
      <c r="A464" s="70">
        <v>21</v>
      </c>
      <c r="B464" s="70" t="s">
        <v>280</v>
      </c>
      <c r="C464" s="71" t="s">
        <v>1088</v>
      </c>
      <c r="D464" s="71" t="s">
        <v>1089</v>
      </c>
      <c r="E464" s="70" t="s">
        <v>1057</v>
      </c>
      <c r="F464" s="71" t="s">
        <v>2969</v>
      </c>
      <c r="G464" s="71" t="str">
        <f t="shared" si="14"/>
        <v>Eberechi EZE - England</v>
      </c>
      <c r="H464" s="71" t="str">
        <f t="shared" si="15"/>
        <v>ENG21</v>
      </c>
      <c r="I464" s="71" t="s">
        <v>2989</v>
      </c>
    </row>
    <row r="465" spans="1:9" ht="15" customHeight="1" x14ac:dyDescent="0.35">
      <c r="A465" s="70">
        <v>22</v>
      </c>
      <c r="B465" s="70" t="s">
        <v>283</v>
      </c>
      <c r="C465" s="71" t="s">
        <v>533</v>
      </c>
      <c r="D465" s="71" t="s">
        <v>1090</v>
      </c>
      <c r="E465" s="70" t="s">
        <v>1057</v>
      </c>
      <c r="F465" s="71" t="s">
        <v>2969</v>
      </c>
      <c r="G465" s="71" t="str">
        <f t="shared" si="14"/>
        <v>Ivan TONEY - England</v>
      </c>
      <c r="H465" s="71" t="str">
        <f t="shared" si="15"/>
        <v>ENG22</v>
      </c>
      <c r="I465" s="71" t="s">
        <v>2990</v>
      </c>
    </row>
    <row r="466" spans="1:9" ht="15" customHeight="1" x14ac:dyDescent="0.35">
      <c r="A466" s="70">
        <v>23</v>
      </c>
      <c r="B466" s="70" t="s">
        <v>267</v>
      </c>
      <c r="C466" s="71" t="s">
        <v>721</v>
      </c>
      <c r="D466" s="71" t="s">
        <v>1091</v>
      </c>
      <c r="E466" s="70" t="s">
        <v>1057</v>
      </c>
      <c r="F466" s="71" t="s">
        <v>2969</v>
      </c>
      <c r="G466" s="71" t="str">
        <f t="shared" si="14"/>
        <v>James TRAFFORD - England</v>
      </c>
      <c r="H466" s="71" t="str">
        <f t="shared" si="15"/>
        <v>ENG23</v>
      </c>
      <c r="I466" s="71" t="s">
        <v>2991</v>
      </c>
    </row>
    <row r="467" spans="1:9" ht="15" customHeight="1" x14ac:dyDescent="0.35">
      <c r="A467" s="70">
        <v>24</v>
      </c>
      <c r="B467" s="70" t="s">
        <v>271</v>
      </c>
      <c r="C467" s="71" t="s">
        <v>1092</v>
      </c>
      <c r="D467" s="71" t="s">
        <v>1093</v>
      </c>
      <c r="E467" s="70" t="s">
        <v>1057</v>
      </c>
      <c r="F467" s="71" t="s">
        <v>2969</v>
      </c>
      <c r="G467" s="71" t="str">
        <f t="shared" si="14"/>
        <v>Reece JAMES - England</v>
      </c>
      <c r="H467" s="71" t="str">
        <f t="shared" si="15"/>
        <v>ENG24</v>
      </c>
      <c r="I467" s="71" t="s">
        <v>2992</v>
      </c>
    </row>
    <row r="468" spans="1:9" ht="15" customHeight="1" x14ac:dyDescent="0.35">
      <c r="A468" s="70">
        <v>25</v>
      </c>
      <c r="B468" s="70" t="s">
        <v>271</v>
      </c>
      <c r="C468" s="71" t="s">
        <v>1094</v>
      </c>
      <c r="D468" s="71" t="s">
        <v>1095</v>
      </c>
      <c r="E468" s="70" t="s">
        <v>1057</v>
      </c>
      <c r="F468" s="71" t="s">
        <v>2969</v>
      </c>
      <c r="G468" s="71" t="str">
        <f t="shared" si="14"/>
        <v>Djed SPENCE - England</v>
      </c>
      <c r="H468" s="71" t="str">
        <f t="shared" si="15"/>
        <v>ENG25</v>
      </c>
      <c r="I468" s="71" t="s">
        <v>2993</v>
      </c>
    </row>
    <row r="469" spans="1:9" ht="15" customHeight="1" x14ac:dyDescent="0.35">
      <c r="A469" s="70">
        <v>26</v>
      </c>
      <c r="B469" s="70" t="s">
        <v>271</v>
      </c>
      <c r="C469" s="71" t="s">
        <v>1096</v>
      </c>
      <c r="D469" s="71" t="s">
        <v>1097</v>
      </c>
      <c r="E469" s="70" t="s">
        <v>1057</v>
      </c>
      <c r="F469" s="71" t="s">
        <v>2969</v>
      </c>
      <c r="G469" s="71" t="str">
        <f t="shared" si="14"/>
        <v>Jarell QUANSAH - England</v>
      </c>
      <c r="H469" s="71" t="str">
        <f t="shared" si="15"/>
        <v>ENG26</v>
      </c>
      <c r="I469" s="71" t="s">
        <v>2994</v>
      </c>
    </row>
    <row r="470" spans="1:9" ht="15" customHeight="1" x14ac:dyDescent="0.35">
      <c r="A470" s="72">
        <v>1</v>
      </c>
      <c r="B470" s="72" t="s">
        <v>267</v>
      </c>
      <c r="C470" s="73" t="s">
        <v>1098</v>
      </c>
      <c r="D470" s="73" t="s">
        <v>1099</v>
      </c>
      <c r="E470" s="72" t="s">
        <v>1100</v>
      </c>
      <c r="F470" s="73" t="s">
        <v>2995</v>
      </c>
      <c r="G470" s="73" t="str">
        <f t="shared" si="14"/>
        <v>Brice SAMBA - France</v>
      </c>
      <c r="H470" s="73" t="str">
        <f t="shared" si="15"/>
        <v>FRA1</v>
      </c>
      <c r="I470" s="73" t="s">
        <v>2996</v>
      </c>
    </row>
    <row r="471" spans="1:9" ht="15" customHeight="1" x14ac:dyDescent="0.35">
      <c r="A471" s="72">
        <v>2</v>
      </c>
      <c r="B471" s="72" t="s">
        <v>271</v>
      </c>
      <c r="C471" s="73" t="s">
        <v>1101</v>
      </c>
      <c r="D471" s="73" t="s">
        <v>1102</v>
      </c>
      <c r="E471" s="72" t="s">
        <v>1100</v>
      </c>
      <c r="F471" s="73" t="s">
        <v>2995</v>
      </c>
      <c r="G471" s="73" t="str">
        <f t="shared" si="14"/>
        <v>Malo GUSTO - France</v>
      </c>
      <c r="H471" s="73" t="str">
        <f t="shared" si="15"/>
        <v>FRA2</v>
      </c>
      <c r="I471" s="73" t="s">
        <v>2997</v>
      </c>
    </row>
    <row r="472" spans="1:9" ht="15" customHeight="1" x14ac:dyDescent="0.35">
      <c r="A472" s="72">
        <v>3</v>
      </c>
      <c r="B472" s="72" t="s">
        <v>271</v>
      </c>
      <c r="C472" s="73" t="s">
        <v>414</v>
      </c>
      <c r="D472" s="73" t="s">
        <v>1103</v>
      </c>
      <c r="E472" s="72" t="s">
        <v>1100</v>
      </c>
      <c r="F472" s="73" t="s">
        <v>2995</v>
      </c>
      <c r="G472" s="73" t="str">
        <f t="shared" si="14"/>
        <v>Lucas DIGNE - France</v>
      </c>
      <c r="H472" s="73" t="str">
        <f t="shared" si="15"/>
        <v>FRA3</v>
      </c>
      <c r="I472" s="73" t="s">
        <v>2998</v>
      </c>
    </row>
    <row r="473" spans="1:9" ht="15" customHeight="1" x14ac:dyDescent="0.35">
      <c r="A473" s="72">
        <v>4</v>
      </c>
      <c r="B473" s="72" t="s">
        <v>271</v>
      </c>
      <c r="C473" s="73" t="s">
        <v>1104</v>
      </c>
      <c r="D473" s="73" t="s">
        <v>1105</v>
      </c>
      <c r="E473" s="72" t="s">
        <v>1100</v>
      </c>
      <c r="F473" s="73" t="s">
        <v>2995</v>
      </c>
      <c r="G473" s="73" t="str">
        <f t="shared" si="14"/>
        <v>Dayot UPAMECANO - France</v>
      </c>
      <c r="H473" s="73" t="str">
        <f t="shared" si="15"/>
        <v>FRA4</v>
      </c>
      <c r="I473" s="73" t="s">
        <v>2999</v>
      </c>
    </row>
    <row r="474" spans="1:9" ht="15" customHeight="1" x14ac:dyDescent="0.35">
      <c r="A474" s="72">
        <v>5</v>
      </c>
      <c r="B474" s="72" t="s">
        <v>271</v>
      </c>
      <c r="C474" s="73" t="s">
        <v>1106</v>
      </c>
      <c r="D474" s="73" t="s">
        <v>1107</v>
      </c>
      <c r="E474" s="72" t="s">
        <v>1100</v>
      </c>
      <c r="F474" s="73" t="s">
        <v>2995</v>
      </c>
      <c r="G474" s="73" t="str">
        <f t="shared" si="14"/>
        <v>Jules KOUNDE - France</v>
      </c>
      <c r="H474" s="73" t="str">
        <f t="shared" si="15"/>
        <v>FRA5</v>
      </c>
      <c r="I474" s="73" t="s">
        <v>3000</v>
      </c>
    </row>
    <row r="475" spans="1:9" ht="15" customHeight="1" x14ac:dyDescent="0.35">
      <c r="A475" s="72">
        <v>6</v>
      </c>
      <c r="B475" s="72" t="s">
        <v>280</v>
      </c>
      <c r="C475" s="73" t="s">
        <v>1108</v>
      </c>
      <c r="D475" s="73" t="s">
        <v>674</v>
      </c>
      <c r="E475" s="72" t="s">
        <v>1100</v>
      </c>
      <c r="F475" s="73" t="s">
        <v>2995</v>
      </c>
      <c r="G475" s="73" t="str">
        <f t="shared" si="14"/>
        <v>Manu KONE - France</v>
      </c>
      <c r="H475" s="73" t="str">
        <f t="shared" si="15"/>
        <v>FRA6</v>
      </c>
      <c r="I475" s="73" t="s">
        <v>3001</v>
      </c>
    </row>
    <row r="476" spans="1:9" ht="15" customHeight="1" x14ac:dyDescent="0.35">
      <c r="A476" s="72">
        <v>7</v>
      </c>
      <c r="B476" s="72" t="s">
        <v>283</v>
      </c>
      <c r="C476" s="73" t="s">
        <v>799</v>
      </c>
      <c r="D476" s="73" t="s">
        <v>1109</v>
      </c>
      <c r="E476" s="72" t="s">
        <v>1100</v>
      </c>
      <c r="F476" s="73" t="s">
        <v>2995</v>
      </c>
      <c r="G476" s="73" t="str">
        <f t="shared" si="14"/>
        <v>Ousmane DEMBELE - France</v>
      </c>
      <c r="H476" s="73" t="str">
        <f t="shared" si="15"/>
        <v>FRA7</v>
      </c>
      <c r="I476" s="73" t="s">
        <v>3002</v>
      </c>
    </row>
    <row r="477" spans="1:9" ht="15" customHeight="1" x14ac:dyDescent="0.35">
      <c r="A477" s="72">
        <v>8</v>
      </c>
      <c r="B477" s="72" t="s">
        <v>280</v>
      </c>
      <c r="C477" s="73" t="s">
        <v>1110</v>
      </c>
      <c r="D477" s="73" t="s">
        <v>1111</v>
      </c>
      <c r="E477" s="72" t="s">
        <v>1100</v>
      </c>
      <c r="F477" s="73" t="s">
        <v>2995</v>
      </c>
      <c r="G477" s="73" t="str">
        <f t="shared" si="14"/>
        <v>Aurelien TCHOUAMENI - France</v>
      </c>
      <c r="H477" s="73" t="str">
        <f t="shared" si="15"/>
        <v>FRA8</v>
      </c>
      <c r="I477" s="73" t="s">
        <v>3003</v>
      </c>
    </row>
    <row r="478" spans="1:9" ht="15" customHeight="1" x14ac:dyDescent="0.35">
      <c r="A478" s="72">
        <v>9</v>
      </c>
      <c r="B478" s="72" t="s">
        <v>283</v>
      </c>
      <c r="C478" s="73" t="s">
        <v>1073</v>
      </c>
      <c r="D478" s="73" t="s">
        <v>1112</v>
      </c>
      <c r="E478" s="72" t="s">
        <v>1100</v>
      </c>
      <c r="F478" s="73" t="s">
        <v>2995</v>
      </c>
      <c r="G478" s="73" t="str">
        <f t="shared" si="14"/>
        <v>Marcus THURAM - France</v>
      </c>
      <c r="H478" s="73" t="str">
        <f t="shared" si="15"/>
        <v>FRA9</v>
      </c>
      <c r="I478" s="73" t="s">
        <v>3004</v>
      </c>
    </row>
    <row r="479" spans="1:9" ht="15" customHeight="1" x14ac:dyDescent="0.35">
      <c r="A479" s="72">
        <v>10</v>
      </c>
      <c r="B479" s="72" t="s">
        <v>283</v>
      </c>
      <c r="C479" s="73" t="s">
        <v>1113</v>
      </c>
      <c r="D479" s="73" t="s">
        <v>1114</v>
      </c>
      <c r="E479" s="72" t="s">
        <v>1100</v>
      </c>
      <c r="F479" s="73" t="s">
        <v>2995</v>
      </c>
      <c r="G479" s="73" t="str">
        <f t="shared" si="14"/>
        <v>Kylian MBAPPE - France</v>
      </c>
      <c r="H479" s="73" t="str">
        <f t="shared" si="15"/>
        <v>FRA10</v>
      </c>
      <c r="I479" s="73" t="s">
        <v>3005</v>
      </c>
    </row>
    <row r="480" spans="1:9" ht="15" customHeight="1" x14ac:dyDescent="0.35">
      <c r="A480" s="72">
        <v>11</v>
      </c>
      <c r="B480" s="72" t="s">
        <v>283</v>
      </c>
      <c r="C480" s="73" t="s">
        <v>436</v>
      </c>
      <c r="D480" s="73" t="s">
        <v>1115</v>
      </c>
      <c r="E480" s="72" t="s">
        <v>1100</v>
      </c>
      <c r="F480" s="73" t="s">
        <v>2995</v>
      </c>
      <c r="G480" s="73" t="str">
        <f t="shared" si="14"/>
        <v>Michael OLISE - France</v>
      </c>
      <c r="H480" s="73" t="str">
        <f t="shared" si="15"/>
        <v>FRA11</v>
      </c>
      <c r="I480" s="73" t="s">
        <v>3006</v>
      </c>
    </row>
    <row r="481" spans="1:9" ht="15" customHeight="1" x14ac:dyDescent="0.35">
      <c r="A481" s="72">
        <v>12</v>
      </c>
      <c r="B481" s="72" t="s">
        <v>283</v>
      </c>
      <c r="C481" s="73" t="s">
        <v>1116</v>
      </c>
      <c r="D481" s="73" t="s">
        <v>1117</v>
      </c>
      <c r="E481" s="72" t="s">
        <v>1100</v>
      </c>
      <c r="F481" s="73" t="s">
        <v>2995</v>
      </c>
      <c r="G481" s="73" t="str">
        <f t="shared" si="14"/>
        <v>Bradley BARCOLA - France</v>
      </c>
      <c r="H481" s="73" t="str">
        <f t="shared" si="15"/>
        <v>FRA12</v>
      </c>
      <c r="I481" s="73" t="s">
        <v>3007</v>
      </c>
    </row>
    <row r="482" spans="1:9" ht="15" customHeight="1" x14ac:dyDescent="0.35">
      <c r="A482" s="72">
        <v>13</v>
      </c>
      <c r="B482" s="72" t="s">
        <v>280</v>
      </c>
      <c r="C482" s="73" t="s">
        <v>1118</v>
      </c>
      <c r="D482" s="73" t="s">
        <v>1119</v>
      </c>
      <c r="E482" s="72" t="s">
        <v>1100</v>
      </c>
      <c r="F482" s="73" t="s">
        <v>2995</v>
      </c>
      <c r="G482" s="73" t="str">
        <f t="shared" si="14"/>
        <v>Ngolo KANTE - France</v>
      </c>
      <c r="H482" s="73" t="str">
        <f t="shared" si="15"/>
        <v>FRA13</v>
      </c>
      <c r="I482" s="73" t="s">
        <v>3008</v>
      </c>
    </row>
    <row r="483" spans="1:9" ht="15" customHeight="1" x14ac:dyDescent="0.35">
      <c r="A483" s="72">
        <v>14</v>
      </c>
      <c r="B483" s="72" t="s">
        <v>280</v>
      </c>
      <c r="C483" s="73" t="s">
        <v>1120</v>
      </c>
      <c r="D483" s="73" t="s">
        <v>1121</v>
      </c>
      <c r="E483" s="72" t="s">
        <v>1100</v>
      </c>
      <c r="F483" s="73" t="s">
        <v>2995</v>
      </c>
      <c r="G483" s="73" t="str">
        <f t="shared" si="14"/>
        <v>Adrien RABIOT - France</v>
      </c>
      <c r="H483" s="73" t="str">
        <f t="shared" si="15"/>
        <v>FRA14</v>
      </c>
      <c r="I483" s="73" t="s">
        <v>3009</v>
      </c>
    </row>
    <row r="484" spans="1:9" ht="15" customHeight="1" x14ac:dyDescent="0.35">
      <c r="A484" s="72">
        <v>15</v>
      </c>
      <c r="B484" s="72" t="s">
        <v>271</v>
      </c>
      <c r="C484" s="73" t="s">
        <v>1122</v>
      </c>
      <c r="D484" s="73" t="s">
        <v>1123</v>
      </c>
      <c r="E484" s="72" t="s">
        <v>1100</v>
      </c>
      <c r="F484" s="73" t="s">
        <v>2995</v>
      </c>
      <c r="G484" s="73" t="str">
        <f t="shared" si="14"/>
        <v>Ibrahima KONATE - France</v>
      </c>
      <c r="H484" s="73" t="str">
        <f t="shared" si="15"/>
        <v>FRA15</v>
      </c>
      <c r="I484" s="73" t="s">
        <v>3010</v>
      </c>
    </row>
    <row r="485" spans="1:9" ht="15" customHeight="1" x14ac:dyDescent="0.35">
      <c r="A485" s="72">
        <v>16</v>
      </c>
      <c r="B485" s="72" t="s">
        <v>267</v>
      </c>
      <c r="C485" s="73" t="s">
        <v>482</v>
      </c>
      <c r="D485" s="73" t="s">
        <v>1124</v>
      </c>
      <c r="E485" s="72" t="s">
        <v>1100</v>
      </c>
      <c r="F485" s="73" t="s">
        <v>2995</v>
      </c>
      <c r="G485" s="73" t="str">
        <f t="shared" si="14"/>
        <v>Mike MAIGNAN - France</v>
      </c>
      <c r="H485" s="73" t="str">
        <f t="shared" si="15"/>
        <v>FRA16</v>
      </c>
      <c r="I485" s="73" t="s">
        <v>3011</v>
      </c>
    </row>
    <row r="486" spans="1:9" ht="15" customHeight="1" x14ac:dyDescent="0.35">
      <c r="A486" s="72">
        <v>17</v>
      </c>
      <c r="B486" s="72" t="s">
        <v>271</v>
      </c>
      <c r="C486" s="73" t="s">
        <v>1125</v>
      </c>
      <c r="D486" s="73" t="s">
        <v>704</v>
      </c>
      <c r="E486" s="72" t="s">
        <v>1100</v>
      </c>
      <c r="F486" s="73" t="s">
        <v>2995</v>
      </c>
      <c r="G486" s="73" t="str">
        <f t="shared" si="14"/>
        <v>William SALIBA - France</v>
      </c>
      <c r="H486" s="73" t="str">
        <f t="shared" si="15"/>
        <v>FRA17</v>
      </c>
      <c r="I486" s="73" t="s">
        <v>3012</v>
      </c>
    </row>
    <row r="487" spans="1:9" ht="15" customHeight="1" x14ac:dyDescent="0.35">
      <c r="A487" s="72">
        <v>18</v>
      </c>
      <c r="B487" s="72" t="s">
        <v>280</v>
      </c>
      <c r="C487" s="73" t="s">
        <v>1126</v>
      </c>
      <c r="D487" s="73" t="s">
        <v>1127</v>
      </c>
      <c r="E487" s="72" t="s">
        <v>1100</v>
      </c>
      <c r="F487" s="73" t="s">
        <v>2995</v>
      </c>
      <c r="G487" s="73" t="str">
        <f t="shared" si="14"/>
        <v>Warren ZAIRE-EMERY - France</v>
      </c>
      <c r="H487" s="73" t="str">
        <f t="shared" si="15"/>
        <v>FRA18</v>
      </c>
      <c r="I487" s="73" t="s">
        <v>3013</v>
      </c>
    </row>
    <row r="488" spans="1:9" ht="15" customHeight="1" x14ac:dyDescent="0.35">
      <c r="A488" s="72">
        <v>19</v>
      </c>
      <c r="B488" s="72" t="s">
        <v>271</v>
      </c>
      <c r="C488" s="73" t="s">
        <v>767</v>
      </c>
      <c r="D488" s="73" t="s">
        <v>737</v>
      </c>
      <c r="E488" s="72" t="s">
        <v>1100</v>
      </c>
      <c r="F488" s="73" t="s">
        <v>2995</v>
      </c>
      <c r="G488" s="73" t="str">
        <f t="shared" si="14"/>
        <v>Theo HERNANDEZ - France</v>
      </c>
      <c r="H488" s="73" t="str">
        <f t="shared" si="15"/>
        <v>FRA19</v>
      </c>
      <c r="I488" s="73" t="s">
        <v>3014</v>
      </c>
    </row>
    <row r="489" spans="1:9" ht="15" customHeight="1" x14ac:dyDescent="0.35">
      <c r="A489" s="72">
        <v>20</v>
      </c>
      <c r="B489" s="72" t="s">
        <v>283</v>
      </c>
      <c r="C489" s="73" t="s">
        <v>1128</v>
      </c>
      <c r="D489" s="73" t="s">
        <v>825</v>
      </c>
      <c r="E489" s="72" t="s">
        <v>1100</v>
      </c>
      <c r="F489" s="73" t="s">
        <v>2995</v>
      </c>
      <c r="G489" s="73" t="str">
        <f t="shared" si="14"/>
        <v>Desire DOUE - France</v>
      </c>
      <c r="H489" s="73" t="str">
        <f t="shared" si="15"/>
        <v>FRA20</v>
      </c>
      <c r="I489" s="73" t="s">
        <v>3015</v>
      </c>
    </row>
    <row r="490" spans="1:9" ht="15" customHeight="1" x14ac:dyDescent="0.35">
      <c r="A490" s="72">
        <v>21</v>
      </c>
      <c r="B490" s="72" t="s">
        <v>271</v>
      </c>
      <c r="C490" s="73" t="s">
        <v>414</v>
      </c>
      <c r="D490" s="73" t="s">
        <v>737</v>
      </c>
      <c r="E490" s="72" t="s">
        <v>1100</v>
      </c>
      <c r="F490" s="73" t="s">
        <v>2995</v>
      </c>
      <c r="G490" s="73" t="str">
        <f t="shared" si="14"/>
        <v>Lucas HERNANDEZ - France</v>
      </c>
      <c r="H490" s="73" t="str">
        <f t="shared" si="15"/>
        <v>FRA21</v>
      </c>
      <c r="I490" s="73" t="s">
        <v>3016</v>
      </c>
    </row>
    <row r="491" spans="1:9" ht="15" customHeight="1" x14ac:dyDescent="0.35">
      <c r="A491" s="72">
        <v>22</v>
      </c>
      <c r="B491" s="72" t="s">
        <v>283</v>
      </c>
      <c r="C491" s="73" t="s">
        <v>1129</v>
      </c>
      <c r="D491" s="73" t="s">
        <v>1130</v>
      </c>
      <c r="E491" s="72" t="s">
        <v>1100</v>
      </c>
      <c r="F491" s="73" t="s">
        <v>2995</v>
      </c>
      <c r="G491" s="73" t="str">
        <f t="shared" si="14"/>
        <v>Jean-Philippe MATETA - France</v>
      </c>
      <c r="H491" s="73" t="str">
        <f t="shared" si="15"/>
        <v>FRA22</v>
      </c>
      <c r="I491" s="73" t="s">
        <v>3017</v>
      </c>
    </row>
    <row r="492" spans="1:9" ht="15" customHeight="1" x14ac:dyDescent="0.35">
      <c r="A492" s="72">
        <v>23</v>
      </c>
      <c r="B492" s="72" t="s">
        <v>267</v>
      </c>
      <c r="C492" s="73" t="s">
        <v>936</v>
      </c>
      <c r="D492" s="73" t="s">
        <v>1131</v>
      </c>
      <c r="E492" s="72" t="s">
        <v>1100</v>
      </c>
      <c r="F492" s="73" t="s">
        <v>2995</v>
      </c>
      <c r="G492" s="73" t="str">
        <f t="shared" si="14"/>
        <v>Robin RISSER - France</v>
      </c>
      <c r="H492" s="73" t="str">
        <f t="shared" si="15"/>
        <v>FRA23</v>
      </c>
      <c r="I492" s="73" t="s">
        <v>3018</v>
      </c>
    </row>
    <row r="493" spans="1:9" ht="15" customHeight="1" x14ac:dyDescent="0.35">
      <c r="A493" s="72">
        <v>24</v>
      </c>
      <c r="B493" s="72" t="s">
        <v>280</v>
      </c>
      <c r="C493" s="73" t="s">
        <v>300</v>
      </c>
      <c r="D493" s="73" t="s">
        <v>1132</v>
      </c>
      <c r="E493" s="72" t="s">
        <v>1100</v>
      </c>
      <c r="F493" s="73" t="s">
        <v>2995</v>
      </c>
      <c r="G493" s="73" t="str">
        <f t="shared" si="14"/>
        <v>Rayan CHERKI - France</v>
      </c>
      <c r="H493" s="73" t="str">
        <f t="shared" si="15"/>
        <v>FRA24</v>
      </c>
      <c r="I493" s="73" t="s">
        <v>3019</v>
      </c>
    </row>
    <row r="494" spans="1:9" ht="15" customHeight="1" x14ac:dyDescent="0.35">
      <c r="A494" s="72">
        <v>25</v>
      </c>
      <c r="B494" s="72" t="s">
        <v>280</v>
      </c>
      <c r="C494" s="73" t="s">
        <v>1133</v>
      </c>
      <c r="D494" s="73" t="s">
        <v>1134</v>
      </c>
      <c r="E494" s="72" t="s">
        <v>1100</v>
      </c>
      <c r="F494" s="73" t="s">
        <v>2995</v>
      </c>
      <c r="G494" s="73" t="str">
        <f t="shared" si="14"/>
        <v>Maghnes AKLIOUCHE - France</v>
      </c>
      <c r="H494" s="73" t="str">
        <f t="shared" si="15"/>
        <v>FRA25</v>
      </c>
      <c r="I494" s="73" t="s">
        <v>3020</v>
      </c>
    </row>
    <row r="495" spans="1:9" ht="15" customHeight="1" x14ac:dyDescent="0.35">
      <c r="A495" s="72">
        <v>26</v>
      </c>
      <c r="B495" s="72" t="s">
        <v>271</v>
      </c>
      <c r="C495" s="73" t="s">
        <v>1135</v>
      </c>
      <c r="D495" s="73" t="s">
        <v>1136</v>
      </c>
      <c r="E495" s="72" t="s">
        <v>1100</v>
      </c>
      <c r="F495" s="73" t="s">
        <v>2995</v>
      </c>
      <c r="G495" s="73" t="str">
        <f t="shared" si="14"/>
        <v>Maxence LACROIX - France</v>
      </c>
      <c r="H495" s="73" t="str">
        <f t="shared" si="15"/>
        <v>FRA26</v>
      </c>
      <c r="I495" s="73" t="s">
        <v>3021</v>
      </c>
    </row>
    <row r="496" spans="1:9" ht="15" customHeight="1" x14ac:dyDescent="0.35">
      <c r="A496" s="74">
        <v>1</v>
      </c>
      <c r="B496" s="74" t="s">
        <v>267</v>
      </c>
      <c r="C496" s="75" t="s">
        <v>1137</v>
      </c>
      <c r="D496" s="75" t="s">
        <v>1138</v>
      </c>
      <c r="E496" s="74" t="s">
        <v>1139</v>
      </c>
      <c r="F496" s="75" t="s">
        <v>3022</v>
      </c>
      <c r="G496" s="75" t="str">
        <f t="shared" si="14"/>
        <v>Manuel NEUER - Germany</v>
      </c>
      <c r="H496" s="75" t="str">
        <f t="shared" si="15"/>
        <v>DEU1</v>
      </c>
      <c r="I496" s="75" t="s">
        <v>3023</v>
      </c>
    </row>
    <row r="497" spans="1:9" ht="15" customHeight="1" x14ac:dyDescent="0.35">
      <c r="A497" s="74">
        <v>2</v>
      </c>
      <c r="B497" s="74" t="s">
        <v>271</v>
      </c>
      <c r="C497" s="75" t="s">
        <v>1140</v>
      </c>
      <c r="D497" s="75" t="s">
        <v>1141</v>
      </c>
      <c r="E497" s="74" t="s">
        <v>1139</v>
      </c>
      <c r="F497" s="75" t="s">
        <v>3022</v>
      </c>
      <c r="G497" s="75" t="str">
        <f t="shared" si="14"/>
        <v>Antonio RUEDIGER - Germany</v>
      </c>
      <c r="H497" s="75" t="str">
        <f t="shared" si="15"/>
        <v>DEU2</v>
      </c>
      <c r="I497" s="75" t="s">
        <v>3024</v>
      </c>
    </row>
    <row r="498" spans="1:9" ht="15" customHeight="1" x14ac:dyDescent="0.35">
      <c r="A498" s="74">
        <v>3</v>
      </c>
      <c r="B498" s="74" t="s">
        <v>271</v>
      </c>
      <c r="C498" s="75" t="s">
        <v>1142</v>
      </c>
      <c r="D498" s="75" t="s">
        <v>1143</v>
      </c>
      <c r="E498" s="74" t="s">
        <v>1139</v>
      </c>
      <c r="F498" s="75" t="s">
        <v>3022</v>
      </c>
      <c r="G498" s="75" t="str">
        <f t="shared" si="14"/>
        <v>Waldemar ANTON - Germany</v>
      </c>
      <c r="H498" s="75" t="str">
        <f t="shared" si="15"/>
        <v>DEU3</v>
      </c>
      <c r="I498" s="75" t="s">
        <v>3025</v>
      </c>
    </row>
    <row r="499" spans="1:9" ht="15" customHeight="1" x14ac:dyDescent="0.35">
      <c r="A499" s="74">
        <v>4</v>
      </c>
      <c r="B499" s="74" t="s">
        <v>271</v>
      </c>
      <c r="C499" s="75" t="s">
        <v>677</v>
      </c>
      <c r="D499" s="75" t="s">
        <v>1144</v>
      </c>
      <c r="E499" s="74" t="s">
        <v>1139</v>
      </c>
      <c r="F499" s="75" t="s">
        <v>3022</v>
      </c>
      <c r="G499" s="75" t="str">
        <f t="shared" si="14"/>
        <v>Jonathan TAH - Germany</v>
      </c>
      <c r="H499" s="75" t="str">
        <f t="shared" si="15"/>
        <v>DEU4</v>
      </c>
      <c r="I499" s="75" t="s">
        <v>3026</v>
      </c>
    </row>
    <row r="500" spans="1:9" ht="15" customHeight="1" x14ac:dyDescent="0.35">
      <c r="A500" s="74">
        <v>5</v>
      </c>
      <c r="B500" s="74" t="s">
        <v>280</v>
      </c>
      <c r="C500" s="75" t="s">
        <v>1145</v>
      </c>
      <c r="D500" s="75" t="s">
        <v>1146</v>
      </c>
      <c r="E500" s="74" t="s">
        <v>1139</v>
      </c>
      <c r="F500" s="75" t="s">
        <v>3022</v>
      </c>
      <c r="G500" s="75" t="str">
        <f t="shared" si="14"/>
        <v>Aleksandar PAVLOVIC - Germany</v>
      </c>
      <c r="H500" s="75" t="str">
        <f t="shared" si="15"/>
        <v>DEU5</v>
      </c>
      <c r="I500" s="75" t="s">
        <v>3027</v>
      </c>
    </row>
    <row r="501" spans="1:9" ht="15" customHeight="1" x14ac:dyDescent="0.35">
      <c r="A501" s="74">
        <v>6</v>
      </c>
      <c r="B501" s="74" t="s">
        <v>271</v>
      </c>
      <c r="C501" s="75" t="s">
        <v>917</v>
      </c>
      <c r="D501" s="75" t="s">
        <v>1147</v>
      </c>
      <c r="E501" s="74" t="s">
        <v>1139</v>
      </c>
      <c r="F501" s="75" t="s">
        <v>3022</v>
      </c>
      <c r="G501" s="75" t="str">
        <f t="shared" si="14"/>
        <v>Joshua KIMMICH - Germany</v>
      </c>
      <c r="H501" s="75" t="str">
        <f t="shared" si="15"/>
        <v>DEU6</v>
      </c>
      <c r="I501" s="75" t="s">
        <v>3028</v>
      </c>
    </row>
    <row r="502" spans="1:9" ht="15" customHeight="1" x14ac:dyDescent="0.35">
      <c r="A502" s="74">
        <v>7</v>
      </c>
      <c r="B502" s="74" t="s">
        <v>283</v>
      </c>
      <c r="C502" s="75" t="s">
        <v>397</v>
      </c>
      <c r="D502" s="75" t="s">
        <v>1148</v>
      </c>
      <c r="E502" s="74" t="s">
        <v>1139</v>
      </c>
      <c r="F502" s="75" t="s">
        <v>3022</v>
      </c>
      <c r="G502" s="75" t="str">
        <f t="shared" si="14"/>
        <v>Kai HAVERTZ - Germany</v>
      </c>
      <c r="H502" s="75" t="str">
        <f t="shared" si="15"/>
        <v>DEU7</v>
      </c>
      <c r="I502" s="75" t="s">
        <v>3029</v>
      </c>
    </row>
    <row r="503" spans="1:9" ht="15" customHeight="1" x14ac:dyDescent="0.35">
      <c r="A503" s="74">
        <v>8</v>
      </c>
      <c r="B503" s="74" t="s">
        <v>280</v>
      </c>
      <c r="C503" s="75" t="s">
        <v>1149</v>
      </c>
      <c r="D503" s="75" t="s">
        <v>1150</v>
      </c>
      <c r="E503" s="74" t="s">
        <v>1139</v>
      </c>
      <c r="F503" s="75" t="s">
        <v>3022</v>
      </c>
      <c r="G503" s="75" t="str">
        <f t="shared" si="14"/>
        <v>Leon GORETZKA - Germany</v>
      </c>
      <c r="H503" s="75" t="str">
        <f t="shared" si="15"/>
        <v>DEU8</v>
      </c>
      <c r="I503" s="75" t="s">
        <v>3030</v>
      </c>
    </row>
    <row r="504" spans="1:9" ht="15" customHeight="1" x14ac:dyDescent="0.35">
      <c r="A504" s="74">
        <v>9</v>
      </c>
      <c r="B504" s="74" t="s">
        <v>280</v>
      </c>
      <c r="C504" s="75" t="s">
        <v>1151</v>
      </c>
      <c r="D504" s="75" t="s">
        <v>1152</v>
      </c>
      <c r="E504" s="74" t="s">
        <v>1139</v>
      </c>
      <c r="F504" s="75" t="s">
        <v>3022</v>
      </c>
      <c r="G504" s="75" t="str">
        <f t="shared" si="14"/>
        <v>Jamie LEWELING - Germany</v>
      </c>
      <c r="H504" s="75" t="str">
        <f t="shared" si="15"/>
        <v>DEU9</v>
      </c>
      <c r="I504" s="75" t="s">
        <v>3031</v>
      </c>
    </row>
    <row r="505" spans="1:9" ht="15" customHeight="1" x14ac:dyDescent="0.35">
      <c r="A505" s="74">
        <v>10</v>
      </c>
      <c r="B505" s="74" t="s">
        <v>280</v>
      </c>
      <c r="C505" s="75" t="s">
        <v>1153</v>
      </c>
      <c r="D505" s="75" t="s">
        <v>1154</v>
      </c>
      <c r="E505" s="74" t="s">
        <v>1139</v>
      </c>
      <c r="F505" s="75" t="s">
        <v>3022</v>
      </c>
      <c r="G505" s="75" t="str">
        <f t="shared" si="14"/>
        <v>Jamal MUSIALA - Germany</v>
      </c>
      <c r="H505" s="75" t="str">
        <f t="shared" si="15"/>
        <v>DEU10</v>
      </c>
      <c r="I505" s="75" t="s">
        <v>3032</v>
      </c>
    </row>
    <row r="506" spans="1:9" ht="15" customHeight="1" x14ac:dyDescent="0.35">
      <c r="A506" s="74">
        <v>11</v>
      </c>
      <c r="B506" s="74" t="s">
        <v>283</v>
      </c>
      <c r="C506" s="75" t="s">
        <v>1155</v>
      </c>
      <c r="D506" s="75" t="s">
        <v>1156</v>
      </c>
      <c r="E506" s="74" t="s">
        <v>1139</v>
      </c>
      <c r="F506" s="75" t="s">
        <v>3022</v>
      </c>
      <c r="G506" s="75" t="str">
        <f t="shared" si="14"/>
        <v>Nick WOLTEMADE - Germany</v>
      </c>
      <c r="H506" s="75" t="str">
        <f t="shared" si="15"/>
        <v>DEU11</v>
      </c>
      <c r="I506" s="75" t="s">
        <v>3033</v>
      </c>
    </row>
    <row r="507" spans="1:9" ht="15" customHeight="1" x14ac:dyDescent="0.35">
      <c r="A507" s="74">
        <v>12</v>
      </c>
      <c r="B507" s="74" t="s">
        <v>267</v>
      </c>
      <c r="C507" s="75" t="s">
        <v>1157</v>
      </c>
      <c r="D507" s="75" t="s">
        <v>1158</v>
      </c>
      <c r="E507" s="74" t="s">
        <v>1139</v>
      </c>
      <c r="F507" s="75" t="s">
        <v>3022</v>
      </c>
      <c r="G507" s="75" t="str">
        <f t="shared" si="14"/>
        <v>Oliver BAUMANN - Germany</v>
      </c>
      <c r="H507" s="75" t="str">
        <f t="shared" si="15"/>
        <v>DEU12</v>
      </c>
      <c r="I507" s="75" t="s">
        <v>3034</v>
      </c>
    </row>
    <row r="508" spans="1:9" ht="15" customHeight="1" x14ac:dyDescent="0.35">
      <c r="A508" s="74">
        <v>13</v>
      </c>
      <c r="B508" s="74" t="s">
        <v>280</v>
      </c>
      <c r="C508" s="75" t="s">
        <v>1159</v>
      </c>
      <c r="D508" s="75" t="s">
        <v>1160</v>
      </c>
      <c r="E508" s="74" t="s">
        <v>1139</v>
      </c>
      <c r="F508" s="75" t="s">
        <v>3022</v>
      </c>
      <c r="G508" s="75" t="str">
        <f t="shared" si="14"/>
        <v>Pascal GROSS - Germany</v>
      </c>
      <c r="H508" s="75" t="str">
        <f t="shared" si="15"/>
        <v>DEU13</v>
      </c>
      <c r="I508" s="75" t="s">
        <v>3035</v>
      </c>
    </row>
    <row r="509" spans="1:9" ht="15" customHeight="1" x14ac:dyDescent="0.35">
      <c r="A509" s="74">
        <v>14</v>
      </c>
      <c r="B509" s="74" t="s">
        <v>283</v>
      </c>
      <c r="C509" s="75" t="s">
        <v>1161</v>
      </c>
      <c r="D509" s="75" t="s">
        <v>1162</v>
      </c>
      <c r="E509" s="74" t="s">
        <v>1139</v>
      </c>
      <c r="F509" s="75" t="s">
        <v>3022</v>
      </c>
      <c r="G509" s="75" t="str">
        <f t="shared" si="14"/>
        <v>Maximilian BEIER - Germany</v>
      </c>
      <c r="H509" s="75" t="str">
        <f t="shared" si="15"/>
        <v>DEU14</v>
      </c>
      <c r="I509" s="75" t="s">
        <v>3036</v>
      </c>
    </row>
    <row r="510" spans="1:9" ht="15" customHeight="1" x14ac:dyDescent="0.35">
      <c r="A510" s="74">
        <v>15</v>
      </c>
      <c r="B510" s="74" t="s">
        <v>271</v>
      </c>
      <c r="C510" s="75" t="s">
        <v>350</v>
      </c>
      <c r="D510" s="75" t="s">
        <v>1163</v>
      </c>
      <c r="E510" s="74" t="s">
        <v>1139</v>
      </c>
      <c r="F510" s="75" t="s">
        <v>3022</v>
      </c>
      <c r="G510" s="75" t="str">
        <f t="shared" si="14"/>
        <v>Nico SCHLOTTERBECK - Germany</v>
      </c>
      <c r="H510" s="75" t="str">
        <f t="shared" si="15"/>
        <v>DEU15</v>
      </c>
      <c r="I510" s="75" t="s">
        <v>3037</v>
      </c>
    </row>
    <row r="511" spans="1:9" ht="15" customHeight="1" x14ac:dyDescent="0.35">
      <c r="A511" s="74">
        <v>16</v>
      </c>
      <c r="B511" s="74" t="s">
        <v>280</v>
      </c>
      <c r="C511" s="75" t="s">
        <v>1003</v>
      </c>
      <c r="D511" s="75" t="s">
        <v>1164</v>
      </c>
      <c r="E511" s="74" t="s">
        <v>1139</v>
      </c>
      <c r="F511" s="75" t="s">
        <v>3022</v>
      </c>
      <c r="G511" s="75" t="str">
        <f t="shared" si="14"/>
        <v>Angelo STILLER - Germany</v>
      </c>
      <c r="H511" s="75" t="str">
        <f t="shared" si="15"/>
        <v>DEU16</v>
      </c>
      <c r="I511" s="75" t="s">
        <v>3038</v>
      </c>
    </row>
    <row r="512" spans="1:9" ht="15" customHeight="1" x14ac:dyDescent="0.35">
      <c r="A512" s="74">
        <v>17</v>
      </c>
      <c r="B512" s="74" t="s">
        <v>280</v>
      </c>
      <c r="C512" s="75" t="s">
        <v>434</v>
      </c>
      <c r="D512" s="75" t="s">
        <v>1165</v>
      </c>
      <c r="E512" s="74" t="s">
        <v>1139</v>
      </c>
      <c r="F512" s="75" t="s">
        <v>3022</v>
      </c>
      <c r="G512" s="75" t="str">
        <f t="shared" si="14"/>
        <v>Florian WIRTZ - Germany</v>
      </c>
      <c r="H512" s="75" t="str">
        <f t="shared" si="15"/>
        <v>DEU17</v>
      </c>
      <c r="I512" s="75" t="s">
        <v>3039</v>
      </c>
    </row>
    <row r="513" spans="1:9" ht="15" customHeight="1" x14ac:dyDescent="0.35">
      <c r="A513" s="74">
        <v>18</v>
      </c>
      <c r="B513" s="74" t="s">
        <v>271</v>
      </c>
      <c r="C513" s="75" t="s">
        <v>1166</v>
      </c>
      <c r="D513" s="75" t="s">
        <v>1167</v>
      </c>
      <c r="E513" s="74" t="s">
        <v>1139</v>
      </c>
      <c r="F513" s="75" t="s">
        <v>3022</v>
      </c>
      <c r="G513" s="75" t="str">
        <f t="shared" si="14"/>
        <v>Nathaniel BROWN - Germany</v>
      </c>
      <c r="H513" s="75" t="str">
        <f t="shared" si="15"/>
        <v>DEU18</v>
      </c>
      <c r="I513" s="75" t="s">
        <v>3040</v>
      </c>
    </row>
    <row r="514" spans="1:9" ht="15" customHeight="1" x14ac:dyDescent="0.35">
      <c r="A514" s="74">
        <v>19</v>
      </c>
      <c r="B514" s="74" t="s">
        <v>280</v>
      </c>
      <c r="C514" s="75" t="s">
        <v>1168</v>
      </c>
      <c r="D514" s="75" t="s">
        <v>1169</v>
      </c>
      <c r="E514" s="74" t="s">
        <v>1139</v>
      </c>
      <c r="F514" s="75" t="s">
        <v>3022</v>
      </c>
      <c r="G514" s="75" t="str">
        <f t="shared" si="14"/>
        <v>Leroy SANE - Germany</v>
      </c>
      <c r="H514" s="75" t="str">
        <f t="shared" si="15"/>
        <v>DEU19</v>
      </c>
      <c r="I514" s="75" t="s">
        <v>3041</v>
      </c>
    </row>
    <row r="515" spans="1:9" ht="15" customHeight="1" x14ac:dyDescent="0.35">
      <c r="A515" s="74">
        <v>20</v>
      </c>
      <c r="B515" s="74" t="s">
        <v>280</v>
      </c>
      <c r="C515" s="75" t="s">
        <v>1170</v>
      </c>
      <c r="D515" s="75" t="s">
        <v>1171</v>
      </c>
      <c r="E515" s="74" t="s">
        <v>1139</v>
      </c>
      <c r="F515" s="75" t="s">
        <v>3022</v>
      </c>
      <c r="G515" s="75" t="str">
        <f t="shared" ref="G515:G578" si="16">_xlfn.CONCAT(C515, " ",D515, " - ",F515)</f>
        <v>Nadiem AMIRI - Germany</v>
      </c>
      <c r="H515" s="75" t="str">
        <f t="shared" ref="H515:H578" si="17">_xlfn.CONCAT(E515,A515)</f>
        <v>DEU20</v>
      </c>
      <c r="I515" s="75" t="s">
        <v>3042</v>
      </c>
    </row>
    <row r="516" spans="1:9" ht="15" customHeight="1" x14ac:dyDescent="0.35">
      <c r="A516" s="74">
        <v>21</v>
      </c>
      <c r="B516" s="74" t="s">
        <v>267</v>
      </c>
      <c r="C516" s="75" t="s">
        <v>418</v>
      </c>
      <c r="D516" s="75" t="s">
        <v>1172</v>
      </c>
      <c r="E516" s="74" t="s">
        <v>1139</v>
      </c>
      <c r="F516" s="75" t="s">
        <v>3022</v>
      </c>
      <c r="G516" s="75" t="str">
        <f t="shared" si="16"/>
        <v>Alexander NUEBEL - Germany</v>
      </c>
      <c r="H516" s="75" t="str">
        <f t="shared" si="17"/>
        <v>DEU21</v>
      </c>
      <c r="I516" s="75" t="s">
        <v>3043</v>
      </c>
    </row>
    <row r="517" spans="1:9" ht="15" customHeight="1" x14ac:dyDescent="0.35">
      <c r="A517" s="74">
        <v>22</v>
      </c>
      <c r="B517" s="74" t="s">
        <v>271</v>
      </c>
      <c r="C517" s="75" t="s">
        <v>421</v>
      </c>
      <c r="D517" s="75" t="s">
        <v>1173</v>
      </c>
      <c r="E517" s="74" t="s">
        <v>1139</v>
      </c>
      <c r="F517" s="75" t="s">
        <v>3022</v>
      </c>
      <c r="G517" s="75" t="str">
        <f t="shared" si="16"/>
        <v>David RAUM - Germany</v>
      </c>
      <c r="H517" s="75" t="str">
        <f t="shared" si="17"/>
        <v>DEU22</v>
      </c>
      <c r="I517" s="75" t="s">
        <v>3044</v>
      </c>
    </row>
    <row r="518" spans="1:9" ht="15" customHeight="1" x14ac:dyDescent="0.35">
      <c r="A518" s="74">
        <v>23</v>
      </c>
      <c r="B518" s="74" t="s">
        <v>280</v>
      </c>
      <c r="C518" s="75" t="s">
        <v>978</v>
      </c>
      <c r="D518" s="75" t="s">
        <v>1174</v>
      </c>
      <c r="E518" s="74" t="s">
        <v>1139</v>
      </c>
      <c r="F518" s="75" t="s">
        <v>3022</v>
      </c>
      <c r="G518" s="75" t="str">
        <f t="shared" si="16"/>
        <v>Felix NMECHA - Germany</v>
      </c>
      <c r="H518" s="75" t="str">
        <f t="shared" si="17"/>
        <v>DEU23</v>
      </c>
      <c r="I518" s="75" t="s">
        <v>3045</v>
      </c>
    </row>
    <row r="519" spans="1:9" ht="15" customHeight="1" x14ac:dyDescent="0.35">
      <c r="A519" s="74">
        <v>24</v>
      </c>
      <c r="B519" s="74" t="s">
        <v>271</v>
      </c>
      <c r="C519" s="75" t="s">
        <v>1175</v>
      </c>
      <c r="D519" s="75" t="s">
        <v>1176</v>
      </c>
      <c r="E519" s="74" t="s">
        <v>1139</v>
      </c>
      <c r="F519" s="75" t="s">
        <v>3022</v>
      </c>
      <c r="G519" s="75" t="str">
        <f t="shared" si="16"/>
        <v>Malick THIAW - Germany</v>
      </c>
      <c r="H519" s="75" t="str">
        <f t="shared" si="17"/>
        <v>DEU24</v>
      </c>
      <c r="I519" s="75" t="s">
        <v>3046</v>
      </c>
    </row>
    <row r="520" spans="1:9" ht="15" customHeight="1" x14ac:dyDescent="0.35">
      <c r="A520" s="74">
        <v>25</v>
      </c>
      <c r="B520" s="74" t="s">
        <v>280</v>
      </c>
      <c r="C520" s="75" t="s">
        <v>2496</v>
      </c>
      <c r="D520" s="75" t="s">
        <v>2497</v>
      </c>
      <c r="E520" s="74" t="s">
        <v>1139</v>
      </c>
      <c r="F520" s="75" t="s">
        <v>3022</v>
      </c>
      <c r="G520" s="75" t="str">
        <f t="shared" si="16"/>
        <v>Assan OUEDRAOGO - Germany</v>
      </c>
      <c r="H520" s="75" t="str">
        <f t="shared" si="17"/>
        <v>DEU25</v>
      </c>
      <c r="I520" s="75" t="s">
        <v>3047</v>
      </c>
    </row>
    <row r="521" spans="1:9" ht="15" customHeight="1" x14ac:dyDescent="0.35">
      <c r="A521" s="74">
        <v>26</v>
      </c>
      <c r="B521" s="74" t="s">
        <v>283</v>
      </c>
      <c r="C521" s="75" t="s">
        <v>1177</v>
      </c>
      <c r="D521" s="75" t="s">
        <v>1178</v>
      </c>
      <c r="E521" s="74" t="s">
        <v>1139</v>
      </c>
      <c r="F521" s="75" t="s">
        <v>3022</v>
      </c>
      <c r="G521" s="75" t="str">
        <f t="shared" si="16"/>
        <v>Deniz UNDAV - Germany</v>
      </c>
      <c r="H521" s="75" t="str">
        <f t="shared" si="17"/>
        <v>DEU26</v>
      </c>
      <c r="I521" s="75" t="s">
        <v>3048</v>
      </c>
    </row>
    <row r="522" spans="1:9" ht="15" customHeight="1" x14ac:dyDescent="0.35">
      <c r="A522" s="76">
        <v>1</v>
      </c>
      <c r="B522" s="76" t="s">
        <v>267</v>
      </c>
      <c r="C522" s="77" t="s">
        <v>1179</v>
      </c>
      <c r="D522" s="77" t="s">
        <v>1180</v>
      </c>
      <c r="E522" s="76" t="s">
        <v>1181</v>
      </c>
      <c r="F522" s="77" t="s">
        <v>3049</v>
      </c>
      <c r="G522" s="77" t="str">
        <f t="shared" si="16"/>
        <v>Lawrence Ati ZIGI - Ghana</v>
      </c>
      <c r="H522" s="77" t="str">
        <f t="shared" si="17"/>
        <v>GHA1</v>
      </c>
      <c r="I522" s="77" t="s">
        <v>3050</v>
      </c>
    </row>
    <row r="523" spans="1:9" ht="15" customHeight="1" x14ac:dyDescent="0.35">
      <c r="A523" s="76">
        <v>2</v>
      </c>
      <c r="B523" s="76" t="s">
        <v>271</v>
      </c>
      <c r="C523" s="77" t="s">
        <v>1182</v>
      </c>
      <c r="D523" s="77" t="s">
        <v>1183</v>
      </c>
      <c r="E523" s="76" t="s">
        <v>1181</v>
      </c>
      <c r="F523" s="77" t="s">
        <v>3049</v>
      </c>
      <c r="G523" s="77" t="str">
        <f t="shared" si="16"/>
        <v>Alidu SEIDU - Ghana</v>
      </c>
      <c r="H523" s="77" t="str">
        <f t="shared" si="17"/>
        <v>GHA2</v>
      </c>
      <c r="I523" s="77" t="s">
        <v>3051</v>
      </c>
    </row>
    <row r="524" spans="1:9" ht="15" customHeight="1" x14ac:dyDescent="0.35">
      <c r="A524" s="76">
        <v>3</v>
      </c>
      <c r="B524" s="76" t="s">
        <v>280</v>
      </c>
      <c r="C524" s="77" t="s">
        <v>1184</v>
      </c>
      <c r="D524" s="77" t="s">
        <v>1185</v>
      </c>
      <c r="E524" s="76" t="s">
        <v>1181</v>
      </c>
      <c r="F524" s="77" t="s">
        <v>3049</v>
      </c>
      <c r="G524" s="77" t="str">
        <f t="shared" si="16"/>
        <v>Caleb YIRENKYI - Ghana</v>
      </c>
      <c r="H524" s="77" t="str">
        <f t="shared" si="17"/>
        <v>GHA3</v>
      </c>
      <c r="I524" s="77" t="s">
        <v>3052</v>
      </c>
    </row>
    <row r="525" spans="1:9" ht="15" customHeight="1" x14ac:dyDescent="0.35">
      <c r="A525" s="76">
        <v>4</v>
      </c>
      <c r="B525" s="76" t="s">
        <v>271</v>
      </c>
      <c r="C525" s="77" t="s">
        <v>1186</v>
      </c>
      <c r="D525" s="77" t="s">
        <v>1187</v>
      </c>
      <c r="E525" s="76" t="s">
        <v>1181</v>
      </c>
      <c r="F525" s="77" t="s">
        <v>3049</v>
      </c>
      <c r="G525" s="77" t="str">
        <f t="shared" si="16"/>
        <v>Jonas ADJETEY - Ghana</v>
      </c>
      <c r="H525" s="77" t="str">
        <f t="shared" si="17"/>
        <v>GHA4</v>
      </c>
      <c r="I525" s="77" t="s">
        <v>3053</v>
      </c>
    </row>
    <row r="526" spans="1:9" ht="15" customHeight="1" x14ac:dyDescent="0.35">
      <c r="A526" s="76">
        <v>5</v>
      </c>
      <c r="B526" s="76" t="s">
        <v>280</v>
      </c>
      <c r="C526" s="77" t="s">
        <v>486</v>
      </c>
      <c r="D526" s="77" t="s">
        <v>1188</v>
      </c>
      <c r="E526" s="76" t="s">
        <v>1181</v>
      </c>
      <c r="F526" s="77" t="s">
        <v>3049</v>
      </c>
      <c r="G526" s="77" t="str">
        <f t="shared" si="16"/>
        <v>Thomas PARTEY - Ghana</v>
      </c>
      <c r="H526" s="77" t="str">
        <f t="shared" si="17"/>
        <v>GHA5</v>
      </c>
      <c r="I526" s="77" t="s">
        <v>3054</v>
      </c>
    </row>
    <row r="527" spans="1:9" ht="15" customHeight="1" x14ac:dyDescent="0.35">
      <c r="A527" s="76">
        <v>6</v>
      </c>
      <c r="B527" s="76" t="s">
        <v>271</v>
      </c>
      <c r="C527" s="77" t="s">
        <v>1189</v>
      </c>
      <c r="D527" s="77" t="s">
        <v>1190</v>
      </c>
      <c r="E527" s="76" t="s">
        <v>1181</v>
      </c>
      <c r="F527" s="77" t="s">
        <v>3049</v>
      </c>
      <c r="G527" s="77" t="str">
        <f t="shared" si="16"/>
        <v>Abdul MUMIN - Ghana</v>
      </c>
      <c r="H527" s="77" t="str">
        <f t="shared" si="17"/>
        <v>GHA6</v>
      </c>
      <c r="I527" s="77" t="s">
        <v>3055</v>
      </c>
    </row>
    <row r="528" spans="1:9" ht="15" customHeight="1" x14ac:dyDescent="0.35">
      <c r="A528" s="76">
        <v>7</v>
      </c>
      <c r="B528" s="76" t="s">
        <v>283</v>
      </c>
      <c r="C528" s="77" t="s">
        <v>1191</v>
      </c>
      <c r="D528" s="77" t="s">
        <v>1192</v>
      </c>
      <c r="E528" s="76" t="s">
        <v>1181</v>
      </c>
      <c r="F528" s="77" t="s">
        <v>3049</v>
      </c>
      <c r="G528" s="77" t="str">
        <f t="shared" si="16"/>
        <v>Fatawu ISSAHAKU - Ghana</v>
      </c>
      <c r="H528" s="77" t="str">
        <f t="shared" si="17"/>
        <v>GHA7</v>
      </c>
      <c r="I528" s="77" t="s">
        <v>3056</v>
      </c>
    </row>
    <row r="529" spans="1:9" ht="15" customHeight="1" x14ac:dyDescent="0.35">
      <c r="A529" s="76">
        <v>8</v>
      </c>
      <c r="B529" s="76" t="s">
        <v>280</v>
      </c>
      <c r="C529" s="77" t="s">
        <v>1193</v>
      </c>
      <c r="D529" s="77" t="s">
        <v>1194</v>
      </c>
      <c r="E529" s="76" t="s">
        <v>1181</v>
      </c>
      <c r="F529" s="77" t="s">
        <v>3049</v>
      </c>
      <c r="G529" s="77" t="str">
        <f t="shared" si="16"/>
        <v>Kwasi SIBO - Ghana</v>
      </c>
      <c r="H529" s="77" t="str">
        <f t="shared" si="17"/>
        <v>GHA8</v>
      </c>
      <c r="I529" s="77" t="s">
        <v>3057</v>
      </c>
    </row>
    <row r="530" spans="1:9" ht="15" customHeight="1" x14ac:dyDescent="0.35">
      <c r="A530" s="76">
        <v>9</v>
      </c>
      <c r="B530" s="76" t="s">
        <v>283</v>
      </c>
      <c r="C530" s="77" t="s">
        <v>379</v>
      </c>
      <c r="D530" s="77" t="s">
        <v>1195</v>
      </c>
      <c r="E530" s="76" t="s">
        <v>1181</v>
      </c>
      <c r="F530" s="77" t="s">
        <v>3049</v>
      </c>
      <c r="G530" s="77" t="str">
        <f t="shared" si="16"/>
        <v>Jordan AYEW - Ghana</v>
      </c>
      <c r="H530" s="77" t="str">
        <f t="shared" si="17"/>
        <v>GHA9</v>
      </c>
      <c r="I530" s="77" t="s">
        <v>3058</v>
      </c>
    </row>
    <row r="531" spans="1:9" ht="15" customHeight="1" x14ac:dyDescent="0.35">
      <c r="A531" s="76">
        <v>10</v>
      </c>
      <c r="B531" s="76" t="s">
        <v>283</v>
      </c>
      <c r="C531" s="77" t="s">
        <v>466</v>
      </c>
      <c r="D531" s="77" t="s">
        <v>1196</v>
      </c>
      <c r="E531" s="76" t="s">
        <v>1181</v>
      </c>
      <c r="F531" s="77" t="s">
        <v>3049</v>
      </c>
      <c r="G531" s="77" t="str">
        <f t="shared" si="16"/>
        <v>Brandon THOMAS-ASANTE - Ghana</v>
      </c>
      <c r="H531" s="77" t="str">
        <f t="shared" si="17"/>
        <v>GHA10</v>
      </c>
      <c r="I531" s="77" t="s">
        <v>3059</v>
      </c>
    </row>
    <row r="532" spans="1:9" ht="15" customHeight="1" x14ac:dyDescent="0.35">
      <c r="A532" s="76">
        <v>11</v>
      </c>
      <c r="B532" s="76" t="s">
        <v>280</v>
      </c>
      <c r="C532" s="77" t="s">
        <v>1197</v>
      </c>
      <c r="D532" s="77" t="s">
        <v>1198</v>
      </c>
      <c r="E532" s="76" t="s">
        <v>1181</v>
      </c>
      <c r="F532" s="77" t="s">
        <v>3049</v>
      </c>
      <c r="G532" s="77" t="str">
        <f t="shared" si="16"/>
        <v>Antoine SEMENYO - Ghana</v>
      </c>
      <c r="H532" s="77" t="str">
        <f t="shared" si="17"/>
        <v>GHA11</v>
      </c>
      <c r="I532" s="77" t="s">
        <v>3060</v>
      </c>
    </row>
    <row r="533" spans="1:9" ht="15" customHeight="1" x14ac:dyDescent="0.35">
      <c r="A533" s="76">
        <v>12</v>
      </c>
      <c r="B533" s="76" t="s">
        <v>267</v>
      </c>
      <c r="C533" s="77" t="s">
        <v>1199</v>
      </c>
      <c r="D533" s="77" t="s">
        <v>1200</v>
      </c>
      <c r="E533" s="76" t="s">
        <v>1181</v>
      </c>
      <c r="F533" s="77" t="s">
        <v>3049</v>
      </c>
      <c r="G533" s="77" t="str">
        <f t="shared" si="16"/>
        <v>Joseph ANANG - Ghana</v>
      </c>
      <c r="H533" s="77" t="str">
        <f t="shared" si="17"/>
        <v>GHA12</v>
      </c>
      <c r="I533" s="77" t="s">
        <v>3061</v>
      </c>
    </row>
    <row r="534" spans="1:9" ht="15" customHeight="1" x14ac:dyDescent="0.35">
      <c r="A534" s="76">
        <v>13</v>
      </c>
      <c r="B534" s="76" t="s">
        <v>283</v>
      </c>
      <c r="C534" s="77" t="s">
        <v>1201</v>
      </c>
      <c r="D534" s="77" t="s">
        <v>1202</v>
      </c>
      <c r="E534" s="76" t="s">
        <v>1181</v>
      </c>
      <c r="F534" s="77" t="s">
        <v>3049</v>
      </c>
      <c r="G534" s="77" t="str">
        <f t="shared" si="16"/>
        <v>Christopher Bonsu BAAH - Ghana</v>
      </c>
      <c r="H534" s="77" t="str">
        <f t="shared" si="17"/>
        <v>GHA13</v>
      </c>
      <c r="I534" s="77" t="s">
        <v>3062</v>
      </c>
    </row>
    <row r="535" spans="1:9" ht="15" customHeight="1" x14ac:dyDescent="0.35">
      <c r="A535" s="76">
        <v>14</v>
      </c>
      <c r="B535" s="76" t="s">
        <v>271</v>
      </c>
      <c r="C535" s="77" t="s">
        <v>1203</v>
      </c>
      <c r="D535" s="77" t="s">
        <v>1204</v>
      </c>
      <c r="E535" s="76" t="s">
        <v>1181</v>
      </c>
      <c r="F535" s="77" t="s">
        <v>3049</v>
      </c>
      <c r="G535" s="77" t="str">
        <f t="shared" si="16"/>
        <v>Gideon MENSAH - Ghana</v>
      </c>
      <c r="H535" s="77" t="str">
        <f t="shared" si="17"/>
        <v>GHA14</v>
      </c>
      <c r="I535" s="77" t="s">
        <v>3063</v>
      </c>
    </row>
    <row r="536" spans="1:9" ht="15" customHeight="1" x14ac:dyDescent="0.35">
      <c r="A536" s="76">
        <v>15</v>
      </c>
      <c r="B536" s="76" t="s">
        <v>280</v>
      </c>
      <c r="C536" s="77" t="s">
        <v>1205</v>
      </c>
      <c r="D536" s="77" t="s">
        <v>1206</v>
      </c>
      <c r="E536" s="76" t="s">
        <v>1181</v>
      </c>
      <c r="F536" s="77" t="s">
        <v>3049</v>
      </c>
      <c r="G536" s="77" t="str">
        <f t="shared" si="16"/>
        <v>Elisha OWUSU - Ghana</v>
      </c>
      <c r="H536" s="77" t="str">
        <f t="shared" si="17"/>
        <v>GHA15</v>
      </c>
      <c r="I536" s="77" t="s">
        <v>3064</v>
      </c>
    </row>
    <row r="537" spans="1:9" ht="15" customHeight="1" x14ac:dyDescent="0.35">
      <c r="A537" s="76">
        <v>16</v>
      </c>
      <c r="B537" s="76" t="s">
        <v>267</v>
      </c>
      <c r="C537" s="77" t="s">
        <v>519</v>
      </c>
      <c r="D537" s="77" t="s">
        <v>1207</v>
      </c>
      <c r="E537" s="76" t="s">
        <v>1181</v>
      </c>
      <c r="F537" s="77" t="s">
        <v>3049</v>
      </c>
      <c r="G537" s="77" t="str">
        <f t="shared" si="16"/>
        <v>Benjamin ASARE - Ghana</v>
      </c>
      <c r="H537" s="77" t="str">
        <f t="shared" si="17"/>
        <v>GHA16</v>
      </c>
      <c r="I537" s="77" t="s">
        <v>3065</v>
      </c>
    </row>
    <row r="538" spans="1:9" ht="15" customHeight="1" x14ac:dyDescent="0.35">
      <c r="A538" s="76">
        <v>17</v>
      </c>
      <c r="B538" s="76" t="s">
        <v>271</v>
      </c>
      <c r="C538" s="77" t="s">
        <v>1208</v>
      </c>
      <c r="D538" s="77" t="s">
        <v>1209</v>
      </c>
      <c r="E538" s="76" t="s">
        <v>1181</v>
      </c>
      <c r="F538" s="77" t="s">
        <v>3049</v>
      </c>
      <c r="G538" s="77" t="str">
        <f t="shared" si="16"/>
        <v>Baba RAHMAN - Ghana</v>
      </c>
      <c r="H538" s="77" t="str">
        <f t="shared" si="17"/>
        <v>GHA17</v>
      </c>
      <c r="I538" s="77" t="s">
        <v>3066</v>
      </c>
    </row>
    <row r="539" spans="1:9" ht="15" customHeight="1" x14ac:dyDescent="0.35">
      <c r="A539" s="76">
        <v>18</v>
      </c>
      <c r="B539" s="76" t="s">
        <v>271</v>
      </c>
      <c r="C539" s="77" t="s">
        <v>1210</v>
      </c>
      <c r="D539" s="77" t="s">
        <v>1211</v>
      </c>
      <c r="E539" s="76" t="s">
        <v>1181</v>
      </c>
      <c r="F539" s="77" t="s">
        <v>3049</v>
      </c>
      <c r="G539" s="77" t="str">
        <f t="shared" si="16"/>
        <v>Jerome OPOKU - Ghana</v>
      </c>
      <c r="H539" s="77" t="str">
        <f t="shared" si="17"/>
        <v>GHA18</v>
      </c>
      <c r="I539" s="77" t="s">
        <v>3067</v>
      </c>
    </row>
    <row r="540" spans="1:9" ht="15" customHeight="1" x14ac:dyDescent="0.35">
      <c r="A540" s="76">
        <v>19</v>
      </c>
      <c r="B540" s="76" t="s">
        <v>283</v>
      </c>
      <c r="C540" s="77" t="s">
        <v>1212</v>
      </c>
      <c r="D540" s="77" t="s">
        <v>1213</v>
      </c>
      <c r="E540" s="76" t="s">
        <v>1181</v>
      </c>
      <c r="F540" s="77" t="s">
        <v>3049</v>
      </c>
      <c r="G540" s="77" t="str">
        <f t="shared" si="16"/>
        <v>Inaki WILLIAMS - Ghana</v>
      </c>
      <c r="H540" s="77" t="str">
        <f t="shared" si="17"/>
        <v>GHA19</v>
      </c>
      <c r="I540" s="77" t="s">
        <v>3068</v>
      </c>
    </row>
    <row r="541" spans="1:9" ht="15" customHeight="1" x14ac:dyDescent="0.35">
      <c r="A541" s="76">
        <v>20</v>
      </c>
      <c r="B541" s="76" t="s">
        <v>280</v>
      </c>
      <c r="C541" s="77" t="s">
        <v>1214</v>
      </c>
      <c r="D541" s="77" t="s">
        <v>1215</v>
      </c>
      <c r="E541" s="76" t="s">
        <v>1181</v>
      </c>
      <c r="F541" s="77" t="s">
        <v>3049</v>
      </c>
      <c r="G541" s="77" t="str">
        <f t="shared" si="16"/>
        <v>Augustine BOAKYE - Ghana</v>
      </c>
      <c r="H541" s="77" t="str">
        <f t="shared" si="17"/>
        <v>GHA20</v>
      </c>
      <c r="I541" s="77" t="s">
        <v>3069</v>
      </c>
    </row>
    <row r="542" spans="1:9" ht="15" customHeight="1" x14ac:dyDescent="0.35">
      <c r="A542" s="76">
        <v>21</v>
      </c>
      <c r="B542" s="76" t="s">
        <v>271</v>
      </c>
      <c r="C542" s="77" t="s">
        <v>1216</v>
      </c>
      <c r="D542" s="77" t="s">
        <v>1217</v>
      </c>
      <c r="E542" s="76" t="s">
        <v>1181</v>
      </c>
      <c r="F542" s="77" t="s">
        <v>3049</v>
      </c>
      <c r="G542" s="77" t="str">
        <f t="shared" si="16"/>
        <v>Kojo Peprah OPPONG - Ghana</v>
      </c>
      <c r="H542" s="77" t="str">
        <f t="shared" si="17"/>
        <v>GHA21</v>
      </c>
      <c r="I542" s="77" t="s">
        <v>3070</v>
      </c>
    </row>
    <row r="543" spans="1:9" ht="15" customHeight="1" x14ac:dyDescent="0.35">
      <c r="A543" s="76">
        <v>22</v>
      </c>
      <c r="B543" s="76" t="s">
        <v>283</v>
      </c>
      <c r="C543" s="77" t="s">
        <v>1218</v>
      </c>
      <c r="D543" s="77" t="s">
        <v>1219</v>
      </c>
      <c r="E543" s="76" t="s">
        <v>1181</v>
      </c>
      <c r="F543" s="77" t="s">
        <v>3049</v>
      </c>
      <c r="G543" s="77" t="str">
        <f t="shared" si="16"/>
        <v>Kamaldeen SULEMANA - Ghana</v>
      </c>
      <c r="H543" s="77" t="str">
        <f t="shared" si="17"/>
        <v>GHA22</v>
      </c>
      <c r="I543" s="77" t="s">
        <v>3071</v>
      </c>
    </row>
    <row r="544" spans="1:9" ht="15" customHeight="1" x14ac:dyDescent="0.35">
      <c r="A544" s="76">
        <v>23</v>
      </c>
      <c r="B544" s="76" t="s">
        <v>271</v>
      </c>
      <c r="C544" s="77" t="s">
        <v>1220</v>
      </c>
      <c r="D544" s="77" t="s">
        <v>1221</v>
      </c>
      <c r="E544" s="76" t="s">
        <v>1181</v>
      </c>
      <c r="F544" s="77" t="s">
        <v>3049</v>
      </c>
      <c r="G544" s="77" t="str">
        <f t="shared" si="16"/>
        <v>Derrick LUCKASSEN - Ghana</v>
      </c>
      <c r="H544" s="77" t="str">
        <f t="shared" si="17"/>
        <v>GHA23</v>
      </c>
      <c r="I544" s="77" t="s">
        <v>3072</v>
      </c>
    </row>
    <row r="545" spans="1:9" ht="15" customHeight="1" x14ac:dyDescent="0.35">
      <c r="A545" s="76">
        <v>24</v>
      </c>
      <c r="B545" s="76" t="s">
        <v>283</v>
      </c>
      <c r="C545" s="77" t="s">
        <v>1222</v>
      </c>
      <c r="D545" s="77" t="s">
        <v>1223</v>
      </c>
      <c r="E545" s="76" t="s">
        <v>1181</v>
      </c>
      <c r="F545" s="77" t="s">
        <v>3049</v>
      </c>
      <c r="G545" s="77" t="str">
        <f t="shared" si="16"/>
        <v>Ernest NUAMAH - Ghana</v>
      </c>
      <c r="H545" s="77" t="str">
        <f t="shared" si="17"/>
        <v>GHA24</v>
      </c>
      <c r="I545" s="77" t="s">
        <v>3073</v>
      </c>
    </row>
    <row r="546" spans="1:9" ht="15" customHeight="1" x14ac:dyDescent="0.35">
      <c r="A546" s="76">
        <v>25</v>
      </c>
      <c r="B546" s="76" t="s">
        <v>283</v>
      </c>
      <c r="C546" s="77" t="s">
        <v>1224</v>
      </c>
      <c r="D546" s="77" t="s">
        <v>1225</v>
      </c>
      <c r="E546" s="76" t="s">
        <v>1181</v>
      </c>
      <c r="F546" s="77" t="s">
        <v>3049</v>
      </c>
      <c r="G546" s="77" t="str">
        <f t="shared" si="16"/>
        <v>Prince ADU - Ghana</v>
      </c>
      <c r="H546" s="77" t="str">
        <f t="shared" si="17"/>
        <v>GHA25</v>
      </c>
      <c r="I546" s="77" t="s">
        <v>3074</v>
      </c>
    </row>
    <row r="547" spans="1:9" ht="15" customHeight="1" x14ac:dyDescent="0.35">
      <c r="A547" s="76">
        <v>26</v>
      </c>
      <c r="B547" s="76" t="s">
        <v>271</v>
      </c>
      <c r="C547" s="77" t="s">
        <v>1226</v>
      </c>
      <c r="D547" s="77" t="s">
        <v>1227</v>
      </c>
      <c r="E547" s="76" t="s">
        <v>1181</v>
      </c>
      <c r="F547" s="77" t="s">
        <v>3049</v>
      </c>
      <c r="G547" s="77" t="str">
        <f t="shared" si="16"/>
        <v>Marvin SENAYA - Ghana</v>
      </c>
      <c r="H547" s="77" t="str">
        <f t="shared" si="17"/>
        <v>GHA26</v>
      </c>
      <c r="I547" s="77" t="s">
        <v>3075</v>
      </c>
    </row>
    <row r="548" spans="1:9" ht="15" customHeight="1" x14ac:dyDescent="0.35">
      <c r="A548" s="78">
        <v>1</v>
      </c>
      <c r="B548" s="78" t="s">
        <v>267</v>
      </c>
      <c r="C548" s="79" t="s">
        <v>1228</v>
      </c>
      <c r="D548" s="79" t="s">
        <v>1229</v>
      </c>
      <c r="E548" s="78" t="s">
        <v>1230</v>
      </c>
      <c r="F548" s="79" t="s">
        <v>3076</v>
      </c>
      <c r="G548" s="79" t="str">
        <f t="shared" si="16"/>
        <v>Johny PLACIDE - Haiti</v>
      </c>
      <c r="H548" s="79" t="str">
        <f t="shared" si="17"/>
        <v>HTI1</v>
      </c>
      <c r="I548" s="79" t="s">
        <v>3077</v>
      </c>
    </row>
    <row r="549" spans="1:9" ht="15" customHeight="1" x14ac:dyDescent="0.35">
      <c r="A549" s="78">
        <v>2</v>
      </c>
      <c r="B549" s="78" t="s">
        <v>271</v>
      </c>
      <c r="C549" s="79" t="s">
        <v>1231</v>
      </c>
      <c r="D549" s="79" t="s">
        <v>1232</v>
      </c>
      <c r="E549" s="78" t="s">
        <v>1230</v>
      </c>
      <c r="F549" s="79" t="s">
        <v>3076</v>
      </c>
      <c r="G549" s="79" t="str">
        <f t="shared" si="16"/>
        <v>Carlens ARCUS - Haiti</v>
      </c>
      <c r="H549" s="79" t="str">
        <f t="shared" si="17"/>
        <v>HTI2</v>
      </c>
      <c r="I549" s="79" t="s">
        <v>3078</v>
      </c>
    </row>
    <row r="550" spans="1:9" ht="15" customHeight="1" x14ac:dyDescent="0.35">
      <c r="A550" s="78">
        <v>3</v>
      </c>
      <c r="B550" s="78" t="s">
        <v>271</v>
      </c>
      <c r="C550" s="79" t="s">
        <v>1233</v>
      </c>
      <c r="D550" s="79" t="s">
        <v>1234</v>
      </c>
      <c r="E550" s="78" t="s">
        <v>1230</v>
      </c>
      <c r="F550" s="79" t="s">
        <v>3076</v>
      </c>
      <c r="G550" s="79" t="str">
        <f t="shared" si="16"/>
        <v>Keeto THERMONCY - Haiti</v>
      </c>
      <c r="H550" s="79" t="str">
        <f t="shared" si="17"/>
        <v>HTI3</v>
      </c>
      <c r="I550" s="79" t="s">
        <v>3079</v>
      </c>
    </row>
    <row r="551" spans="1:9" ht="15" customHeight="1" x14ac:dyDescent="0.35">
      <c r="A551" s="78">
        <v>4</v>
      </c>
      <c r="B551" s="78" t="s">
        <v>271</v>
      </c>
      <c r="C551" s="79" t="s">
        <v>1235</v>
      </c>
      <c r="D551" s="79" t="s">
        <v>1236</v>
      </c>
      <c r="E551" s="78" t="s">
        <v>1230</v>
      </c>
      <c r="F551" s="79" t="s">
        <v>3076</v>
      </c>
      <c r="G551" s="79" t="str">
        <f t="shared" si="16"/>
        <v>Ricardo ADE - Haiti</v>
      </c>
      <c r="H551" s="79" t="str">
        <f t="shared" si="17"/>
        <v>HTI4</v>
      </c>
      <c r="I551" s="79" t="s">
        <v>3080</v>
      </c>
    </row>
    <row r="552" spans="1:9" ht="15" customHeight="1" x14ac:dyDescent="0.35">
      <c r="A552" s="78">
        <v>5</v>
      </c>
      <c r="B552" s="78" t="s">
        <v>271</v>
      </c>
      <c r="C552" s="79" t="s">
        <v>1237</v>
      </c>
      <c r="D552" s="79" t="s">
        <v>1238</v>
      </c>
      <c r="E552" s="78" t="s">
        <v>1230</v>
      </c>
      <c r="F552" s="79" t="s">
        <v>3076</v>
      </c>
      <c r="G552" s="79" t="str">
        <f t="shared" si="16"/>
        <v>Hannes DELCROIX - Haiti</v>
      </c>
      <c r="H552" s="79" t="str">
        <f t="shared" si="17"/>
        <v>HTI5</v>
      </c>
      <c r="I552" s="79" t="s">
        <v>3081</v>
      </c>
    </row>
    <row r="553" spans="1:9" ht="15" customHeight="1" x14ac:dyDescent="0.35">
      <c r="A553" s="78">
        <v>6</v>
      </c>
      <c r="B553" s="78" t="s">
        <v>280</v>
      </c>
      <c r="C553" s="79" t="s">
        <v>1239</v>
      </c>
      <c r="D553" s="79" t="s">
        <v>1240</v>
      </c>
      <c r="E553" s="78" t="s">
        <v>1230</v>
      </c>
      <c r="F553" s="79" t="s">
        <v>3076</v>
      </c>
      <c r="G553" s="79" t="str">
        <f t="shared" si="16"/>
        <v>Carl SAINTE - Haiti</v>
      </c>
      <c r="H553" s="79" t="str">
        <f t="shared" si="17"/>
        <v>HTI6</v>
      </c>
      <c r="I553" s="79" t="s">
        <v>3082</v>
      </c>
    </row>
    <row r="554" spans="1:9" ht="15" customHeight="1" x14ac:dyDescent="0.35">
      <c r="A554" s="78">
        <v>7</v>
      </c>
      <c r="B554" s="78" t="s">
        <v>283</v>
      </c>
      <c r="C554" s="79" t="s">
        <v>1220</v>
      </c>
      <c r="D554" s="79" t="s">
        <v>1241</v>
      </c>
      <c r="E554" s="78" t="s">
        <v>1230</v>
      </c>
      <c r="F554" s="79" t="s">
        <v>3076</v>
      </c>
      <c r="G554" s="79" t="str">
        <f t="shared" si="16"/>
        <v>Derrick ETIENNE - Haiti</v>
      </c>
      <c r="H554" s="79" t="str">
        <f t="shared" si="17"/>
        <v>HTI7</v>
      </c>
      <c r="I554" s="79" t="s">
        <v>3083</v>
      </c>
    </row>
    <row r="555" spans="1:9" ht="15" customHeight="1" x14ac:dyDescent="0.35">
      <c r="A555" s="78">
        <v>8</v>
      </c>
      <c r="B555" s="78" t="s">
        <v>271</v>
      </c>
      <c r="C555" s="79" t="s">
        <v>548</v>
      </c>
      <c r="D555" s="79" t="s">
        <v>1242</v>
      </c>
      <c r="E555" s="78" t="s">
        <v>1230</v>
      </c>
      <c r="F555" s="79" t="s">
        <v>3076</v>
      </c>
      <c r="G555" s="79" t="str">
        <f t="shared" si="16"/>
        <v>Martin EXPERIENCE - Haiti</v>
      </c>
      <c r="H555" s="79" t="str">
        <f t="shared" si="17"/>
        <v>HTI8</v>
      </c>
      <c r="I555" s="79" t="s">
        <v>3084</v>
      </c>
    </row>
    <row r="556" spans="1:9" ht="15" customHeight="1" x14ac:dyDescent="0.35">
      <c r="A556" s="78">
        <v>9</v>
      </c>
      <c r="B556" s="78" t="s">
        <v>283</v>
      </c>
      <c r="C556" s="79" t="s">
        <v>1243</v>
      </c>
      <c r="D556" s="79" t="s">
        <v>1244</v>
      </c>
      <c r="E556" s="78" t="s">
        <v>1230</v>
      </c>
      <c r="F556" s="79" t="s">
        <v>3076</v>
      </c>
      <c r="G556" s="79" t="str">
        <f t="shared" si="16"/>
        <v>Duckens NAZON - Haiti</v>
      </c>
      <c r="H556" s="79" t="str">
        <f t="shared" si="17"/>
        <v>HTI9</v>
      </c>
      <c r="I556" s="79" t="s">
        <v>3085</v>
      </c>
    </row>
    <row r="557" spans="1:9" ht="15" customHeight="1" x14ac:dyDescent="0.35">
      <c r="A557" s="78">
        <v>10</v>
      </c>
      <c r="B557" s="78" t="s">
        <v>280</v>
      </c>
      <c r="C557" s="79" t="s">
        <v>1245</v>
      </c>
      <c r="D557" s="79" t="s">
        <v>1246</v>
      </c>
      <c r="E557" s="78" t="s">
        <v>1230</v>
      </c>
      <c r="F557" s="79" t="s">
        <v>3076</v>
      </c>
      <c r="G557" s="79" t="str">
        <f t="shared" si="16"/>
        <v>Jean-Ricner BELLEGARDE - Haiti</v>
      </c>
      <c r="H557" s="79" t="str">
        <f t="shared" si="17"/>
        <v>HTI10</v>
      </c>
      <c r="I557" s="79" t="s">
        <v>3086</v>
      </c>
    </row>
    <row r="558" spans="1:9" ht="15" customHeight="1" x14ac:dyDescent="0.35">
      <c r="A558" s="78">
        <v>11</v>
      </c>
      <c r="B558" s="78" t="s">
        <v>283</v>
      </c>
      <c r="C558" s="79" t="s">
        <v>1247</v>
      </c>
      <c r="D558" s="79" t="s">
        <v>1248</v>
      </c>
      <c r="E558" s="78" t="s">
        <v>1230</v>
      </c>
      <c r="F558" s="79" t="s">
        <v>3076</v>
      </c>
      <c r="G558" s="79" t="str">
        <f t="shared" si="16"/>
        <v>Louicius DEEDSON - Haiti</v>
      </c>
      <c r="H558" s="79" t="str">
        <f t="shared" si="17"/>
        <v>HTI11</v>
      </c>
      <c r="I558" s="79" t="s">
        <v>3087</v>
      </c>
    </row>
    <row r="559" spans="1:9" ht="15" customHeight="1" x14ac:dyDescent="0.35">
      <c r="A559" s="78">
        <v>12</v>
      </c>
      <c r="B559" s="78" t="s">
        <v>267</v>
      </c>
      <c r="C559" s="79" t="s">
        <v>1249</v>
      </c>
      <c r="D559" s="79" t="s">
        <v>1250</v>
      </c>
      <c r="E559" s="78" t="s">
        <v>1230</v>
      </c>
      <c r="F559" s="79" t="s">
        <v>3076</v>
      </c>
      <c r="G559" s="79" t="str">
        <f t="shared" si="16"/>
        <v>Alexandre PIERRE - Haiti</v>
      </c>
      <c r="H559" s="79" t="str">
        <f t="shared" si="17"/>
        <v>HTI12</v>
      </c>
      <c r="I559" s="79" t="s">
        <v>3088</v>
      </c>
    </row>
    <row r="560" spans="1:9" ht="15" customHeight="1" x14ac:dyDescent="0.35">
      <c r="A560" s="78">
        <v>13</v>
      </c>
      <c r="B560" s="78" t="s">
        <v>271</v>
      </c>
      <c r="C560" s="79" t="s">
        <v>1251</v>
      </c>
      <c r="D560" s="79" t="s">
        <v>1136</v>
      </c>
      <c r="E560" s="78" t="s">
        <v>1230</v>
      </c>
      <c r="F560" s="79" t="s">
        <v>3076</v>
      </c>
      <c r="G560" s="79" t="str">
        <f t="shared" si="16"/>
        <v>Markhus LACROIX - Haiti</v>
      </c>
      <c r="H560" s="79" t="str">
        <f t="shared" si="17"/>
        <v>HTI13</v>
      </c>
      <c r="I560" s="79" t="s">
        <v>3089</v>
      </c>
    </row>
    <row r="561" spans="1:9" ht="15" customHeight="1" x14ac:dyDescent="0.35">
      <c r="A561" s="78">
        <v>14</v>
      </c>
      <c r="B561" s="78" t="s">
        <v>280</v>
      </c>
      <c r="C561" s="79" t="s">
        <v>2492</v>
      </c>
      <c r="D561" s="79" t="s">
        <v>2491</v>
      </c>
      <c r="E561" s="78" t="s">
        <v>1230</v>
      </c>
      <c r="F561" s="79" t="s">
        <v>3076</v>
      </c>
      <c r="G561" s="79" t="str">
        <f t="shared" si="16"/>
        <v>Garven METUSALA - Haiti</v>
      </c>
      <c r="H561" s="79" t="str">
        <f t="shared" si="17"/>
        <v>HTI14</v>
      </c>
      <c r="I561" s="79" t="s">
        <v>3800</v>
      </c>
    </row>
    <row r="562" spans="1:9" ht="15" customHeight="1" x14ac:dyDescent="0.35">
      <c r="A562" s="78">
        <v>15</v>
      </c>
      <c r="B562" s="78" t="s">
        <v>283</v>
      </c>
      <c r="C562" s="79" t="s">
        <v>1252</v>
      </c>
      <c r="D562" s="79" t="s">
        <v>1253</v>
      </c>
      <c r="E562" s="78" t="s">
        <v>1230</v>
      </c>
      <c r="F562" s="79" t="s">
        <v>3076</v>
      </c>
      <c r="G562" s="79" t="str">
        <f t="shared" si="16"/>
        <v>Ruben PROVIDENCE - Haiti</v>
      </c>
      <c r="H562" s="79" t="str">
        <f t="shared" si="17"/>
        <v>HTI15</v>
      </c>
      <c r="I562" s="79" t="s">
        <v>3090</v>
      </c>
    </row>
    <row r="563" spans="1:9" ht="15" customHeight="1" x14ac:dyDescent="0.35">
      <c r="A563" s="78">
        <v>16</v>
      </c>
      <c r="B563" s="78" t="s">
        <v>283</v>
      </c>
      <c r="C563" s="79" t="s">
        <v>1254</v>
      </c>
      <c r="D563" s="79" t="s">
        <v>1255</v>
      </c>
      <c r="E563" s="78" t="s">
        <v>1230</v>
      </c>
      <c r="F563" s="79" t="s">
        <v>3076</v>
      </c>
      <c r="G563" s="79" t="str">
        <f t="shared" si="16"/>
        <v>Lenny JOSEPH - Haiti</v>
      </c>
      <c r="H563" s="79" t="str">
        <f t="shared" si="17"/>
        <v>HTI16</v>
      </c>
      <c r="I563" s="79" t="s">
        <v>3091</v>
      </c>
    </row>
    <row r="564" spans="1:9" ht="15" customHeight="1" x14ac:dyDescent="0.35">
      <c r="A564" s="78">
        <v>17</v>
      </c>
      <c r="B564" s="78" t="s">
        <v>280</v>
      </c>
      <c r="C564" s="79" t="s">
        <v>1256</v>
      </c>
      <c r="D564" s="79" t="s">
        <v>1257</v>
      </c>
      <c r="E564" s="78" t="s">
        <v>1230</v>
      </c>
      <c r="F564" s="79" t="s">
        <v>3076</v>
      </c>
      <c r="G564" s="79" t="str">
        <f t="shared" si="16"/>
        <v>Danley JEAN JACQUES - Haiti</v>
      </c>
      <c r="H564" s="79" t="str">
        <f t="shared" si="17"/>
        <v>HTI17</v>
      </c>
      <c r="I564" s="79" t="s">
        <v>3092</v>
      </c>
    </row>
    <row r="565" spans="1:9" ht="15" customHeight="1" x14ac:dyDescent="0.35">
      <c r="A565" s="78">
        <v>18</v>
      </c>
      <c r="B565" s="78" t="s">
        <v>283</v>
      </c>
      <c r="C565" s="79" t="s">
        <v>1258</v>
      </c>
      <c r="D565" s="79" t="s">
        <v>1259</v>
      </c>
      <c r="E565" s="78" t="s">
        <v>1230</v>
      </c>
      <c r="F565" s="79" t="s">
        <v>3076</v>
      </c>
      <c r="G565" s="79" t="str">
        <f t="shared" si="16"/>
        <v>Wilson ISIDOR - Haiti</v>
      </c>
      <c r="H565" s="79" t="str">
        <f t="shared" si="17"/>
        <v>HTI18</v>
      </c>
      <c r="I565" s="79" t="s">
        <v>3093</v>
      </c>
    </row>
    <row r="566" spans="1:9" ht="15" customHeight="1" x14ac:dyDescent="0.35">
      <c r="A566" s="78">
        <v>19</v>
      </c>
      <c r="B566" s="78" t="s">
        <v>283</v>
      </c>
      <c r="C566" s="79" t="s">
        <v>1260</v>
      </c>
      <c r="D566" s="79" t="s">
        <v>1261</v>
      </c>
      <c r="E566" s="78" t="s">
        <v>1230</v>
      </c>
      <c r="F566" s="79" t="s">
        <v>3076</v>
      </c>
      <c r="G566" s="79" t="str">
        <f t="shared" si="16"/>
        <v>Yassin FORTUNE - Haiti</v>
      </c>
      <c r="H566" s="79" t="str">
        <f t="shared" si="17"/>
        <v>HTI19</v>
      </c>
      <c r="I566" s="79" t="s">
        <v>3094</v>
      </c>
    </row>
    <row r="567" spans="1:9" ht="15" customHeight="1" x14ac:dyDescent="0.35">
      <c r="A567" s="78">
        <v>20</v>
      </c>
      <c r="B567" s="78" t="s">
        <v>283</v>
      </c>
      <c r="C567" s="79" t="s">
        <v>1262</v>
      </c>
      <c r="D567" s="79" t="s">
        <v>1263</v>
      </c>
      <c r="E567" s="78" t="s">
        <v>1230</v>
      </c>
      <c r="F567" s="79" t="s">
        <v>3076</v>
      </c>
      <c r="G567" s="79" t="str">
        <f t="shared" si="16"/>
        <v>Frantzdy PIERROT - Haiti</v>
      </c>
      <c r="H567" s="79" t="str">
        <f t="shared" si="17"/>
        <v>HTI20</v>
      </c>
      <c r="I567" s="79" t="s">
        <v>3095</v>
      </c>
    </row>
    <row r="568" spans="1:9" ht="15" customHeight="1" x14ac:dyDescent="0.35">
      <c r="A568" s="78">
        <v>21</v>
      </c>
      <c r="B568" s="78" t="s">
        <v>283</v>
      </c>
      <c r="C568" s="79" t="s">
        <v>1264</v>
      </c>
      <c r="D568" s="79" t="s">
        <v>1265</v>
      </c>
      <c r="E568" s="78" t="s">
        <v>1230</v>
      </c>
      <c r="F568" s="79" t="s">
        <v>3076</v>
      </c>
      <c r="G568" s="79" t="str">
        <f t="shared" si="16"/>
        <v>Josue CASIMIR - Haiti</v>
      </c>
      <c r="H568" s="79" t="str">
        <f t="shared" si="17"/>
        <v>HTI21</v>
      </c>
      <c r="I568" s="79" t="s">
        <v>3096</v>
      </c>
    </row>
    <row r="569" spans="1:9" ht="15" customHeight="1" x14ac:dyDescent="0.35">
      <c r="A569" s="78">
        <v>22</v>
      </c>
      <c r="B569" s="78" t="s">
        <v>271</v>
      </c>
      <c r="C569" s="79" t="s">
        <v>1266</v>
      </c>
      <c r="D569" s="79" t="s">
        <v>1267</v>
      </c>
      <c r="E569" s="78" t="s">
        <v>1230</v>
      </c>
      <c r="F569" s="79" t="s">
        <v>3076</v>
      </c>
      <c r="G569" s="79" t="str">
        <f t="shared" si="16"/>
        <v>Jean-Kevin DUVERNE - Haiti</v>
      </c>
      <c r="H569" s="79" t="str">
        <f t="shared" si="17"/>
        <v>HTI22</v>
      </c>
      <c r="I569" s="79" t="s">
        <v>3097</v>
      </c>
    </row>
    <row r="570" spans="1:9" ht="15" customHeight="1" x14ac:dyDescent="0.35">
      <c r="A570" s="78">
        <v>23</v>
      </c>
      <c r="B570" s="78" t="s">
        <v>267</v>
      </c>
      <c r="C570" s="79" t="s">
        <v>1264</v>
      </c>
      <c r="D570" s="79" t="s">
        <v>1268</v>
      </c>
      <c r="E570" s="78" t="s">
        <v>1230</v>
      </c>
      <c r="F570" s="79" t="s">
        <v>3076</v>
      </c>
      <c r="G570" s="79" t="str">
        <f t="shared" si="16"/>
        <v>Josue DUVERGER - Haiti</v>
      </c>
      <c r="H570" s="79" t="str">
        <f t="shared" si="17"/>
        <v>HTI23</v>
      </c>
      <c r="I570" s="79" t="s">
        <v>3098</v>
      </c>
    </row>
    <row r="571" spans="1:9" ht="15" customHeight="1" x14ac:dyDescent="0.35">
      <c r="A571" s="78">
        <v>24</v>
      </c>
      <c r="B571" s="78" t="s">
        <v>271</v>
      </c>
      <c r="C571" s="79" t="s">
        <v>1269</v>
      </c>
      <c r="D571" s="79" t="s">
        <v>1270</v>
      </c>
      <c r="E571" s="78" t="s">
        <v>1230</v>
      </c>
      <c r="F571" s="79" t="s">
        <v>3076</v>
      </c>
      <c r="G571" s="79" t="str">
        <f t="shared" si="16"/>
        <v>Wilguens PAUGAIN - Haiti</v>
      </c>
      <c r="H571" s="79" t="str">
        <f t="shared" si="17"/>
        <v>HTI24</v>
      </c>
      <c r="I571" s="79" t="s">
        <v>3099</v>
      </c>
    </row>
    <row r="572" spans="1:9" ht="15" customHeight="1" x14ac:dyDescent="0.35">
      <c r="A572" s="78">
        <v>25</v>
      </c>
      <c r="B572" s="78" t="s">
        <v>280</v>
      </c>
      <c r="C572" s="79" t="s">
        <v>1271</v>
      </c>
      <c r="D572" s="79" t="s">
        <v>1272</v>
      </c>
      <c r="E572" s="78" t="s">
        <v>1230</v>
      </c>
      <c r="F572" s="79" t="s">
        <v>3076</v>
      </c>
      <c r="G572" s="79" t="str">
        <f t="shared" si="16"/>
        <v>Dominique SIMON - Haiti</v>
      </c>
      <c r="H572" s="79" t="str">
        <f t="shared" si="17"/>
        <v>HTI25</v>
      </c>
      <c r="I572" s="79" t="s">
        <v>3100</v>
      </c>
    </row>
    <row r="573" spans="1:9" ht="15" customHeight="1" x14ac:dyDescent="0.35">
      <c r="A573" s="78">
        <v>26</v>
      </c>
      <c r="B573" s="78" t="s">
        <v>280</v>
      </c>
      <c r="C573" s="79" t="s">
        <v>1273</v>
      </c>
      <c r="D573" s="79" t="s">
        <v>1250</v>
      </c>
      <c r="E573" s="78" t="s">
        <v>1230</v>
      </c>
      <c r="F573" s="79" t="s">
        <v>3076</v>
      </c>
      <c r="G573" s="79" t="str">
        <f t="shared" si="16"/>
        <v>Woodensky PIERRE - Haiti</v>
      </c>
      <c r="H573" s="79" t="str">
        <f t="shared" si="17"/>
        <v>HTI26</v>
      </c>
      <c r="I573" s="79" t="s">
        <v>3101</v>
      </c>
    </row>
    <row r="574" spans="1:9" ht="15" customHeight="1" x14ac:dyDescent="0.35">
      <c r="A574" s="80">
        <v>1</v>
      </c>
      <c r="B574" s="80" t="s">
        <v>267</v>
      </c>
      <c r="C574" s="81" t="s">
        <v>1274</v>
      </c>
      <c r="D574" s="81" t="s">
        <v>1275</v>
      </c>
      <c r="E574" s="80" t="s">
        <v>1276</v>
      </c>
      <c r="F574" s="81" t="s">
        <v>3102</v>
      </c>
      <c r="G574" s="81" t="str">
        <f t="shared" si="16"/>
        <v>Alireza BEIRANVAND - Iran</v>
      </c>
      <c r="H574" s="81" t="str">
        <f t="shared" si="17"/>
        <v>IRN1</v>
      </c>
      <c r="I574" s="81" t="s">
        <v>3103</v>
      </c>
    </row>
    <row r="575" spans="1:9" ht="15" customHeight="1" x14ac:dyDescent="0.35">
      <c r="A575" s="80">
        <v>2</v>
      </c>
      <c r="B575" s="80" t="s">
        <v>271</v>
      </c>
      <c r="C575" s="81" t="s">
        <v>1277</v>
      </c>
      <c r="D575" s="81" t="s">
        <v>1278</v>
      </c>
      <c r="E575" s="80" t="s">
        <v>1276</v>
      </c>
      <c r="F575" s="81" t="s">
        <v>3102</v>
      </c>
      <c r="G575" s="81" t="str">
        <f t="shared" si="16"/>
        <v>Saleh HARDANI - Iran</v>
      </c>
      <c r="H575" s="81" t="str">
        <f t="shared" si="17"/>
        <v>IRN2</v>
      </c>
      <c r="I575" s="81" t="s">
        <v>3104</v>
      </c>
    </row>
    <row r="576" spans="1:9" ht="15" customHeight="1" x14ac:dyDescent="0.35">
      <c r="A576" s="80">
        <v>3</v>
      </c>
      <c r="B576" s="80" t="s">
        <v>271</v>
      </c>
      <c r="C576" s="81" t="s">
        <v>1279</v>
      </c>
      <c r="D576" s="81" t="s">
        <v>1280</v>
      </c>
      <c r="E576" s="80" t="s">
        <v>1276</v>
      </c>
      <c r="F576" s="81" t="s">
        <v>3102</v>
      </c>
      <c r="G576" s="81" t="str">
        <f t="shared" si="16"/>
        <v>Ehsan HAJISAFI - Iran</v>
      </c>
      <c r="H576" s="81" t="str">
        <f t="shared" si="17"/>
        <v>IRN3</v>
      </c>
      <c r="I576" s="81" t="s">
        <v>3105</v>
      </c>
    </row>
    <row r="577" spans="1:9" ht="15" customHeight="1" x14ac:dyDescent="0.35">
      <c r="A577" s="80">
        <v>4</v>
      </c>
      <c r="B577" s="80" t="s">
        <v>271</v>
      </c>
      <c r="C577" s="81" t="s">
        <v>1281</v>
      </c>
      <c r="D577" s="81" t="s">
        <v>1282</v>
      </c>
      <c r="E577" s="80" t="s">
        <v>1276</v>
      </c>
      <c r="F577" s="81" t="s">
        <v>3102</v>
      </c>
      <c r="G577" s="81" t="str">
        <f t="shared" si="16"/>
        <v>Shoja KHALILZADEH - Iran</v>
      </c>
      <c r="H577" s="81" t="str">
        <f t="shared" si="17"/>
        <v>IRN4</v>
      </c>
      <c r="I577" s="81" t="s">
        <v>3106</v>
      </c>
    </row>
    <row r="578" spans="1:9" ht="15" customHeight="1" x14ac:dyDescent="0.35">
      <c r="A578" s="80">
        <v>5</v>
      </c>
      <c r="B578" s="80" t="s">
        <v>271</v>
      </c>
      <c r="C578" s="81" t="s">
        <v>1283</v>
      </c>
      <c r="D578" s="81" t="s">
        <v>1284</v>
      </c>
      <c r="E578" s="80" t="s">
        <v>1276</v>
      </c>
      <c r="F578" s="81" t="s">
        <v>3102</v>
      </c>
      <c r="G578" s="81" t="str">
        <f t="shared" si="16"/>
        <v>Milad MOHAMMADI - Iran</v>
      </c>
      <c r="H578" s="81" t="str">
        <f t="shared" si="17"/>
        <v>IRN5</v>
      </c>
      <c r="I578" s="81" t="s">
        <v>3107</v>
      </c>
    </row>
    <row r="579" spans="1:9" ht="15" customHeight="1" x14ac:dyDescent="0.35">
      <c r="A579" s="80">
        <v>6</v>
      </c>
      <c r="B579" s="80" t="s">
        <v>280</v>
      </c>
      <c r="C579" s="81" t="s">
        <v>1285</v>
      </c>
      <c r="D579" s="81" t="s">
        <v>1286</v>
      </c>
      <c r="E579" s="80" t="s">
        <v>1276</v>
      </c>
      <c r="F579" s="81" t="s">
        <v>3102</v>
      </c>
      <c r="G579" s="81" t="str">
        <f t="shared" ref="G579:G642" si="18">_xlfn.CONCAT(C579, " ",D579, " - ",F579)</f>
        <v>Saeid EZATOLAHI - Iran</v>
      </c>
      <c r="H579" s="81" t="str">
        <f t="shared" ref="H579:H642" si="19">_xlfn.CONCAT(E579,A579)</f>
        <v>IRN6</v>
      </c>
      <c r="I579" s="81" t="s">
        <v>3108</v>
      </c>
    </row>
    <row r="580" spans="1:9" ht="15" customHeight="1" x14ac:dyDescent="0.35">
      <c r="A580" s="80">
        <v>7</v>
      </c>
      <c r="B580" s="80" t="s">
        <v>280</v>
      </c>
      <c r="C580" s="81" t="s">
        <v>1274</v>
      </c>
      <c r="D580" s="81" t="s">
        <v>1287</v>
      </c>
      <c r="E580" s="80" t="s">
        <v>1276</v>
      </c>
      <c r="F580" s="81" t="s">
        <v>3102</v>
      </c>
      <c r="G580" s="81" t="str">
        <f t="shared" si="18"/>
        <v>Alireza JAHANBAKHSH - Iran</v>
      </c>
      <c r="H580" s="81" t="str">
        <f t="shared" si="19"/>
        <v>IRN7</v>
      </c>
      <c r="I580" s="81" t="s">
        <v>3109</v>
      </c>
    </row>
    <row r="581" spans="1:9" ht="15" customHeight="1" x14ac:dyDescent="0.35">
      <c r="A581" s="80">
        <v>8</v>
      </c>
      <c r="B581" s="80" t="s">
        <v>280</v>
      </c>
      <c r="C581" s="81" t="s">
        <v>1288</v>
      </c>
      <c r="D581" s="81" t="s">
        <v>1289</v>
      </c>
      <c r="E581" s="80" t="s">
        <v>1276</v>
      </c>
      <c r="F581" s="81" t="s">
        <v>3102</v>
      </c>
      <c r="G581" s="81" t="str">
        <f t="shared" si="18"/>
        <v>Mohammad MOHEBBI - Iran</v>
      </c>
      <c r="H581" s="81" t="str">
        <f t="shared" si="19"/>
        <v>IRN8</v>
      </c>
      <c r="I581" s="81" t="s">
        <v>3110</v>
      </c>
    </row>
    <row r="582" spans="1:9" ht="15" customHeight="1" x14ac:dyDescent="0.35">
      <c r="A582" s="80">
        <v>9</v>
      </c>
      <c r="B582" s="80" t="s">
        <v>283</v>
      </c>
      <c r="C582" s="81" t="s">
        <v>1290</v>
      </c>
      <c r="D582" s="81" t="s">
        <v>1291</v>
      </c>
      <c r="E582" s="80" t="s">
        <v>1276</v>
      </c>
      <c r="F582" s="81" t="s">
        <v>3102</v>
      </c>
      <c r="G582" s="81" t="str">
        <f t="shared" si="18"/>
        <v>Mehdi TAREMI - Iran</v>
      </c>
      <c r="H582" s="81" t="str">
        <f t="shared" si="19"/>
        <v>IRN9</v>
      </c>
      <c r="I582" s="81" t="s">
        <v>3111</v>
      </c>
    </row>
    <row r="583" spans="1:9" ht="15" customHeight="1" x14ac:dyDescent="0.35">
      <c r="A583" s="80">
        <v>10</v>
      </c>
      <c r="B583" s="80" t="s">
        <v>283</v>
      </c>
      <c r="C583" s="81" t="s">
        <v>1290</v>
      </c>
      <c r="D583" s="81" t="s">
        <v>1292</v>
      </c>
      <c r="E583" s="80" t="s">
        <v>1276</v>
      </c>
      <c r="F583" s="81" t="s">
        <v>3102</v>
      </c>
      <c r="G583" s="81" t="str">
        <f t="shared" si="18"/>
        <v>Mehdi GHAYEDI - Iran</v>
      </c>
      <c r="H583" s="81" t="str">
        <f t="shared" si="19"/>
        <v>IRN10</v>
      </c>
      <c r="I583" s="81" t="s">
        <v>3112</v>
      </c>
    </row>
    <row r="584" spans="1:9" ht="15" customHeight="1" x14ac:dyDescent="0.35">
      <c r="A584" s="80">
        <v>11</v>
      </c>
      <c r="B584" s="80" t="s">
        <v>283</v>
      </c>
      <c r="C584" s="81" t="s">
        <v>696</v>
      </c>
      <c r="D584" s="81" t="s">
        <v>1293</v>
      </c>
      <c r="E584" s="80" t="s">
        <v>1276</v>
      </c>
      <c r="F584" s="81" t="s">
        <v>3102</v>
      </c>
      <c r="G584" s="81" t="str">
        <f t="shared" si="18"/>
        <v>Ali ALIPOUR - Iran</v>
      </c>
      <c r="H584" s="81" t="str">
        <f t="shared" si="19"/>
        <v>IRN11</v>
      </c>
      <c r="I584" s="81" t="s">
        <v>3113</v>
      </c>
    </row>
    <row r="585" spans="1:9" ht="15" customHeight="1" x14ac:dyDescent="0.35">
      <c r="A585" s="80">
        <v>12</v>
      </c>
      <c r="B585" s="80" t="s">
        <v>267</v>
      </c>
      <c r="C585" s="81" t="s">
        <v>1294</v>
      </c>
      <c r="D585" s="81" t="s">
        <v>1295</v>
      </c>
      <c r="E585" s="80" t="s">
        <v>1276</v>
      </c>
      <c r="F585" s="81" t="s">
        <v>3102</v>
      </c>
      <c r="G585" s="81" t="str">
        <f t="shared" si="18"/>
        <v>Payam NIAZMAND - Iran</v>
      </c>
      <c r="H585" s="81" t="str">
        <f t="shared" si="19"/>
        <v>IRN12</v>
      </c>
      <c r="I585" s="81" t="s">
        <v>3114</v>
      </c>
    </row>
    <row r="586" spans="1:9" ht="15" customHeight="1" x14ac:dyDescent="0.35">
      <c r="A586" s="80">
        <v>13</v>
      </c>
      <c r="B586" s="80" t="s">
        <v>271</v>
      </c>
      <c r="C586" s="81" t="s">
        <v>1296</v>
      </c>
      <c r="D586" s="81" t="s">
        <v>1297</v>
      </c>
      <c r="E586" s="80" t="s">
        <v>1276</v>
      </c>
      <c r="F586" s="81" t="s">
        <v>3102</v>
      </c>
      <c r="G586" s="81" t="str">
        <f t="shared" si="18"/>
        <v>Hossein KANANI - Iran</v>
      </c>
      <c r="H586" s="81" t="str">
        <f t="shared" si="19"/>
        <v>IRN13</v>
      </c>
      <c r="I586" s="81" t="s">
        <v>3115</v>
      </c>
    </row>
    <row r="587" spans="1:9" ht="15" customHeight="1" x14ac:dyDescent="0.35">
      <c r="A587" s="80">
        <v>14</v>
      </c>
      <c r="B587" s="80" t="s">
        <v>280</v>
      </c>
      <c r="C587" s="81" t="s">
        <v>1298</v>
      </c>
      <c r="D587" s="81" t="s">
        <v>1299</v>
      </c>
      <c r="E587" s="80" t="s">
        <v>1276</v>
      </c>
      <c r="F587" s="81" t="s">
        <v>3102</v>
      </c>
      <c r="G587" s="81" t="str">
        <f t="shared" si="18"/>
        <v>Saman GHODDOS - Iran</v>
      </c>
      <c r="H587" s="81" t="str">
        <f t="shared" si="19"/>
        <v>IRN14</v>
      </c>
      <c r="I587" s="81" t="s">
        <v>3116</v>
      </c>
    </row>
    <row r="588" spans="1:9" ht="15" customHeight="1" x14ac:dyDescent="0.35">
      <c r="A588" s="80">
        <v>15</v>
      </c>
      <c r="B588" s="80" t="s">
        <v>280</v>
      </c>
      <c r="C588" s="81" t="s">
        <v>1300</v>
      </c>
      <c r="D588" s="81" t="s">
        <v>1301</v>
      </c>
      <c r="E588" s="80" t="s">
        <v>1276</v>
      </c>
      <c r="F588" s="81" t="s">
        <v>3102</v>
      </c>
      <c r="G588" s="81" t="str">
        <f t="shared" si="18"/>
        <v>Roozbeh CHESHMI - Iran</v>
      </c>
      <c r="H588" s="81" t="str">
        <f t="shared" si="19"/>
        <v>IRN15</v>
      </c>
      <c r="I588" s="81" t="s">
        <v>3117</v>
      </c>
    </row>
    <row r="589" spans="1:9" ht="15" customHeight="1" x14ac:dyDescent="0.35">
      <c r="A589" s="80">
        <v>16</v>
      </c>
      <c r="B589" s="80" t="s">
        <v>280</v>
      </c>
      <c r="C589" s="81" t="s">
        <v>1290</v>
      </c>
      <c r="D589" s="81" t="s">
        <v>1302</v>
      </c>
      <c r="E589" s="80" t="s">
        <v>1276</v>
      </c>
      <c r="F589" s="81" t="s">
        <v>3102</v>
      </c>
      <c r="G589" s="81" t="str">
        <f t="shared" si="18"/>
        <v>Mehdi TORABI - Iran</v>
      </c>
      <c r="H589" s="81" t="str">
        <f t="shared" si="19"/>
        <v>IRN16</v>
      </c>
      <c r="I589" s="81" t="s">
        <v>3118</v>
      </c>
    </row>
    <row r="590" spans="1:9" ht="15" customHeight="1" x14ac:dyDescent="0.35">
      <c r="A590" s="80">
        <v>17</v>
      </c>
      <c r="B590" s="80" t="s">
        <v>271</v>
      </c>
      <c r="C590" s="81" t="s">
        <v>1303</v>
      </c>
      <c r="D590" s="81" t="s">
        <v>1304</v>
      </c>
      <c r="E590" s="80" t="s">
        <v>1276</v>
      </c>
      <c r="F590" s="81" t="s">
        <v>3102</v>
      </c>
      <c r="G590" s="81" t="str">
        <f t="shared" si="18"/>
        <v>Arya YOUSEFI - Iran</v>
      </c>
      <c r="H590" s="81" t="str">
        <f t="shared" si="19"/>
        <v>IRN17</v>
      </c>
      <c r="I590" s="81" t="s">
        <v>3119</v>
      </c>
    </row>
    <row r="591" spans="1:9" ht="15" customHeight="1" x14ac:dyDescent="0.35">
      <c r="A591" s="80">
        <v>18</v>
      </c>
      <c r="B591" s="80" t="s">
        <v>283</v>
      </c>
      <c r="C591" s="81" t="s">
        <v>1305</v>
      </c>
      <c r="D591" s="81" t="s">
        <v>1306</v>
      </c>
      <c r="E591" s="80" t="s">
        <v>1276</v>
      </c>
      <c r="F591" s="81" t="s">
        <v>3102</v>
      </c>
      <c r="G591" s="81" t="str">
        <f t="shared" si="18"/>
        <v>Amirhossein HOSSEINZADEH - Iran</v>
      </c>
      <c r="H591" s="81" t="str">
        <f t="shared" si="19"/>
        <v>IRN18</v>
      </c>
      <c r="I591" s="81" t="s">
        <v>3120</v>
      </c>
    </row>
    <row r="592" spans="1:9" ht="15" customHeight="1" x14ac:dyDescent="0.35">
      <c r="A592" s="80">
        <v>19</v>
      </c>
      <c r="B592" s="80" t="s">
        <v>271</v>
      </c>
      <c r="C592" s="81" t="s">
        <v>696</v>
      </c>
      <c r="D592" s="81" t="s">
        <v>1307</v>
      </c>
      <c r="E592" s="80" t="s">
        <v>1276</v>
      </c>
      <c r="F592" s="81" t="s">
        <v>3102</v>
      </c>
      <c r="G592" s="81" t="str">
        <f t="shared" si="18"/>
        <v>Ali NEMATI - Iran</v>
      </c>
      <c r="H592" s="81" t="str">
        <f t="shared" si="19"/>
        <v>IRN19</v>
      </c>
      <c r="I592" s="81" t="s">
        <v>3121</v>
      </c>
    </row>
    <row r="593" spans="1:9" ht="15" customHeight="1" x14ac:dyDescent="0.35">
      <c r="A593" s="80">
        <v>20</v>
      </c>
      <c r="B593" s="80" t="s">
        <v>283</v>
      </c>
      <c r="C593" s="81" t="s">
        <v>1308</v>
      </c>
      <c r="D593" s="81" t="s">
        <v>1309</v>
      </c>
      <c r="E593" s="80" t="s">
        <v>1276</v>
      </c>
      <c r="F593" s="81" t="s">
        <v>3102</v>
      </c>
      <c r="G593" s="81" t="str">
        <f t="shared" si="18"/>
        <v>Shahriyar MOGHANLOO - Iran</v>
      </c>
      <c r="H593" s="81" t="str">
        <f t="shared" si="19"/>
        <v>IRN20</v>
      </c>
      <c r="I593" s="81" t="s">
        <v>3122</v>
      </c>
    </row>
    <row r="594" spans="1:9" ht="15" customHeight="1" x14ac:dyDescent="0.35">
      <c r="A594" s="80">
        <v>21</v>
      </c>
      <c r="B594" s="80" t="s">
        <v>280</v>
      </c>
      <c r="C594" s="81" t="s">
        <v>1288</v>
      </c>
      <c r="D594" s="81" t="s">
        <v>1310</v>
      </c>
      <c r="E594" s="80" t="s">
        <v>1276</v>
      </c>
      <c r="F594" s="81" t="s">
        <v>3102</v>
      </c>
      <c r="G594" s="81" t="str">
        <f t="shared" si="18"/>
        <v>Mohammad GHORBANI - Iran</v>
      </c>
      <c r="H594" s="81" t="str">
        <f t="shared" si="19"/>
        <v>IRN21</v>
      </c>
      <c r="I594" s="81" t="s">
        <v>3123</v>
      </c>
    </row>
    <row r="595" spans="1:9" ht="15" customHeight="1" x14ac:dyDescent="0.35">
      <c r="A595" s="80">
        <v>22</v>
      </c>
      <c r="B595" s="80" t="s">
        <v>267</v>
      </c>
      <c r="C595" s="81" t="s">
        <v>1296</v>
      </c>
      <c r="D595" s="81" t="s">
        <v>1311</v>
      </c>
      <c r="E595" s="80" t="s">
        <v>1276</v>
      </c>
      <c r="F595" s="81" t="s">
        <v>3102</v>
      </c>
      <c r="G595" s="81" t="str">
        <f t="shared" si="18"/>
        <v>Hossein HOSSEINI - Iran</v>
      </c>
      <c r="H595" s="81" t="str">
        <f t="shared" si="19"/>
        <v>IRN22</v>
      </c>
      <c r="I595" s="81" t="s">
        <v>3124</v>
      </c>
    </row>
    <row r="596" spans="1:9" ht="15" customHeight="1" x14ac:dyDescent="0.35">
      <c r="A596" s="80">
        <v>23</v>
      </c>
      <c r="B596" s="80" t="s">
        <v>271</v>
      </c>
      <c r="C596" s="81" t="s">
        <v>1312</v>
      </c>
      <c r="D596" s="81" t="s">
        <v>1313</v>
      </c>
      <c r="E596" s="80" t="s">
        <v>1276</v>
      </c>
      <c r="F596" s="81" t="s">
        <v>3102</v>
      </c>
      <c r="G596" s="81" t="str">
        <f t="shared" si="18"/>
        <v>Ramin REZAEIAN - Iran</v>
      </c>
      <c r="H596" s="81" t="str">
        <f t="shared" si="19"/>
        <v>IRN23</v>
      </c>
      <c r="I596" s="81" t="s">
        <v>3125</v>
      </c>
    </row>
    <row r="597" spans="1:9" ht="15" customHeight="1" x14ac:dyDescent="0.35">
      <c r="A597" s="80">
        <v>24</v>
      </c>
      <c r="B597" s="80" t="s">
        <v>283</v>
      </c>
      <c r="C597" s="81" t="s">
        <v>513</v>
      </c>
      <c r="D597" s="81" t="s">
        <v>1314</v>
      </c>
      <c r="E597" s="80" t="s">
        <v>1276</v>
      </c>
      <c r="F597" s="81" t="s">
        <v>3102</v>
      </c>
      <c r="G597" s="81" t="str">
        <f t="shared" si="18"/>
        <v>Dennis DARGAHI - Iran</v>
      </c>
      <c r="H597" s="81" t="str">
        <f t="shared" si="19"/>
        <v>IRN24</v>
      </c>
      <c r="I597" s="81" t="s">
        <v>3126</v>
      </c>
    </row>
    <row r="598" spans="1:9" ht="15" customHeight="1" x14ac:dyDescent="0.35">
      <c r="A598" s="80">
        <v>25</v>
      </c>
      <c r="B598" s="80" t="s">
        <v>271</v>
      </c>
      <c r="C598" s="81" t="s">
        <v>1315</v>
      </c>
      <c r="D598" s="81" t="s">
        <v>1316</v>
      </c>
      <c r="E598" s="80" t="s">
        <v>1276</v>
      </c>
      <c r="F598" s="81" t="s">
        <v>3102</v>
      </c>
      <c r="G598" s="81" t="str">
        <f t="shared" si="18"/>
        <v>Danial IRI - Iran</v>
      </c>
      <c r="H598" s="81" t="str">
        <f t="shared" si="19"/>
        <v>IRN25</v>
      </c>
      <c r="I598" s="81" t="s">
        <v>3127</v>
      </c>
    </row>
    <row r="599" spans="1:9" ht="15" customHeight="1" x14ac:dyDescent="0.35">
      <c r="A599" s="80">
        <v>26</v>
      </c>
      <c r="B599" s="80" t="s">
        <v>280</v>
      </c>
      <c r="C599" s="81" t="s">
        <v>1317</v>
      </c>
      <c r="D599" s="81" t="s">
        <v>1318</v>
      </c>
      <c r="E599" s="80" t="s">
        <v>1276</v>
      </c>
      <c r="F599" s="81" t="s">
        <v>3102</v>
      </c>
      <c r="G599" s="81" t="str">
        <f t="shared" si="18"/>
        <v>Amirmohammad RAZAGHINIA - Iran</v>
      </c>
      <c r="H599" s="81" t="str">
        <f t="shared" si="19"/>
        <v>IRN26</v>
      </c>
      <c r="I599" s="81" t="s">
        <v>3128</v>
      </c>
    </row>
    <row r="600" spans="1:9" ht="15" customHeight="1" x14ac:dyDescent="0.35">
      <c r="A600" s="82">
        <v>1</v>
      </c>
      <c r="B600" s="82" t="s">
        <v>267</v>
      </c>
      <c r="C600" s="83" t="s">
        <v>1319</v>
      </c>
      <c r="D600" s="83" t="s">
        <v>1320</v>
      </c>
      <c r="E600" s="82" t="s">
        <v>1321</v>
      </c>
      <c r="F600" s="83" t="s">
        <v>3129</v>
      </c>
      <c r="G600" s="83" t="str">
        <f t="shared" si="18"/>
        <v>Fahad TALIB - Iraq</v>
      </c>
      <c r="H600" s="83" t="str">
        <f t="shared" si="19"/>
        <v>IRQ1</v>
      </c>
      <c r="I600" s="83" t="s">
        <v>3130</v>
      </c>
    </row>
    <row r="601" spans="1:9" ht="15" customHeight="1" x14ac:dyDescent="0.35">
      <c r="A601" s="82">
        <v>2</v>
      </c>
      <c r="B601" s="82" t="s">
        <v>271</v>
      </c>
      <c r="C601" s="83" t="s">
        <v>1322</v>
      </c>
      <c r="D601" s="83" t="s">
        <v>1323</v>
      </c>
      <c r="E601" s="82" t="s">
        <v>1321</v>
      </c>
      <c r="F601" s="83" t="s">
        <v>3129</v>
      </c>
      <c r="G601" s="83" t="str">
        <f t="shared" si="18"/>
        <v>Rebin GHAREEB - Iraq</v>
      </c>
      <c r="H601" s="83" t="str">
        <f t="shared" si="19"/>
        <v>IRQ2</v>
      </c>
      <c r="I601" s="83" t="s">
        <v>3131</v>
      </c>
    </row>
    <row r="602" spans="1:9" ht="15" customHeight="1" x14ac:dyDescent="0.35">
      <c r="A602" s="82">
        <v>3</v>
      </c>
      <c r="B602" s="82" t="s">
        <v>271</v>
      </c>
      <c r="C602" s="83" t="s">
        <v>1324</v>
      </c>
      <c r="D602" s="83" t="s">
        <v>1325</v>
      </c>
      <c r="E602" s="82" t="s">
        <v>1321</v>
      </c>
      <c r="F602" s="83" t="s">
        <v>3129</v>
      </c>
      <c r="G602" s="83" t="str">
        <f t="shared" si="18"/>
        <v>Hussein ALI - Iraq</v>
      </c>
      <c r="H602" s="83" t="str">
        <f t="shared" si="19"/>
        <v>IRQ3</v>
      </c>
      <c r="I602" s="83" t="s">
        <v>3132</v>
      </c>
    </row>
    <row r="603" spans="1:9" ht="15" customHeight="1" x14ac:dyDescent="0.35">
      <c r="A603" s="82">
        <v>4</v>
      </c>
      <c r="B603" s="82" t="s">
        <v>271</v>
      </c>
      <c r="C603" s="83" t="s">
        <v>1326</v>
      </c>
      <c r="D603" s="83" t="s">
        <v>1327</v>
      </c>
      <c r="E603" s="82" t="s">
        <v>1321</v>
      </c>
      <c r="F603" s="83" t="s">
        <v>3129</v>
      </c>
      <c r="G603" s="83" t="str">
        <f t="shared" si="18"/>
        <v>Zaid TAHSEEN - Iraq</v>
      </c>
      <c r="H603" s="83" t="str">
        <f t="shared" si="19"/>
        <v>IRQ4</v>
      </c>
      <c r="I603" s="83" t="s">
        <v>3133</v>
      </c>
    </row>
    <row r="604" spans="1:9" ht="15" customHeight="1" x14ac:dyDescent="0.35">
      <c r="A604" s="82">
        <v>5</v>
      </c>
      <c r="B604" s="82" t="s">
        <v>271</v>
      </c>
      <c r="C604" s="83" t="s">
        <v>1328</v>
      </c>
      <c r="D604" s="83" t="s">
        <v>1329</v>
      </c>
      <c r="E604" s="82" t="s">
        <v>1321</v>
      </c>
      <c r="F604" s="83" t="s">
        <v>3129</v>
      </c>
      <c r="G604" s="83" t="str">
        <f t="shared" si="18"/>
        <v>Akam HASHIM - Iraq</v>
      </c>
      <c r="H604" s="83" t="str">
        <f t="shared" si="19"/>
        <v>IRQ5</v>
      </c>
      <c r="I604" s="83" t="s">
        <v>3134</v>
      </c>
    </row>
    <row r="605" spans="1:9" ht="15" customHeight="1" x14ac:dyDescent="0.35">
      <c r="A605" s="82">
        <v>6</v>
      </c>
      <c r="B605" s="82" t="s">
        <v>271</v>
      </c>
      <c r="C605" s="83" t="s">
        <v>1330</v>
      </c>
      <c r="D605" s="83" t="s">
        <v>1331</v>
      </c>
      <c r="E605" s="82" t="s">
        <v>1321</v>
      </c>
      <c r="F605" s="83" t="s">
        <v>3129</v>
      </c>
      <c r="G605" s="83" t="str">
        <f t="shared" si="18"/>
        <v>Munaf YOUNUS - Iraq</v>
      </c>
      <c r="H605" s="83" t="str">
        <f t="shared" si="19"/>
        <v>IRQ6</v>
      </c>
      <c r="I605" s="83" t="s">
        <v>3135</v>
      </c>
    </row>
    <row r="606" spans="1:9" ht="15" customHeight="1" x14ac:dyDescent="0.35">
      <c r="A606" s="82">
        <v>7</v>
      </c>
      <c r="B606" s="82" t="s">
        <v>280</v>
      </c>
      <c r="C606" s="83" t="s">
        <v>1332</v>
      </c>
      <c r="D606" s="83" t="s">
        <v>1333</v>
      </c>
      <c r="E606" s="82" t="s">
        <v>1321</v>
      </c>
      <c r="F606" s="83" t="s">
        <v>3129</v>
      </c>
      <c r="G606" s="83" t="str">
        <f t="shared" si="18"/>
        <v>Youssef AMYN - Iraq</v>
      </c>
      <c r="H606" s="83" t="str">
        <f t="shared" si="19"/>
        <v>IRQ7</v>
      </c>
      <c r="I606" s="83" t="s">
        <v>3136</v>
      </c>
    </row>
    <row r="607" spans="1:9" ht="15" customHeight="1" x14ac:dyDescent="0.35">
      <c r="A607" s="82">
        <v>8</v>
      </c>
      <c r="B607" s="82" t="s">
        <v>280</v>
      </c>
      <c r="C607" s="83" t="s">
        <v>314</v>
      </c>
      <c r="D607" s="83" t="s">
        <v>1334</v>
      </c>
      <c r="E607" s="82" t="s">
        <v>1321</v>
      </c>
      <c r="F607" s="83" t="s">
        <v>3129</v>
      </c>
      <c r="G607" s="83" t="str">
        <f t="shared" si="18"/>
        <v>Ibrahim BAYESH - Iraq</v>
      </c>
      <c r="H607" s="83" t="str">
        <f t="shared" si="19"/>
        <v>IRQ8</v>
      </c>
      <c r="I607" s="83" t="s">
        <v>3137</v>
      </c>
    </row>
    <row r="608" spans="1:9" ht="15" customHeight="1" x14ac:dyDescent="0.35">
      <c r="A608" s="82">
        <v>9</v>
      </c>
      <c r="B608" s="82" t="s">
        <v>283</v>
      </c>
      <c r="C608" s="83" t="s">
        <v>696</v>
      </c>
      <c r="D608" s="83" t="s">
        <v>1335</v>
      </c>
      <c r="E608" s="82" t="s">
        <v>1321</v>
      </c>
      <c r="F608" s="83" t="s">
        <v>3129</v>
      </c>
      <c r="G608" s="83" t="str">
        <f t="shared" si="18"/>
        <v>Ali ALHAMADI - Iraq</v>
      </c>
      <c r="H608" s="83" t="str">
        <f t="shared" si="19"/>
        <v>IRQ9</v>
      </c>
      <c r="I608" s="83" t="s">
        <v>3138</v>
      </c>
    </row>
    <row r="609" spans="1:9" ht="15" customHeight="1" x14ac:dyDescent="0.35">
      <c r="A609" s="82">
        <v>10</v>
      </c>
      <c r="B609" s="82" t="s">
        <v>283</v>
      </c>
      <c r="C609" s="83" t="s">
        <v>1043</v>
      </c>
      <c r="D609" s="83" t="s">
        <v>1325</v>
      </c>
      <c r="E609" s="82" t="s">
        <v>1321</v>
      </c>
      <c r="F609" s="83" t="s">
        <v>3129</v>
      </c>
      <c r="G609" s="83" t="str">
        <f t="shared" si="18"/>
        <v>Mohanad ALI - Iraq</v>
      </c>
      <c r="H609" s="83" t="str">
        <f t="shared" si="19"/>
        <v>IRQ10</v>
      </c>
      <c r="I609" s="83" t="s">
        <v>3139</v>
      </c>
    </row>
    <row r="610" spans="1:9" ht="15" customHeight="1" x14ac:dyDescent="0.35">
      <c r="A610" s="82">
        <v>11</v>
      </c>
      <c r="B610" s="82" t="s">
        <v>283</v>
      </c>
      <c r="C610" s="83" t="s">
        <v>1035</v>
      </c>
      <c r="D610" s="83" t="s">
        <v>1336</v>
      </c>
      <c r="E610" s="82" t="s">
        <v>1321</v>
      </c>
      <c r="F610" s="83" t="s">
        <v>3129</v>
      </c>
      <c r="G610" s="83" t="str">
        <f t="shared" si="18"/>
        <v>Ahmed QASIM - Iraq</v>
      </c>
      <c r="H610" s="83" t="str">
        <f t="shared" si="19"/>
        <v>IRQ11</v>
      </c>
      <c r="I610" s="83" t="s">
        <v>3140</v>
      </c>
    </row>
    <row r="611" spans="1:9" ht="15" customHeight="1" x14ac:dyDescent="0.35">
      <c r="A611" s="82">
        <v>12</v>
      </c>
      <c r="B611" s="82" t="s">
        <v>267</v>
      </c>
      <c r="C611" s="83" t="s">
        <v>1337</v>
      </c>
      <c r="D611" s="83" t="s">
        <v>1034</v>
      </c>
      <c r="E611" s="82" t="s">
        <v>1321</v>
      </c>
      <c r="F611" s="83" t="s">
        <v>3129</v>
      </c>
      <c r="G611" s="83" t="str">
        <f t="shared" si="18"/>
        <v>Jalal HASSAN - Iraq</v>
      </c>
      <c r="H611" s="83" t="str">
        <f t="shared" si="19"/>
        <v>IRQ12</v>
      </c>
      <c r="I611" s="83" t="s">
        <v>3141</v>
      </c>
    </row>
    <row r="612" spans="1:9" ht="15" customHeight="1" x14ac:dyDescent="0.35">
      <c r="A612" s="82">
        <v>13</v>
      </c>
      <c r="B612" s="82" t="s">
        <v>283</v>
      </c>
      <c r="C612" s="83" t="s">
        <v>696</v>
      </c>
      <c r="D612" s="83" t="s">
        <v>1338</v>
      </c>
      <c r="E612" s="82" t="s">
        <v>1321</v>
      </c>
      <c r="F612" s="83" t="s">
        <v>3129</v>
      </c>
      <c r="G612" s="83" t="str">
        <f t="shared" si="18"/>
        <v>Ali YOUSIF - Iraq</v>
      </c>
      <c r="H612" s="83" t="str">
        <f t="shared" si="19"/>
        <v>IRQ13</v>
      </c>
      <c r="I612" s="83" t="s">
        <v>3142</v>
      </c>
    </row>
    <row r="613" spans="1:9" ht="15" customHeight="1" x14ac:dyDescent="0.35">
      <c r="A613" s="82">
        <v>14</v>
      </c>
      <c r="B613" s="82" t="s">
        <v>280</v>
      </c>
      <c r="C613" s="83" t="s">
        <v>1339</v>
      </c>
      <c r="D613" s="83" t="s">
        <v>1340</v>
      </c>
      <c r="E613" s="82" t="s">
        <v>1321</v>
      </c>
      <c r="F613" s="83" t="s">
        <v>3129</v>
      </c>
      <c r="G613" s="83" t="str">
        <f t="shared" si="18"/>
        <v>Zidane IQBAL - Iraq</v>
      </c>
      <c r="H613" s="83" t="str">
        <f t="shared" si="19"/>
        <v>IRQ14</v>
      </c>
      <c r="I613" s="83" t="s">
        <v>3143</v>
      </c>
    </row>
    <row r="614" spans="1:9" ht="15" customHeight="1" x14ac:dyDescent="0.35">
      <c r="A614" s="82">
        <v>15</v>
      </c>
      <c r="B614" s="82" t="s">
        <v>271</v>
      </c>
      <c r="C614" s="83" t="s">
        <v>1035</v>
      </c>
      <c r="D614" s="83" t="s">
        <v>2503</v>
      </c>
      <c r="E614" s="82" t="s">
        <v>1321</v>
      </c>
      <c r="F614" s="83" t="s">
        <v>3129</v>
      </c>
      <c r="G614" s="83" t="str">
        <f t="shared" si="18"/>
        <v>Ahmed MAKNZI - Iraq</v>
      </c>
      <c r="H614" s="83" t="str">
        <f t="shared" si="19"/>
        <v>IRQ15</v>
      </c>
      <c r="I614" s="83" t="s">
        <v>3801</v>
      </c>
    </row>
    <row r="615" spans="1:9" ht="15" customHeight="1" x14ac:dyDescent="0.35">
      <c r="A615" s="82">
        <v>16</v>
      </c>
      <c r="B615" s="82" t="s">
        <v>280</v>
      </c>
      <c r="C615" s="83" t="s">
        <v>537</v>
      </c>
      <c r="D615" s="83" t="s">
        <v>1342</v>
      </c>
      <c r="E615" s="82" t="s">
        <v>1321</v>
      </c>
      <c r="F615" s="83" t="s">
        <v>3129</v>
      </c>
      <c r="G615" s="83" t="str">
        <f t="shared" si="18"/>
        <v>Amir ALAMMARI - Iraq</v>
      </c>
      <c r="H615" s="83" t="str">
        <f t="shared" si="19"/>
        <v>IRQ16</v>
      </c>
      <c r="I615" s="83" t="s">
        <v>3144</v>
      </c>
    </row>
    <row r="616" spans="1:9" ht="15" customHeight="1" x14ac:dyDescent="0.35">
      <c r="A616" s="82">
        <v>17</v>
      </c>
      <c r="B616" s="82" t="s">
        <v>283</v>
      </c>
      <c r="C616" s="83" t="s">
        <v>696</v>
      </c>
      <c r="D616" s="83" t="s">
        <v>1343</v>
      </c>
      <c r="E616" s="82" t="s">
        <v>1321</v>
      </c>
      <c r="F616" s="83" t="s">
        <v>3129</v>
      </c>
      <c r="G616" s="83" t="str">
        <f t="shared" si="18"/>
        <v>Ali JASIM - Iraq</v>
      </c>
      <c r="H616" s="83" t="str">
        <f t="shared" si="19"/>
        <v>IRQ17</v>
      </c>
      <c r="I616" s="83" t="s">
        <v>3145</v>
      </c>
    </row>
    <row r="617" spans="1:9" ht="15" customHeight="1" x14ac:dyDescent="0.35">
      <c r="A617" s="82">
        <v>18</v>
      </c>
      <c r="B617" s="82" t="s">
        <v>283</v>
      </c>
      <c r="C617" s="83" t="s">
        <v>1344</v>
      </c>
      <c r="D617" s="83" t="s">
        <v>1345</v>
      </c>
      <c r="E617" s="82" t="s">
        <v>1321</v>
      </c>
      <c r="F617" s="83" t="s">
        <v>3129</v>
      </c>
      <c r="G617" s="83" t="str">
        <f t="shared" si="18"/>
        <v>Aymen HUSSEIN - Iraq</v>
      </c>
      <c r="H617" s="83" t="str">
        <f t="shared" si="19"/>
        <v>IRQ18</v>
      </c>
      <c r="I617" s="83" t="s">
        <v>3146</v>
      </c>
    </row>
    <row r="618" spans="1:9" ht="15" customHeight="1" x14ac:dyDescent="0.35">
      <c r="A618" s="82">
        <v>19</v>
      </c>
      <c r="B618" s="82" t="s">
        <v>280</v>
      </c>
      <c r="C618" s="83" t="s">
        <v>423</v>
      </c>
      <c r="D618" s="83" t="s">
        <v>1346</v>
      </c>
      <c r="E618" s="82" t="s">
        <v>1321</v>
      </c>
      <c r="F618" s="83" t="s">
        <v>3129</v>
      </c>
      <c r="G618" s="83" t="str">
        <f t="shared" si="18"/>
        <v>Kevin YAKOB - Iraq</v>
      </c>
      <c r="H618" s="83" t="str">
        <f t="shared" si="19"/>
        <v>IRQ19</v>
      </c>
      <c r="I618" s="83" t="s">
        <v>3147</v>
      </c>
    </row>
    <row r="619" spans="1:9" ht="15" customHeight="1" x14ac:dyDescent="0.35">
      <c r="A619" s="82">
        <v>20</v>
      </c>
      <c r="B619" s="82" t="s">
        <v>280</v>
      </c>
      <c r="C619" s="83" t="s">
        <v>1347</v>
      </c>
      <c r="D619" s="83" t="s">
        <v>1348</v>
      </c>
      <c r="E619" s="82" t="s">
        <v>1321</v>
      </c>
      <c r="F619" s="83" t="s">
        <v>3129</v>
      </c>
      <c r="G619" s="83" t="str">
        <f t="shared" si="18"/>
        <v>Aimar SHER - Iraq</v>
      </c>
      <c r="H619" s="83" t="str">
        <f t="shared" si="19"/>
        <v>IRQ20</v>
      </c>
      <c r="I619" s="83" t="s">
        <v>3148</v>
      </c>
    </row>
    <row r="620" spans="1:9" ht="15" customHeight="1" x14ac:dyDescent="0.35">
      <c r="A620" s="82">
        <v>21</v>
      </c>
      <c r="B620" s="82" t="s">
        <v>283</v>
      </c>
      <c r="C620" s="83" t="s">
        <v>429</v>
      </c>
      <c r="D620" s="83" t="s">
        <v>1349</v>
      </c>
      <c r="E620" s="82" t="s">
        <v>1321</v>
      </c>
      <c r="F620" s="83" t="s">
        <v>3129</v>
      </c>
      <c r="G620" s="83" t="str">
        <f t="shared" si="18"/>
        <v>Marko FARJI - Iraq</v>
      </c>
      <c r="H620" s="83" t="str">
        <f t="shared" si="19"/>
        <v>IRQ21</v>
      </c>
      <c r="I620" s="83" t="s">
        <v>3149</v>
      </c>
    </row>
    <row r="621" spans="1:9" ht="15" customHeight="1" x14ac:dyDescent="0.35">
      <c r="A621" s="82">
        <v>22</v>
      </c>
      <c r="B621" s="82" t="s">
        <v>267</v>
      </c>
      <c r="C621" s="83" t="s">
        <v>1035</v>
      </c>
      <c r="D621" s="83" t="s">
        <v>1350</v>
      </c>
      <c r="E621" s="82" t="s">
        <v>1321</v>
      </c>
      <c r="F621" s="83" t="s">
        <v>3129</v>
      </c>
      <c r="G621" s="83" t="str">
        <f t="shared" si="18"/>
        <v>Ahmed BASIL - Iraq</v>
      </c>
      <c r="H621" s="83" t="str">
        <f t="shared" si="19"/>
        <v>IRQ22</v>
      </c>
      <c r="I621" s="83" t="s">
        <v>3150</v>
      </c>
    </row>
    <row r="622" spans="1:9" ht="15" customHeight="1" x14ac:dyDescent="0.35">
      <c r="A622" s="82">
        <v>23</v>
      </c>
      <c r="B622" s="82" t="s">
        <v>271</v>
      </c>
      <c r="C622" s="83" t="s">
        <v>1351</v>
      </c>
      <c r="D622" s="83" t="s">
        <v>1352</v>
      </c>
      <c r="E622" s="82" t="s">
        <v>1321</v>
      </c>
      <c r="F622" s="83" t="s">
        <v>3129</v>
      </c>
      <c r="G622" s="83" t="str">
        <f t="shared" si="18"/>
        <v>Merchas DOSKI - Iraq</v>
      </c>
      <c r="H622" s="83" t="str">
        <f t="shared" si="19"/>
        <v>IRQ23</v>
      </c>
      <c r="I622" s="83" t="s">
        <v>3151</v>
      </c>
    </row>
    <row r="623" spans="1:9" ht="15" customHeight="1" x14ac:dyDescent="0.35">
      <c r="A623" s="82">
        <v>24</v>
      </c>
      <c r="B623" s="82" t="s">
        <v>280</v>
      </c>
      <c r="C623" s="83" t="s">
        <v>1326</v>
      </c>
      <c r="D623" s="83" t="s">
        <v>1353</v>
      </c>
      <c r="E623" s="82" t="s">
        <v>1321</v>
      </c>
      <c r="F623" s="83" t="s">
        <v>3129</v>
      </c>
      <c r="G623" s="83" t="str">
        <f t="shared" si="18"/>
        <v>Zaid ISMAEL - Iraq</v>
      </c>
      <c r="H623" s="83" t="str">
        <f t="shared" si="19"/>
        <v>IRQ24</v>
      </c>
      <c r="I623" s="83" t="s">
        <v>3152</v>
      </c>
    </row>
    <row r="624" spans="1:9" ht="15" customHeight="1" x14ac:dyDescent="0.35">
      <c r="A624" s="82">
        <v>25</v>
      </c>
      <c r="B624" s="82" t="s">
        <v>271</v>
      </c>
      <c r="C624" s="83" t="s">
        <v>1354</v>
      </c>
      <c r="D624" s="83" t="s">
        <v>1355</v>
      </c>
      <c r="E624" s="82" t="s">
        <v>1321</v>
      </c>
      <c r="F624" s="83" t="s">
        <v>3129</v>
      </c>
      <c r="G624" s="83" t="str">
        <f t="shared" si="18"/>
        <v>Mustafa SAADOON - Iraq</v>
      </c>
      <c r="H624" s="83" t="str">
        <f t="shared" si="19"/>
        <v>IRQ25</v>
      </c>
      <c r="I624" s="83" t="s">
        <v>3153</v>
      </c>
    </row>
    <row r="625" spans="1:9" ht="15" customHeight="1" x14ac:dyDescent="0.35">
      <c r="A625" s="82">
        <v>26</v>
      </c>
      <c r="B625" s="82" t="s">
        <v>271</v>
      </c>
      <c r="C625" s="83" t="s">
        <v>1356</v>
      </c>
      <c r="D625" s="83" t="s">
        <v>1357</v>
      </c>
      <c r="E625" s="82" t="s">
        <v>1321</v>
      </c>
      <c r="F625" s="83" t="s">
        <v>3129</v>
      </c>
      <c r="G625" s="83" t="str">
        <f t="shared" si="18"/>
        <v>Frans PUTROS - Iraq</v>
      </c>
      <c r="H625" s="83" t="str">
        <f t="shared" si="19"/>
        <v>IRQ26</v>
      </c>
      <c r="I625" s="83" t="s">
        <v>3154</v>
      </c>
    </row>
    <row r="626" spans="1:9" ht="15" customHeight="1" x14ac:dyDescent="0.35">
      <c r="A626" s="84">
        <v>1</v>
      </c>
      <c r="B626" s="84" t="s">
        <v>267</v>
      </c>
      <c r="C626" s="85" t="s">
        <v>1358</v>
      </c>
      <c r="D626" s="85" t="s">
        <v>1359</v>
      </c>
      <c r="E626" s="84" t="s">
        <v>1360</v>
      </c>
      <c r="F626" s="85" t="s">
        <v>3155</v>
      </c>
      <c r="G626" s="85" t="str">
        <f t="shared" si="18"/>
        <v>Zion SUZUKI - Japan</v>
      </c>
      <c r="H626" s="85" t="str">
        <f t="shared" si="19"/>
        <v>JPN1</v>
      </c>
      <c r="I626" s="85" t="s">
        <v>3156</v>
      </c>
    </row>
    <row r="627" spans="1:9" ht="15" customHeight="1" x14ac:dyDescent="0.35">
      <c r="A627" s="84">
        <v>2</v>
      </c>
      <c r="B627" s="84" t="s">
        <v>271</v>
      </c>
      <c r="C627" s="85" t="s">
        <v>1361</v>
      </c>
      <c r="D627" s="85" t="s">
        <v>1362</v>
      </c>
      <c r="E627" s="84" t="s">
        <v>1360</v>
      </c>
      <c r="F627" s="85" t="s">
        <v>3155</v>
      </c>
      <c r="G627" s="85" t="str">
        <f t="shared" si="18"/>
        <v>Yukinari SUGAWARA - Japan</v>
      </c>
      <c r="H627" s="85" t="str">
        <f t="shared" si="19"/>
        <v>JPN2</v>
      </c>
      <c r="I627" s="85" t="s">
        <v>3157</v>
      </c>
    </row>
    <row r="628" spans="1:9" ht="15" customHeight="1" x14ac:dyDescent="0.35">
      <c r="A628" s="84">
        <v>3</v>
      </c>
      <c r="B628" s="84" t="s">
        <v>271</v>
      </c>
      <c r="C628" s="85" t="s">
        <v>1363</v>
      </c>
      <c r="D628" s="85" t="s">
        <v>1364</v>
      </c>
      <c r="E628" s="84" t="s">
        <v>1360</v>
      </c>
      <c r="F628" s="85" t="s">
        <v>3155</v>
      </c>
      <c r="G628" s="85" t="str">
        <f t="shared" si="18"/>
        <v>Shogo TANIGUCHI - Japan</v>
      </c>
      <c r="H628" s="85" t="str">
        <f t="shared" si="19"/>
        <v>JPN3</v>
      </c>
      <c r="I628" s="85" t="s">
        <v>3158</v>
      </c>
    </row>
    <row r="629" spans="1:9" ht="15" customHeight="1" x14ac:dyDescent="0.35">
      <c r="A629" s="84">
        <v>4</v>
      </c>
      <c r="B629" s="84" t="s">
        <v>271</v>
      </c>
      <c r="C629" s="85" t="s">
        <v>1365</v>
      </c>
      <c r="D629" s="85" t="s">
        <v>1366</v>
      </c>
      <c r="E629" s="84" t="s">
        <v>1360</v>
      </c>
      <c r="F629" s="85" t="s">
        <v>3155</v>
      </c>
      <c r="G629" s="85" t="str">
        <f t="shared" si="18"/>
        <v>Kou ITAKURA - Japan</v>
      </c>
      <c r="H629" s="85" t="str">
        <f t="shared" si="19"/>
        <v>JPN4</v>
      </c>
      <c r="I629" s="85" t="s">
        <v>3159</v>
      </c>
    </row>
    <row r="630" spans="1:9" ht="15" customHeight="1" x14ac:dyDescent="0.35">
      <c r="A630" s="84">
        <v>5</v>
      </c>
      <c r="B630" s="84" t="s">
        <v>271</v>
      </c>
      <c r="C630" s="85" t="s">
        <v>1367</v>
      </c>
      <c r="D630" s="85" t="s">
        <v>1368</v>
      </c>
      <c r="E630" s="84" t="s">
        <v>1360</v>
      </c>
      <c r="F630" s="85" t="s">
        <v>3155</v>
      </c>
      <c r="G630" s="85" t="str">
        <f t="shared" si="18"/>
        <v>Yuto NAGATOMO - Japan</v>
      </c>
      <c r="H630" s="85" t="str">
        <f t="shared" si="19"/>
        <v>JPN5</v>
      </c>
      <c r="I630" s="85" t="s">
        <v>3160</v>
      </c>
    </row>
    <row r="631" spans="1:9" ht="15" customHeight="1" x14ac:dyDescent="0.35">
      <c r="A631" s="84">
        <v>6</v>
      </c>
      <c r="B631" s="84" t="s">
        <v>280</v>
      </c>
      <c r="C631" s="85" t="s">
        <v>2498</v>
      </c>
      <c r="D631" s="85" t="s">
        <v>2499</v>
      </c>
      <c r="E631" s="84" t="s">
        <v>1360</v>
      </c>
      <c r="F631" s="85" t="s">
        <v>3155</v>
      </c>
      <c r="G631" s="85" t="str">
        <f t="shared" si="18"/>
        <v>Shuto MACHINO - Japan</v>
      </c>
      <c r="H631" s="85" t="str">
        <f t="shared" si="19"/>
        <v>JPN6</v>
      </c>
      <c r="I631" s="85" t="s">
        <v>3802</v>
      </c>
    </row>
    <row r="632" spans="1:9" ht="15" customHeight="1" x14ac:dyDescent="0.35">
      <c r="A632" s="84">
        <v>7</v>
      </c>
      <c r="B632" s="84" t="s">
        <v>280</v>
      </c>
      <c r="C632" s="85" t="s">
        <v>1369</v>
      </c>
      <c r="D632" s="85" t="s">
        <v>1370</v>
      </c>
      <c r="E632" s="84" t="s">
        <v>1360</v>
      </c>
      <c r="F632" s="85" t="s">
        <v>3155</v>
      </c>
      <c r="G632" s="85" t="str">
        <f t="shared" si="18"/>
        <v>Ao TANAKA - Japan</v>
      </c>
      <c r="H632" s="85" t="str">
        <f t="shared" si="19"/>
        <v>JPN7</v>
      </c>
      <c r="I632" s="85" t="s">
        <v>3161</v>
      </c>
    </row>
    <row r="633" spans="1:9" ht="15" customHeight="1" x14ac:dyDescent="0.35">
      <c r="A633" s="84">
        <v>8</v>
      </c>
      <c r="B633" s="84" t="s">
        <v>280</v>
      </c>
      <c r="C633" s="85" t="s">
        <v>1371</v>
      </c>
      <c r="D633" s="85" t="s">
        <v>1372</v>
      </c>
      <c r="E633" s="84" t="s">
        <v>1360</v>
      </c>
      <c r="F633" s="85" t="s">
        <v>3155</v>
      </c>
      <c r="G633" s="85" t="str">
        <f t="shared" si="18"/>
        <v>Takefusa KUBO - Japan</v>
      </c>
      <c r="H633" s="85" t="str">
        <f t="shared" si="19"/>
        <v>JPN8</v>
      </c>
      <c r="I633" s="85" t="s">
        <v>3162</v>
      </c>
    </row>
    <row r="634" spans="1:9" ht="15" customHeight="1" x14ac:dyDescent="0.35">
      <c r="A634" s="84">
        <v>9</v>
      </c>
      <c r="B634" s="84" t="s">
        <v>283</v>
      </c>
      <c r="C634" s="85" t="s">
        <v>1373</v>
      </c>
      <c r="D634" s="85" t="s">
        <v>1374</v>
      </c>
      <c r="E634" s="84" t="s">
        <v>1360</v>
      </c>
      <c r="F634" s="85" t="s">
        <v>3155</v>
      </c>
      <c r="G634" s="85" t="str">
        <f t="shared" si="18"/>
        <v>Keisuke GOTO - Japan</v>
      </c>
      <c r="H634" s="85" t="str">
        <f t="shared" si="19"/>
        <v>JPN9</v>
      </c>
      <c r="I634" s="85" t="s">
        <v>3163</v>
      </c>
    </row>
    <row r="635" spans="1:9" ht="15" customHeight="1" x14ac:dyDescent="0.35">
      <c r="A635" s="84">
        <v>10</v>
      </c>
      <c r="B635" s="84" t="s">
        <v>280</v>
      </c>
      <c r="C635" s="85" t="s">
        <v>1375</v>
      </c>
      <c r="D635" s="85" t="s">
        <v>1376</v>
      </c>
      <c r="E635" s="84" t="s">
        <v>1360</v>
      </c>
      <c r="F635" s="85" t="s">
        <v>3155</v>
      </c>
      <c r="G635" s="85" t="str">
        <f t="shared" si="18"/>
        <v>Ritsu DOAN - Japan</v>
      </c>
      <c r="H635" s="85" t="str">
        <f t="shared" si="19"/>
        <v>JPN10</v>
      </c>
      <c r="I635" s="85" t="s">
        <v>3164</v>
      </c>
    </row>
    <row r="636" spans="1:9" ht="15" customHeight="1" x14ac:dyDescent="0.35">
      <c r="A636" s="84">
        <v>11</v>
      </c>
      <c r="B636" s="84" t="s">
        <v>280</v>
      </c>
      <c r="C636" s="85" t="s">
        <v>1377</v>
      </c>
      <c r="D636" s="85" t="s">
        <v>1378</v>
      </c>
      <c r="E636" s="84" t="s">
        <v>1360</v>
      </c>
      <c r="F636" s="85" t="s">
        <v>3155</v>
      </c>
      <c r="G636" s="85" t="str">
        <f t="shared" si="18"/>
        <v>Daizen MAEDA - Japan</v>
      </c>
      <c r="H636" s="85" t="str">
        <f t="shared" si="19"/>
        <v>JPN11</v>
      </c>
      <c r="I636" s="85" t="s">
        <v>3165</v>
      </c>
    </row>
    <row r="637" spans="1:9" ht="15" customHeight="1" x14ac:dyDescent="0.35">
      <c r="A637" s="84">
        <v>12</v>
      </c>
      <c r="B637" s="84" t="s">
        <v>267</v>
      </c>
      <c r="C637" s="85" t="s">
        <v>1373</v>
      </c>
      <c r="D637" s="85" t="s">
        <v>1379</v>
      </c>
      <c r="E637" s="84" t="s">
        <v>1360</v>
      </c>
      <c r="F637" s="85" t="s">
        <v>3155</v>
      </c>
      <c r="G637" s="85" t="str">
        <f t="shared" si="18"/>
        <v>Keisuke OSAKO - Japan</v>
      </c>
      <c r="H637" s="85" t="str">
        <f t="shared" si="19"/>
        <v>JPN12</v>
      </c>
      <c r="I637" s="85" t="s">
        <v>3166</v>
      </c>
    </row>
    <row r="638" spans="1:9" ht="15" customHeight="1" x14ac:dyDescent="0.35">
      <c r="A638" s="84">
        <v>13</v>
      </c>
      <c r="B638" s="84" t="s">
        <v>280</v>
      </c>
      <c r="C638" s="85" t="s">
        <v>1380</v>
      </c>
      <c r="D638" s="85" t="s">
        <v>1381</v>
      </c>
      <c r="E638" s="84" t="s">
        <v>1360</v>
      </c>
      <c r="F638" s="85" t="s">
        <v>3155</v>
      </c>
      <c r="G638" s="85" t="str">
        <f t="shared" si="18"/>
        <v>Keito NAKAMURA - Japan</v>
      </c>
      <c r="H638" s="85" t="str">
        <f t="shared" si="19"/>
        <v>JPN13</v>
      </c>
      <c r="I638" s="85" t="s">
        <v>3167</v>
      </c>
    </row>
    <row r="639" spans="1:9" ht="15" customHeight="1" x14ac:dyDescent="0.35">
      <c r="A639" s="84">
        <v>14</v>
      </c>
      <c r="B639" s="84" t="s">
        <v>280</v>
      </c>
      <c r="C639" s="85" t="s">
        <v>1382</v>
      </c>
      <c r="D639" s="85" t="s">
        <v>1383</v>
      </c>
      <c r="E639" s="84" t="s">
        <v>1360</v>
      </c>
      <c r="F639" s="85" t="s">
        <v>3155</v>
      </c>
      <c r="G639" s="85" t="str">
        <f t="shared" si="18"/>
        <v>Junya ITO - Japan</v>
      </c>
      <c r="H639" s="85" t="str">
        <f t="shared" si="19"/>
        <v>JPN14</v>
      </c>
      <c r="I639" s="85" t="s">
        <v>3168</v>
      </c>
    </row>
    <row r="640" spans="1:9" ht="15" customHeight="1" x14ac:dyDescent="0.35">
      <c r="A640" s="84">
        <v>15</v>
      </c>
      <c r="B640" s="84" t="s">
        <v>280</v>
      </c>
      <c r="C640" s="85" t="s">
        <v>1384</v>
      </c>
      <c r="D640" s="85" t="s">
        <v>1385</v>
      </c>
      <c r="E640" s="84" t="s">
        <v>1360</v>
      </c>
      <c r="F640" s="85" t="s">
        <v>3155</v>
      </c>
      <c r="G640" s="85" t="str">
        <f t="shared" si="18"/>
        <v>Daichi KAMADA - Japan</v>
      </c>
      <c r="H640" s="85" t="str">
        <f t="shared" si="19"/>
        <v>JPN15</v>
      </c>
      <c r="I640" s="85" t="s">
        <v>3169</v>
      </c>
    </row>
    <row r="641" spans="1:9" ht="15" customHeight="1" x14ac:dyDescent="0.35">
      <c r="A641" s="84">
        <v>16</v>
      </c>
      <c r="B641" s="84" t="s">
        <v>271</v>
      </c>
      <c r="C641" s="85" t="s">
        <v>1386</v>
      </c>
      <c r="D641" s="85" t="s">
        <v>1387</v>
      </c>
      <c r="E641" s="84" t="s">
        <v>1360</v>
      </c>
      <c r="F641" s="85" t="s">
        <v>3155</v>
      </c>
      <c r="G641" s="85" t="str">
        <f t="shared" si="18"/>
        <v>Tsuyoshi WATANABE - Japan</v>
      </c>
      <c r="H641" s="85" t="str">
        <f t="shared" si="19"/>
        <v>JPN16</v>
      </c>
      <c r="I641" s="85" t="s">
        <v>3170</v>
      </c>
    </row>
    <row r="642" spans="1:9" ht="15" customHeight="1" x14ac:dyDescent="0.35">
      <c r="A642" s="84">
        <v>17</v>
      </c>
      <c r="B642" s="84" t="s">
        <v>280</v>
      </c>
      <c r="C642" s="85" t="s">
        <v>1388</v>
      </c>
      <c r="D642" s="85" t="s">
        <v>1359</v>
      </c>
      <c r="E642" s="84" t="s">
        <v>1360</v>
      </c>
      <c r="F642" s="85" t="s">
        <v>3155</v>
      </c>
      <c r="G642" s="85" t="str">
        <f t="shared" si="18"/>
        <v>Yuito SUZUKI - Japan</v>
      </c>
      <c r="H642" s="85" t="str">
        <f t="shared" si="19"/>
        <v>JPN17</v>
      </c>
      <c r="I642" s="85" t="s">
        <v>3171</v>
      </c>
    </row>
    <row r="643" spans="1:9" ht="15" customHeight="1" x14ac:dyDescent="0.35">
      <c r="A643" s="84">
        <v>18</v>
      </c>
      <c r="B643" s="84" t="s">
        <v>283</v>
      </c>
      <c r="C643" s="85" t="s">
        <v>1389</v>
      </c>
      <c r="D643" s="85" t="s">
        <v>1390</v>
      </c>
      <c r="E643" s="84" t="s">
        <v>1360</v>
      </c>
      <c r="F643" s="85" t="s">
        <v>3155</v>
      </c>
      <c r="G643" s="85" t="str">
        <f t="shared" ref="G643:G706" si="20">_xlfn.CONCAT(C643, " ",D643, " - ",F643)</f>
        <v>Ayase UEDA - Japan</v>
      </c>
      <c r="H643" s="85" t="str">
        <f t="shared" ref="H643:H706" si="21">_xlfn.CONCAT(E643,A643)</f>
        <v>JPN18</v>
      </c>
      <c r="I643" s="85" t="s">
        <v>3172</v>
      </c>
    </row>
    <row r="644" spans="1:9" ht="15" customHeight="1" x14ac:dyDescent="0.35">
      <c r="A644" s="84">
        <v>19</v>
      </c>
      <c r="B644" s="84" t="s">
        <v>283</v>
      </c>
      <c r="C644" s="85" t="s">
        <v>1391</v>
      </c>
      <c r="D644" s="85" t="s">
        <v>1392</v>
      </c>
      <c r="E644" s="84" t="s">
        <v>1360</v>
      </c>
      <c r="F644" s="85" t="s">
        <v>3155</v>
      </c>
      <c r="G644" s="85" t="str">
        <f t="shared" si="20"/>
        <v>Koki OGAWA - Japan</v>
      </c>
      <c r="H644" s="85" t="str">
        <f t="shared" si="21"/>
        <v>JPN19</v>
      </c>
      <c r="I644" s="85" t="s">
        <v>3173</v>
      </c>
    </row>
    <row r="645" spans="1:9" ht="15" customHeight="1" x14ac:dyDescent="0.35">
      <c r="A645" s="84">
        <v>20</v>
      </c>
      <c r="B645" s="84" t="s">
        <v>271</v>
      </c>
      <c r="C645" s="85" t="s">
        <v>1393</v>
      </c>
      <c r="D645" s="85" t="s">
        <v>1394</v>
      </c>
      <c r="E645" s="84" t="s">
        <v>1360</v>
      </c>
      <c r="F645" s="85" t="s">
        <v>3155</v>
      </c>
      <c r="G645" s="85" t="str">
        <f t="shared" si="20"/>
        <v>Ayumu SEKO - Japan</v>
      </c>
      <c r="H645" s="85" t="str">
        <f t="shared" si="21"/>
        <v>JPN20</v>
      </c>
      <c r="I645" s="85" t="s">
        <v>3174</v>
      </c>
    </row>
    <row r="646" spans="1:9" ht="15" customHeight="1" x14ac:dyDescent="0.35">
      <c r="A646" s="84">
        <v>21</v>
      </c>
      <c r="B646" s="84" t="s">
        <v>271</v>
      </c>
      <c r="C646" s="85" t="s">
        <v>1395</v>
      </c>
      <c r="D646" s="85" t="s">
        <v>1383</v>
      </c>
      <c r="E646" s="84" t="s">
        <v>1360</v>
      </c>
      <c r="F646" s="85" t="s">
        <v>3155</v>
      </c>
      <c r="G646" s="85" t="str">
        <f t="shared" si="20"/>
        <v>Hiroki ITO - Japan</v>
      </c>
      <c r="H646" s="85" t="str">
        <f t="shared" si="21"/>
        <v>JPN21</v>
      </c>
      <c r="I646" s="85" t="s">
        <v>3175</v>
      </c>
    </row>
    <row r="647" spans="1:9" ht="15" customHeight="1" x14ac:dyDescent="0.35">
      <c r="A647" s="84">
        <v>22</v>
      </c>
      <c r="B647" s="84" t="s">
        <v>271</v>
      </c>
      <c r="C647" s="85" t="s">
        <v>1396</v>
      </c>
      <c r="D647" s="85" t="s">
        <v>1397</v>
      </c>
      <c r="E647" s="84" t="s">
        <v>1360</v>
      </c>
      <c r="F647" s="85" t="s">
        <v>3155</v>
      </c>
      <c r="G647" s="85" t="str">
        <f t="shared" si="20"/>
        <v>Takehiro TOMIYASU - Japan</v>
      </c>
      <c r="H647" s="85" t="str">
        <f t="shared" si="21"/>
        <v>JPN22</v>
      </c>
      <c r="I647" s="85" t="s">
        <v>3176</v>
      </c>
    </row>
    <row r="648" spans="1:9" ht="15" customHeight="1" x14ac:dyDescent="0.35">
      <c r="A648" s="84">
        <v>23</v>
      </c>
      <c r="B648" s="84" t="s">
        <v>267</v>
      </c>
      <c r="C648" s="85" t="s">
        <v>1398</v>
      </c>
      <c r="D648" s="85" t="s">
        <v>1399</v>
      </c>
      <c r="E648" s="84" t="s">
        <v>1360</v>
      </c>
      <c r="F648" s="85" t="s">
        <v>3155</v>
      </c>
      <c r="G648" s="85" t="str">
        <f t="shared" si="20"/>
        <v>Tomoki HAYAKAWA - Japan</v>
      </c>
      <c r="H648" s="85" t="str">
        <f t="shared" si="21"/>
        <v>JPN23</v>
      </c>
      <c r="I648" s="85" t="s">
        <v>3177</v>
      </c>
    </row>
    <row r="649" spans="1:9" ht="15" customHeight="1" x14ac:dyDescent="0.35">
      <c r="A649" s="84">
        <v>24</v>
      </c>
      <c r="B649" s="84" t="s">
        <v>280</v>
      </c>
      <c r="C649" s="85" t="s">
        <v>1400</v>
      </c>
      <c r="D649" s="85" t="s">
        <v>1401</v>
      </c>
      <c r="E649" s="84" t="s">
        <v>1360</v>
      </c>
      <c r="F649" s="85" t="s">
        <v>3155</v>
      </c>
      <c r="G649" s="85" t="str">
        <f t="shared" si="20"/>
        <v>Kaishu SANO - Japan</v>
      </c>
      <c r="H649" s="85" t="str">
        <f t="shared" si="21"/>
        <v>JPN24</v>
      </c>
      <c r="I649" s="85" t="s">
        <v>3178</v>
      </c>
    </row>
    <row r="650" spans="1:9" ht="15" customHeight="1" x14ac:dyDescent="0.35">
      <c r="A650" s="84">
        <v>25</v>
      </c>
      <c r="B650" s="84" t="s">
        <v>271</v>
      </c>
      <c r="C650" s="85" t="s">
        <v>1402</v>
      </c>
      <c r="D650" s="85" t="s">
        <v>1359</v>
      </c>
      <c r="E650" s="84" t="s">
        <v>1360</v>
      </c>
      <c r="F650" s="85" t="s">
        <v>3155</v>
      </c>
      <c r="G650" s="85" t="str">
        <f t="shared" si="20"/>
        <v>Junnosuke SUZUKI - Japan</v>
      </c>
      <c r="H650" s="85" t="str">
        <f t="shared" si="21"/>
        <v>JPN25</v>
      </c>
      <c r="I650" s="85" t="s">
        <v>3179</v>
      </c>
    </row>
    <row r="651" spans="1:9" ht="15" customHeight="1" x14ac:dyDescent="0.35">
      <c r="A651" s="84">
        <v>26</v>
      </c>
      <c r="B651" s="84" t="s">
        <v>283</v>
      </c>
      <c r="C651" s="85" t="s">
        <v>1403</v>
      </c>
      <c r="D651" s="85" t="s">
        <v>1404</v>
      </c>
      <c r="E651" s="84" t="s">
        <v>1360</v>
      </c>
      <c r="F651" s="85" t="s">
        <v>3155</v>
      </c>
      <c r="G651" s="85" t="str">
        <f t="shared" si="20"/>
        <v>Kento SHIOGAI - Japan</v>
      </c>
      <c r="H651" s="85" t="str">
        <f t="shared" si="21"/>
        <v>JPN26</v>
      </c>
      <c r="I651" s="85" t="s">
        <v>3180</v>
      </c>
    </row>
    <row r="652" spans="1:9" ht="15" customHeight="1" x14ac:dyDescent="0.35">
      <c r="A652" s="86">
        <v>1</v>
      </c>
      <c r="B652" s="86" t="s">
        <v>267</v>
      </c>
      <c r="C652" s="87" t="s">
        <v>1405</v>
      </c>
      <c r="D652" s="87" t="s">
        <v>1406</v>
      </c>
      <c r="E652" s="86" t="s">
        <v>1407</v>
      </c>
      <c r="F652" s="87" t="s">
        <v>379</v>
      </c>
      <c r="G652" s="87" t="str">
        <f t="shared" si="20"/>
        <v>Yazeed ABULAILA - Jordan</v>
      </c>
      <c r="H652" s="87" t="str">
        <f t="shared" si="21"/>
        <v>JOR1</v>
      </c>
      <c r="I652" s="87" t="s">
        <v>3181</v>
      </c>
    </row>
    <row r="653" spans="1:9" ht="15" customHeight="1" x14ac:dyDescent="0.35">
      <c r="A653" s="86">
        <v>2</v>
      </c>
      <c r="B653" s="86" t="s">
        <v>271</v>
      </c>
      <c r="C653" s="87" t="s">
        <v>1288</v>
      </c>
      <c r="D653" s="87" t="s">
        <v>1408</v>
      </c>
      <c r="E653" s="86" t="s">
        <v>1407</v>
      </c>
      <c r="F653" s="87" t="s">
        <v>379</v>
      </c>
      <c r="G653" s="87" t="str">
        <f t="shared" si="20"/>
        <v>Mohammad ABUHASHEESH - Jordan</v>
      </c>
      <c r="H653" s="87" t="str">
        <f t="shared" si="21"/>
        <v>JOR2</v>
      </c>
      <c r="I653" s="87" t="s">
        <v>3182</v>
      </c>
    </row>
    <row r="654" spans="1:9" ht="15" customHeight="1" x14ac:dyDescent="0.35">
      <c r="A654" s="86">
        <v>3</v>
      </c>
      <c r="B654" s="86" t="s">
        <v>271</v>
      </c>
      <c r="C654" s="87" t="s">
        <v>1409</v>
      </c>
      <c r="D654" s="87" t="s">
        <v>1410</v>
      </c>
      <c r="E654" s="86" t="s">
        <v>1407</v>
      </c>
      <c r="F654" s="87" t="s">
        <v>379</v>
      </c>
      <c r="G654" s="87" t="str">
        <f t="shared" si="20"/>
        <v>Abdallah NASIB - Jordan</v>
      </c>
      <c r="H654" s="87" t="str">
        <f t="shared" si="21"/>
        <v>JOR3</v>
      </c>
      <c r="I654" s="87" t="s">
        <v>3183</v>
      </c>
    </row>
    <row r="655" spans="1:9" ht="15" customHeight="1" x14ac:dyDescent="0.35">
      <c r="A655" s="86">
        <v>4</v>
      </c>
      <c r="B655" s="86" t="s">
        <v>271</v>
      </c>
      <c r="C655" s="87" t="s">
        <v>1411</v>
      </c>
      <c r="D655" s="87" t="s">
        <v>1412</v>
      </c>
      <c r="E655" s="86" t="s">
        <v>1407</v>
      </c>
      <c r="F655" s="87" t="s">
        <v>379</v>
      </c>
      <c r="G655" s="87" t="str">
        <f t="shared" si="20"/>
        <v>Husam ABUDAHAB - Jordan</v>
      </c>
      <c r="H655" s="87" t="str">
        <f t="shared" si="21"/>
        <v>JOR4</v>
      </c>
      <c r="I655" s="87" t="s">
        <v>3184</v>
      </c>
    </row>
    <row r="656" spans="1:9" ht="15" customHeight="1" x14ac:dyDescent="0.35">
      <c r="A656" s="86">
        <v>5</v>
      </c>
      <c r="B656" s="86" t="s">
        <v>271</v>
      </c>
      <c r="C656" s="87" t="s">
        <v>1413</v>
      </c>
      <c r="D656" s="87" t="s">
        <v>1414</v>
      </c>
      <c r="E656" s="86" t="s">
        <v>1407</v>
      </c>
      <c r="F656" s="87" t="s">
        <v>379</v>
      </c>
      <c r="G656" s="87" t="str">
        <f t="shared" si="20"/>
        <v>Yazan ALARAB - Jordan</v>
      </c>
      <c r="H656" s="87" t="str">
        <f t="shared" si="21"/>
        <v>JOR5</v>
      </c>
      <c r="I656" s="87" t="s">
        <v>3185</v>
      </c>
    </row>
    <row r="657" spans="1:9" ht="15" customHeight="1" x14ac:dyDescent="0.35">
      <c r="A657" s="86">
        <v>6</v>
      </c>
      <c r="B657" s="86" t="s">
        <v>280</v>
      </c>
      <c r="C657" s="87" t="s">
        <v>1415</v>
      </c>
      <c r="D657" s="87" t="s">
        <v>1416</v>
      </c>
      <c r="E657" s="86" t="s">
        <v>1407</v>
      </c>
      <c r="F657" s="87" t="s">
        <v>379</v>
      </c>
      <c r="G657" s="87" t="str">
        <f t="shared" si="20"/>
        <v>Amer JAMOUS - Jordan</v>
      </c>
      <c r="H657" s="87" t="str">
        <f t="shared" si="21"/>
        <v>JOR6</v>
      </c>
      <c r="I657" s="87" t="s">
        <v>3186</v>
      </c>
    </row>
    <row r="658" spans="1:9" ht="15" customHeight="1" x14ac:dyDescent="0.35">
      <c r="A658" s="86">
        <v>7</v>
      </c>
      <c r="B658" s="86" t="s">
        <v>283</v>
      </c>
      <c r="C658" s="87" t="s">
        <v>1288</v>
      </c>
      <c r="D658" s="87" t="s">
        <v>1417</v>
      </c>
      <c r="E658" s="86" t="s">
        <v>1407</v>
      </c>
      <c r="F658" s="87" t="s">
        <v>379</v>
      </c>
      <c r="G658" s="87" t="str">
        <f t="shared" si="20"/>
        <v>Mohammad ABUZRAIQ - Jordan</v>
      </c>
      <c r="H658" s="87" t="str">
        <f t="shared" si="21"/>
        <v>JOR7</v>
      </c>
      <c r="I658" s="87" t="s">
        <v>3187</v>
      </c>
    </row>
    <row r="659" spans="1:9" ht="15" customHeight="1" x14ac:dyDescent="0.35">
      <c r="A659" s="86">
        <v>8</v>
      </c>
      <c r="B659" s="86" t="s">
        <v>280</v>
      </c>
      <c r="C659" s="87" t="s">
        <v>1418</v>
      </c>
      <c r="D659" s="87" t="s">
        <v>1419</v>
      </c>
      <c r="E659" s="86" t="s">
        <v>1407</v>
      </c>
      <c r="F659" s="87" t="s">
        <v>379</v>
      </c>
      <c r="G659" s="87" t="str">
        <f t="shared" si="20"/>
        <v>Noor ALRAWABDEH - Jordan</v>
      </c>
      <c r="H659" s="87" t="str">
        <f t="shared" si="21"/>
        <v>JOR8</v>
      </c>
      <c r="I659" s="87" t="s">
        <v>3188</v>
      </c>
    </row>
    <row r="660" spans="1:9" ht="15" customHeight="1" x14ac:dyDescent="0.35">
      <c r="A660" s="86">
        <v>9</v>
      </c>
      <c r="B660" s="86" t="s">
        <v>283</v>
      </c>
      <c r="C660" s="87" t="s">
        <v>696</v>
      </c>
      <c r="D660" s="87" t="s">
        <v>1420</v>
      </c>
      <c r="E660" s="86" t="s">
        <v>1407</v>
      </c>
      <c r="F660" s="87" t="s">
        <v>379</v>
      </c>
      <c r="G660" s="87" t="str">
        <f t="shared" si="20"/>
        <v>Ali OLWAN - Jordan</v>
      </c>
      <c r="H660" s="87" t="str">
        <f t="shared" si="21"/>
        <v>JOR9</v>
      </c>
      <c r="I660" s="87" t="s">
        <v>3189</v>
      </c>
    </row>
    <row r="661" spans="1:9" ht="15" customHeight="1" x14ac:dyDescent="0.35">
      <c r="A661" s="86">
        <v>10</v>
      </c>
      <c r="B661" s="86" t="s">
        <v>283</v>
      </c>
      <c r="C661" s="87" t="s">
        <v>1421</v>
      </c>
      <c r="D661" s="87" t="s">
        <v>1422</v>
      </c>
      <c r="E661" s="86" t="s">
        <v>1407</v>
      </c>
      <c r="F661" s="87" t="s">
        <v>379</v>
      </c>
      <c r="G661" s="87" t="str">
        <f t="shared" si="20"/>
        <v>Mousa ALTAMARI - Jordan</v>
      </c>
      <c r="H661" s="87" t="str">
        <f t="shared" si="21"/>
        <v>JOR10</v>
      </c>
      <c r="I661" s="87" t="s">
        <v>3190</v>
      </c>
    </row>
    <row r="662" spans="1:9" ht="15" customHeight="1" x14ac:dyDescent="0.35">
      <c r="A662" s="86">
        <v>11</v>
      </c>
      <c r="B662" s="86" t="s">
        <v>283</v>
      </c>
      <c r="C662" s="87" t="s">
        <v>1423</v>
      </c>
      <c r="D662" s="87" t="s">
        <v>1424</v>
      </c>
      <c r="E662" s="86" t="s">
        <v>1407</v>
      </c>
      <c r="F662" s="87" t="s">
        <v>379</v>
      </c>
      <c r="G662" s="87" t="str">
        <f t="shared" si="20"/>
        <v>Odeh FAKHOURY - Jordan</v>
      </c>
      <c r="H662" s="87" t="str">
        <f t="shared" si="21"/>
        <v>JOR11</v>
      </c>
      <c r="I662" s="87" t="s">
        <v>3191</v>
      </c>
    </row>
    <row r="663" spans="1:9" ht="15" customHeight="1" x14ac:dyDescent="0.35">
      <c r="A663" s="86">
        <v>12</v>
      </c>
      <c r="B663" s="86" t="s">
        <v>267</v>
      </c>
      <c r="C663" s="87" t="s">
        <v>1425</v>
      </c>
      <c r="D663" s="87" t="s">
        <v>1426</v>
      </c>
      <c r="E663" s="86" t="s">
        <v>1407</v>
      </c>
      <c r="F663" s="87" t="s">
        <v>379</v>
      </c>
      <c r="G663" s="87" t="str">
        <f t="shared" si="20"/>
        <v>Nour BANIATEYAH - Jordan</v>
      </c>
      <c r="H663" s="87" t="str">
        <f t="shared" si="21"/>
        <v>JOR12</v>
      </c>
      <c r="I663" s="87" t="s">
        <v>3192</v>
      </c>
    </row>
    <row r="664" spans="1:9" ht="15" customHeight="1" x14ac:dyDescent="0.35">
      <c r="A664" s="86">
        <v>13</v>
      </c>
      <c r="B664" s="86" t="s">
        <v>283</v>
      </c>
      <c r="C664" s="87" t="s">
        <v>1024</v>
      </c>
      <c r="D664" s="87" t="s">
        <v>1427</v>
      </c>
      <c r="E664" s="86" t="s">
        <v>1407</v>
      </c>
      <c r="F664" s="87" t="s">
        <v>379</v>
      </c>
      <c r="G664" s="87" t="str">
        <f t="shared" si="20"/>
        <v>Mahmoud ALMARDI - Jordan</v>
      </c>
      <c r="H664" s="87" t="str">
        <f t="shared" si="21"/>
        <v>JOR13</v>
      </c>
      <c r="I664" s="87" t="s">
        <v>3193</v>
      </c>
    </row>
    <row r="665" spans="1:9" ht="15" customHeight="1" x14ac:dyDescent="0.35">
      <c r="A665" s="86">
        <v>14</v>
      </c>
      <c r="B665" s="86" t="s">
        <v>280</v>
      </c>
      <c r="C665" s="87" t="s">
        <v>1428</v>
      </c>
      <c r="D665" s="87" t="s">
        <v>1429</v>
      </c>
      <c r="E665" s="86" t="s">
        <v>1407</v>
      </c>
      <c r="F665" s="87" t="s">
        <v>379</v>
      </c>
      <c r="G665" s="87" t="str">
        <f t="shared" si="20"/>
        <v>Rajaei AYED - Jordan</v>
      </c>
      <c r="H665" s="87" t="str">
        <f t="shared" si="21"/>
        <v>JOR14</v>
      </c>
      <c r="I665" s="87" t="s">
        <v>3194</v>
      </c>
    </row>
    <row r="666" spans="1:9" ht="15" customHeight="1" x14ac:dyDescent="0.35">
      <c r="A666" s="86">
        <v>15</v>
      </c>
      <c r="B666" s="86" t="s">
        <v>280</v>
      </c>
      <c r="C666" s="87" t="s">
        <v>314</v>
      </c>
      <c r="D666" s="87" t="s">
        <v>1430</v>
      </c>
      <c r="E666" s="86" t="s">
        <v>1407</v>
      </c>
      <c r="F666" s="87" t="s">
        <v>379</v>
      </c>
      <c r="G666" s="87" t="str">
        <f t="shared" si="20"/>
        <v>Ibrahim SADEH - Jordan</v>
      </c>
      <c r="H666" s="87" t="str">
        <f t="shared" si="21"/>
        <v>JOR15</v>
      </c>
      <c r="I666" s="87" t="s">
        <v>3195</v>
      </c>
    </row>
    <row r="667" spans="1:9" ht="15" customHeight="1" x14ac:dyDescent="0.35">
      <c r="A667" s="86">
        <v>16</v>
      </c>
      <c r="B667" s="86" t="s">
        <v>271</v>
      </c>
      <c r="C667" s="87" t="s">
        <v>1288</v>
      </c>
      <c r="D667" s="87" t="s">
        <v>1431</v>
      </c>
      <c r="E667" s="86" t="s">
        <v>1407</v>
      </c>
      <c r="F667" s="87" t="s">
        <v>379</v>
      </c>
      <c r="G667" s="87" t="str">
        <f t="shared" si="20"/>
        <v>Mohammad ABUALNADI - Jordan</v>
      </c>
      <c r="H667" s="87" t="str">
        <f t="shared" si="21"/>
        <v>JOR16</v>
      </c>
      <c r="I667" s="87" t="s">
        <v>3196</v>
      </c>
    </row>
    <row r="668" spans="1:9" ht="15" customHeight="1" x14ac:dyDescent="0.35">
      <c r="A668" s="86">
        <v>17</v>
      </c>
      <c r="B668" s="86" t="s">
        <v>271</v>
      </c>
      <c r="C668" s="87" t="s">
        <v>1432</v>
      </c>
      <c r="D668" s="87" t="s">
        <v>1433</v>
      </c>
      <c r="E668" s="86" t="s">
        <v>1407</v>
      </c>
      <c r="F668" s="87" t="s">
        <v>379</v>
      </c>
      <c r="G668" s="87" t="str">
        <f t="shared" si="20"/>
        <v>Saleem OBAID - Jordan</v>
      </c>
      <c r="H668" s="87" t="str">
        <f t="shared" si="21"/>
        <v>JOR17</v>
      </c>
      <c r="I668" s="87" t="s">
        <v>3197</v>
      </c>
    </row>
    <row r="669" spans="1:9" ht="15" customHeight="1" x14ac:dyDescent="0.35">
      <c r="A669" s="86">
        <v>18</v>
      </c>
      <c r="B669" s="86" t="s">
        <v>283</v>
      </c>
      <c r="C669" s="87" t="s">
        <v>1288</v>
      </c>
      <c r="D669" s="87" t="s">
        <v>2507</v>
      </c>
      <c r="E669" s="86" t="s">
        <v>1407</v>
      </c>
      <c r="F669" s="87" t="s">
        <v>379</v>
      </c>
      <c r="G669" s="87" t="str">
        <f t="shared" si="20"/>
        <v>Mohammad TAHA - Jordan</v>
      </c>
      <c r="H669" s="87" t="str">
        <f t="shared" si="21"/>
        <v>JOR18</v>
      </c>
      <c r="I669" s="87" t="s">
        <v>3803</v>
      </c>
    </row>
    <row r="670" spans="1:9" ht="15" customHeight="1" x14ac:dyDescent="0.35">
      <c r="A670" s="86">
        <v>19</v>
      </c>
      <c r="B670" s="86" t="s">
        <v>271</v>
      </c>
      <c r="C670" s="87" t="s">
        <v>1434</v>
      </c>
      <c r="D670" s="87" t="s">
        <v>1435</v>
      </c>
      <c r="E670" s="86" t="s">
        <v>1407</v>
      </c>
      <c r="F670" s="87" t="s">
        <v>379</v>
      </c>
      <c r="G670" s="87" t="str">
        <f t="shared" si="20"/>
        <v>Saed ALROSAN - Jordan</v>
      </c>
      <c r="H670" s="87" t="str">
        <f t="shared" si="21"/>
        <v>JOR19</v>
      </c>
      <c r="I670" s="87" t="s">
        <v>3198</v>
      </c>
    </row>
    <row r="671" spans="1:9" ht="15" customHeight="1" x14ac:dyDescent="0.35">
      <c r="A671" s="86">
        <v>20</v>
      </c>
      <c r="B671" s="86" t="s">
        <v>280</v>
      </c>
      <c r="C671" s="87" t="s">
        <v>1436</v>
      </c>
      <c r="D671" s="87" t="s">
        <v>1437</v>
      </c>
      <c r="E671" s="86" t="s">
        <v>1407</v>
      </c>
      <c r="F671" s="87" t="s">
        <v>379</v>
      </c>
      <c r="G671" s="87" t="str">
        <f t="shared" si="20"/>
        <v>Mohannad ABUTAHA - Jordan</v>
      </c>
      <c r="H671" s="87" t="str">
        <f t="shared" si="21"/>
        <v>JOR20</v>
      </c>
      <c r="I671" s="87" t="s">
        <v>3199</v>
      </c>
    </row>
    <row r="672" spans="1:9" ht="15" customHeight="1" x14ac:dyDescent="0.35">
      <c r="A672" s="86">
        <v>21</v>
      </c>
      <c r="B672" s="86" t="s">
        <v>280</v>
      </c>
      <c r="C672" s="87" t="s">
        <v>1438</v>
      </c>
      <c r="D672" s="87" t="s">
        <v>1439</v>
      </c>
      <c r="E672" s="86" t="s">
        <v>1407</v>
      </c>
      <c r="F672" s="87" t="s">
        <v>379</v>
      </c>
      <c r="G672" s="87" t="str">
        <f t="shared" si="20"/>
        <v>Nizar ALRASHDAN - Jordan</v>
      </c>
      <c r="H672" s="87" t="str">
        <f t="shared" si="21"/>
        <v>JOR21</v>
      </c>
      <c r="I672" s="87" t="s">
        <v>3200</v>
      </c>
    </row>
    <row r="673" spans="1:9" ht="15" customHeight="1" x14ac:dyDescent="0.35">
      <c r="A673" s="86">
        <v>22</v>
      </c>
      <c r="B673" s="86" t="s">
        <v>267</v>
      </c>
      <c r="C673" s="87" t="s">
        <v>1409</v>
      </c>
      <c r="D673" s="87" t="s">
        <v>1440</v>
      </c>
      <c r="E673" s="86" t="s">
        <v>1407</v>
      </c>
      <c r="F673" s="87" t="s">
        <v>379</v>
      </c>
      <c r="G673" s="87" t="str">
        <f t="shared" si="20"/>
        <v>Abdallah ALFAKHORI - Jordan</v>
      </c>
      <c r="H673" s="87" t="str">
        <f t="shared" si="21"/>
        <v>JOR22</v>
      </c>
      <c r="I673" s="87" t="s">
        <v>3201</v>
      </c>
    </row>
    <row r="674" spans="1:9" ht="15" customHeight="1" x14ac:dyDescent="0.35">
      <c r="A674" s="86">
        <v>23</v>
      </c>
      <c r="B674" s="86" t="s">
        <v>271</v>
      </c>
      <c r="C674" s="87" t="s">
        <v>1279</v>
      </c>
      <c r="D674" s="87" t="s">
        <v>1441</v>
      </c>
      <c r="E674" s="86" t="s">
        <v>1407</v>
      </c>
      <c r="F674" s="87" t="s">
        <v>379</v>
      </c>
      <c r="G674" s="87" t="str">
        <f t="shared" si="20"/>
        <v>Ehsan HADDAD - Jordan</v>
      </c>
      <c r="H674" s="87" t="str">
        <f t="shared" si="21"/>
        <v>JOR23</v>
      </c>
      <c r="I674" s="87" t="s">
        <v>3202</v>
      </c>
    </row>
    <row r="675" spans="1:9" ht="15" customHeight="1" x14ac:dyDescent="0.35">
      <c r="A675" s="86">
        <v>24</v>
      </c>
      <c r="B675" s="86" t="s">
        <v>283</v>
      </c>
      <c r="C675" s="87" t="s">
        <v>696</v>
      </c>
      <c r="D675" s="87" t="s">
        <v>1442</v>
      </c>
      <c r="E675" s="86" t="s">
        <v>1407</v>
      </c>
      <c r="F675" s="87" t="s">
        <v>379</v>
      </c>
      <c r="G675" s="87" t="str">
        <f t="shared" si="20"/>
        <v>Ali AZAIZEH - Jordan</v>
      </c>
      <c r="H675" s="87" t="str">
        <f t="shared" si="21"/>
        <v>JOR24</v>
      </c>
      <c r="I675" s="87" t="s">
        <v>3203</v>
      </c>
    </row>
    <row r="676" spans="1:9" ht="15" customHeight="1" x14ac:dyDescent="0.35">
      <c r="A676" s="86">
        <v>25</v>
      </c>
      <c r="B676" s="86" t="s">
        <v>280</v>
      </c>
      <c r="C676" s="87" t="s">
        <v>1288</v>
      </c>
      <c r="D676" s="87" t="s">
        <v>1443</v>
      </c>
      <c r="E676" s="86" t="s">
        <v>1407</v>
      </c>
      <c r="F676" s="87" t="s">
        <v>379</v>
      </c>
      <c r="G676" s="87" t="str">
        <f t="shared" si="20"/>
        <v>Mohammad ALDAOUD - Jordan</v>
      </c>
      <c r="H676" s="87" t="str">
        <f t="shared" si="21"/>
        <v>JOR25</v>
      </c>
      <c r="I676" s="87" t="s">
        <v>3204</v>
      </c>
    </row>
    <row r="677" spans="1:9" ht="15" customHeight="1" x14ac:dyDescent="0.35">
      <c r="A677" s="86">
        <v>26</v>
      </c>
      <c r="B677" s="86" t="s">
        <v>271</v>
      </c>
      <c r="C677" s="87" t="s">
        <v>1444</v>
      </c>
      <c r="D677" s="87" t="s">
        <v>1445</v>
      </c>
      <c r="E677" s="86" t="s">
        <v>1407</v>
      </c>
      <c r="F677" s="87" t="s">
        <v>379</v>
      </c>
      <c r="G677" s="87" t="str">
        <f t="shared" si="20"/>
        <v>Anas BADAWI - Jordan</v>
      </c>
      <c r="H677" s="87" t="str">
        <f t="shared" si="21"/>
        <v>JOR26</v>
      </c>
      <c r="I677" s="87" t="s">
        <v>3205</v>
      </c>
    </row>
    <row r="678" spans="1:9" ht="15" customHeight="1" x14ac:dyDescent="0.35">
      <c r="A678" s="88">
        <v>1</v>
      </c>
      <c r="B678" s="88" t="s">
        <v>267</v>
      </c>
      <c r="C678" s="89" t="s">
        <v>1446</v>
      </c>
      <c r="D678" s="89" t="s">
        <v>1447</v>
      </c>
      <c r="E678" s="88" t="s">
        <v>1448</v>
      </c>
      <c r="F678" s="89" t="s">
        <v>3206</v>
      </c>
      <c r="G678" s="89" t="str">
        <f t="shared" si="20"/>
        <v>Seunggyu KIM - South Korea</v>
      </c>
      <c r="H678" s="89" t="str">
        <f t="shared" si="21"/>
        <v>KOR1</v>
      </c>
      <c r="I678" s="89" t="s">
        <v>3207</v>
      </c>
    </row>
    <row r="679" spans="1:9" ht="15" customHeight="1" x14ac:dyDescent="0.35">
      <c r="A679" s="88">
        <v>2</v>
      </c>
      <c r="B679" s="88" t="s">
        <v>271</v>
      </c>
      <c r="C679" s="89" t="s">
        <v>1449</v>
      </c>
      <c r="D679" s="89" t="s">
        <v>1450</v>
      </c>
      <c r="E679" s="88" t="s">
        <v>1448</v>
      </c>
      <c r="F679" s="89" t="s">
        <v>3206</v>
      </c>
      <c r="G679" s="89" t="str">
        <f t="shared" si="20"/>
        <v>Hanbeom LEE - South Korea</v>
      </c>
      <c r="H679" s="89" t="str">
        <f t="shared" si="21"/>
        <v>KOR2</v>
      </c>
      <c r="I679" s="89" t="s">
        <v>3208</v>
      </c>
    </row>
    <row r="680" spans="1:9" ht="15" customHeight="1" x14ac:dyDescent="0.35">
      <c r="A680" s="88">
        <v>3</v>
      </c>
      <c r="B680" s="88" t="s">
        <v>280</v>
      </c>
      <c r="C680" s="89" t="s">
        <v>1451</v>
      </c>
      <c r="D680" s="89" t="s">
        <v>1450</v>
      </c>
      <c r="E680" s="88" t="s">
        <v>1448</v>
      </c>
      <c r="F680" s="89" t="s">
        <v>3206</v>
      </c>
      <c r="G680" s="89" t="str">
        <f t="shared" si="20"/>
        <v>Gihyuk LEE - South Korea</v>
      </c>
      <c r="H680" s="89" t="str">
        <f t="shared" si="21"/>
        <v>KOR3</v>
      </c>
      <c r="I680" s="89" t="s">
        <v>3209</v>
      </c>
    </row>
    <row r="681" spans="1:9" ht="15" customHeight="1" x14ac:dyDescent="0.35">
      <c r="A681" s="88">
        <v>4</v>
      </c>
      <c r="B681" s="88" t="s">
        <v>271</v>
      </c>
      <c r="C681" s="89" t="s">
        <v>1452</v>
      </c>
      <c r="D681" s="89" t="s">
        <v>1447</v>
      </c>
      <c r="E681" s="88" t="s">
        <v>1448</v>
      </c>
      <c r="F681" s="89" t="s">
        <v>3206</v>
      </c>
      <c r="G681" s="89" t="str">
        <f t="shared" si="20"/>
        <v>Minjae KIM - South Korea</v>
      </c>
      <c r="H681" s="89" t="str">
        <f t="shared" si="21"/>
        <v>KOR4</v>
      </c>
      <c r="I681" s="89" t="s">
        <v>3210</v>
      </c>
    </row>
    <row r="682" spans="1:9" ht="15" customHeight="1" x14ac:dyDescent="0.35">
      <c r="A682" s="88">
        <v>5</v>
      </c>
      <c r="B682" s="88" t="s">
        <v>271</v>
      </c>
      <c r="C682" s="89" t="s">
        <v>1453</v>
      </c>
      <c r="D682" s="89" t="s">
        <v>1447</v>
      </c>
      <c r="E682" s="88" t="s">
        <v>1448</v>
      </c>
      <c r="F682" s="89" t="s">
        <v>3206</v>
      </c>
      <c r="G682" s="89" t="str">
        <f t="shared" si="20"/>
        <v>Taehyeon KIM - South Korea</v>
      </c>
      <c r="H682" s="89" t="str">
        <f t="shared" si="21"/>
        <v>KOR5</v>
      </c>
      <c r="I682" s="89" t="s">
        <v>3211</v>
      </c>
    </row>
    <row r="683" spans="1:9" ht="15" customHeight="1" x14ac:dyDescent="0.35">
      <c r="A683" s="88">
        <v>6</v>
      </c>
      <c r="B683" s="88" t="s">
        <v>280</v>
      </c>
      <c r="C683" s="89" t="s">
        <v>1454</v>
      </c>
      <c r="D683" s="89" t="s">
        <v>1455</v>
      </c>
      <c r="E683" s="88" t="s">
        <v>1448</v>
      </c>
      <c r="F683" s="89" t="s">
        <v>3206</v>
      </c>
      <c r="G683" s="89" t="str">
        <f t="shared" si="20"/>
        <v>Inbeom HWANG - South Korea</v>
      </c>
      <c r="H683" s="89" t="str">
        <f t="shared" si="21"/>
        <v>KOR6</v>
      </c>
      <c r="I683" s="89" t="s">
        <v>3212</v>
      </c>
    </row>
    <row r="684" spans="1:9" ht="15" customHeight="1" x14ac:dyDescent="0.35">
      <c r="A684" s="88">
        <v>7</v>
      </c>
      <c r="B684" s="88" t="s">
        <v>283</v>
      </c>
      <c r="C684" s="89" t="s">
        <v>1456</v>
      </c>
      <c r="D684" s="89" t="s">
        <v>1457</v>
      </c>
      <c r="E684" s="88" t="s">
        <v>1448</v>
      </c>
      <c r="F684" s="89" t="s">
        <v>3206</v>
      </c>
      <c r="G684" s="89" t="str">
        <f t="shared" si="20"/>
        <v>Heungmin SON - South Korea</v>
      </c>
      <c r="H684" s="89" t="str">
        <f t="shared" si="21"/>
        <v>KOR7</v>
      </c>
      <c r="I684" s="89" t="s">
        <v>3213</v>
      </c>
    </row>
    <row r="685" spans="1:9" ht="15" customHeight="1" x14ac:dyDescent="0.35">
      <c r="A685" s="88">
        <v>8</v>
      </c>
      <c r="B685" s="88" t="s">
        <v>280</v>
      </c>
      <c r="C685" s="89" t="s">
        <v>1458</v>
      </c>
      <c r="D685" s="89" t="s">
        <v>1459</v>
      </c>
      <c r="E685" s="88" t="s">
        <v>1448</v>
      </c>
      <c r="F685" s="89" t="s">
        <v>3206</v>
      </c>
      <c r="G685" s="89" t="str">
        <f t="shared" si="20"/>
        <v>Seungho PAIK - South Korea</v>
      </c>
      <c r="H685" s="89" t="str">
        <f t="shared" si="21"/>
        <v>KOR8</v>
      </c>
      <c r="I685" s="89" t="s">
        <v>3214</v>
      </c>
    </row>
    <row r="686" spans="1:9" ht="15" customHeight="1" x14ac:dyDescent="0.35">
      <c r="A686" s="88">
        <v>9</v>
      </c>
      <c r="B686" s="88" t="s">
        <v>283</v>
      </c>
      <c r="C686" s="89" t="s">
        <v>1460</v>
      </c>
      <c r="D686" s="89" t="s">
        <v>1461</v>
      </c>
      <c r="E686" s="88" t="s">
        <v>1448</v>
      </c>
      <c r="F686" s="89" t="s">
        <v>3206</v>
      </c>
      <c r="G686" s="89" t="str">
        <f t="shared" si="20"/>
        <v>Guesung CHO - South Korea</v>
      </c>
      <c r="H686" s="89" t="str">
        <f t="shared" si="21"/>
        <v>KOR9</v>
      </c>
      <c r="I686" s="89" t="s">
        <v>3215</v>
      </c>
    </row>
    <row r="687" spans="1:9" ht="15" customHeight="1" x14ac:dyDescent="0.35">
      <c r="A687" s="88">
        <v>10</v>
      </c>
      <c r="B687" s="88" t="s">
        <v>280</v>
      </c>
      <c r="C687" s="89" t="s">
        <v>1462</v>
      </c>
      <c r="D687" s="89" t="s">
        <v>1450</v>
      </c>
      <c r="E687" s="88" t="s">
        <v>1448</v>
      </c>
      <c r="F687" s="89" t="s">
        <v>3206</v>
      </c>
      <c r="G687" s="89" t="str">
        <f t="shared" si="20"/>
        <v>Jaesung LEE - South Korea</v>
      </c>
      <c r="H687" s="89" t="str">
        <f t="shared" si="21"/>
        <v>KOR10</v>
      </c>
      <c r="I687" s="89" t="s">
        <v>3216</v>
      </c>
    </row>
    <row r="688" spans="1:9" ht="15" customHeight="1" x14ac:dyDescent="0.35">
      <c r="A688" s="88">
        <v>11</v>
      </c>
      <c r="B688" s="88" t="s">
        <v>280</v>
      </c>
      <c r="C688" s="89" t="s">
        <v>1463</v>
      </c>
      <c r="D688" s="89" t="s">
        <v>1455</v>
      </c>
      <c r="E688" s="88" t="s">
        <v>1448</v>
      </c>
      <c r="F688" s="89" t="s">
        <v>3206</v>
      </c>
      <c r="G688" s="89" t="str">
        <f t="shared" si="20"/>
        <v>Heechan HWANG - South Korea</v>
      </c>
      <c r="H688" s="89" t="str">
        <f t="shared" si="21"/>
        <v>KOR11</v>
      </c>
      <c r="I688" s="89" t="s">
        <v>3217</v>
      </c>
    </row>
    <row r="689" spans="1:9" ht="15" customHeight="1" x14ac:dyDescent="0.35">
      <c r="A689" s="88">
        <v>12</v>
      </c>
      <c r="B689" s="88" t="s">
        <v>267</v>
      </c>
      <c r="C689" s="89" t="s">
        <v>1464</v>
      </c>
      <c r="D689" s="89" t="s">
        <v>1465</v>
      </c>
      <c r="E689" s="88" t="s">
        <v>1448</v>
      </c>
      <c r="F689" s="89" t="s">
        <v>3206</v>
      </c>
      <c r="G689" s="89" t="str">
        <f t="shared" si="20"/>
        <v>Bumkeun SONG - South Korea</v>
      </c>
      <c r="H689" s="89" t="str">
        <f t="shared" si="21"/>
        <v>KOR12</v>
      </c>
      <c r="I689" s="89" t="s">
        <v>3218</v>
      </c>
    </row>
    <row r="690" spans="1:9" ht="15" customHeight="1" x14ac:dyDescent="0.35">
      <c r="A690" s="88">
        <v>13</v>
      </c>
      <c r="B690" s="88" t="s">
        <v>271</v>
      </c>
      <c r="C690" s="89" t="s">
        <v>1466</v>
      </c>
      <c r="D690" s="89" t="s">
        <v>1450</v>
      </c>
      <c r="E690" s="88" t="s">
        <v>1448</v>
      </c>
      <c r="F690" s="89" t="s">
        <v>3206</v>
      </c>
      <c r="G690" s="89" t="str">
        <f t="shared" si="20"/>
        <v>Taeseok LEE - South Korea</v>
      </c>
      <c r="H690" s="89" t="str">
        <f t="shared" si="21"/>
        <v>KOR13</v>
      </c>
      <c r="I690" s="89" t="s">
        <v>3219</v>
      </c>
    </row>
    <row r="691" spans="1:9" ht="15" customHeight="1" x14ac:dyDescent="0.35">
      <c r="A691" s="88">
        <v>14</v>
      </c>
      <c r="B691" s="88" t="s">
        <v>271</v>
      </c>
      <c r="C691" s="89" t="s">
        <v>1467</v>
      </c>
      <c r="D691" s="89" t="s">
        <v>1461</v>
      </c>
      <c r="E691" s="88" t="s">
        <v>1448</v>
      </c>
      <c r="F691" s="89" t="s">
        <v>3206</v>
      </c>
      <c r="G691" s="89" t="str">
        <f t="shared" si="20"/>
        <v>Wije CHO - South Korea</v>
      </c>
      <c r="H691" s="89" t="str">
        <f t="shared" si="21"/>
        <v>KOR14</v>
      </c>
      <c r="I691" s="89" t="s">
        <v>3220</v>
      </c>
    </row>
    <row r="692" spans="1:9" ht="15" customHeight="1" x14ac:dyDescent="0.35">
      <c r="A692" s="88">
        <v>15</v>
      </c>
      <c r="B692" s="88" t="s">
        <v>271</v>
      </c>
      <c r="C692" s="89" t="s">
        <v>1468</v>
      </c>
      <c r="D692" s="89" t="s">
        <v>1447</v>
      </c>
      <c r="E692" s="88" t="s">
        <v>1448</v>
      </c>
      <c r="F692" s="89" t="s">
        <v>3206</v>
      </c>
      <c r="G692" s="89" t="str">
        <f t="shared" si="20"/>
        <v>Moonhwan KIM - South Korea</v>
      </c>
      <c r="H692" s="89" t="str">
        <f t="shared" si="21"/>
        <v>KOR15</v>
      </c>
      <c r="I692" s="89" t="s">
        <v>3221</v>
      </c>
    </row>
    <row r="693" spans="1:9" ht="15" customHeight="1" x14ac:dyDescent="0.35">
      <c r="A693" s="88">
        <v>16</v>
      </c>
      <c r="B693" s="88" t="s">
        <v>271</v>
      </c>
      <c r="C693" s="89" t="s">
        <v>1469</v>
      </c>
      <c r="D693" s="89" t="s">
        <v>1470</v>
      </c>
      <c r="E693" s="88" t="s">
        <v>1448</v>
      </c>
      <c r="F693" s="89" t="s">
        <v>3206</v>
      </c>
      <c r="G693" s="89" t="str">
        <f t="shared" si="20"/>
        <v>Jinseob PARK - South Korea</v>
      </c>
      <c r="H693" s="89" t="str">
        <f t="shared" si="21"/>
        <v>KOR16</v>
      </c>
      <c r="I693" s="89" t="s">
        <v>3222</v>
      </c>
    </row>
    <row r="694" spans="1:9" ht="15" customHeight="1" x14ac:dyDescent="0.35">
      <c r="A694" s="88">
        <v>17</v>
      </c>
      <c r="B694" s="88" t="s">
        <v>280</v>
      </c>
      <c r="C694" s="89" t="s">
        <v>1471</v>
      </c>
      <c r="D694" s="89" t="s">
        <v>1472</v>
      </c>
      <c r="E694" s="88" t="s">
        <v>1448</v>
      </c>
      <c r="F694" s="89" t="s">
        <v>3206</v>
      </c>
      <c r="G694" s="89" t="str">
        <f t="shared" si="20"/>
        <v>Junho BAE - South Korea</v>
      </c>
      <c r="H694" s="89" t="str">
        <f t="shared" si="21"/>
        <v>KOR17</v>
      </c>
      <c r="I694" s="89" t="s">
        <v>3223</v>
      </c>
    </row>
    <row r="695" spans="1:9" ht="15" customHeight="1" x14ac:dyDescent="0.35">
      <c r="A695" s="88">
        <v>18</v>
      </c>
      <c r="B695" s="88" t="s">
        <v>283</v>
      </c>
      <c r="C695" s="89" t="s">
        <v>1473</v>
      </c>
      <c r="D695" s="89" t="s">
        <v>1474</v>
      </c>
      <c r="E695" s="88" t="s">
        <v>1448</v>
      </c>
      <c r="F695" s="89" t="s">
        <v>3206</v>
      </c>
      <c r="G695" s="89" t="str">
        <f t="shared" si="20"/>
        <v>Hyeongyu OH - South Korea</v>
      </c>
      <c r="H695" s="89" t="str">
        <f t="shared" si="21"/>
        <v>KOR18</v>
      </c>
      <c r="I695" s="89" t="s">
        <v>3224</v>
      </c>
    </row>
    <row r="696" spans="1:9" ht="15" customHeight="1" x14ac:dyDescent="0.35">
      <c r="A696" s="88">
        <v>19</v>
      </c>
      <c r="B696" s="88" t="s">
        <v>280</v>
      </c>
      <c r="C696" s="89" t="s">
        <v>1475</v>
      </c>
      <c r="D696" s="89" t="s">
        <v>1450</v>
      </c>
      <c r="E696" s="88" t="s">
        <v>1448</v>
      </c>
      <c r="F696" s="89" t="s">
        <v>3206</v>
      </c>
      <c r="G696" s="89" t="str">
        <f t="shared" si="20"/>
        <v>Kangin LEE - South Korea</v>
      </c>
      <c r="H696" s="89" t="str">
        <f t="shared" si="21"/>
        <v>KOR19</v>
      </c>
      <c r="I696" s="89" t="s">
        <v>3225</v>
      </c>
    </row>
    <row r="697" spans="1:9" ht="15" customHeight="1" x14ac:dyDescent="0.35">
      <c r="A697" s="88">
        <v>20</v>
      </c>
      <c r="B697" s="88" t="s">
        <v>280</v>
      </c>
      <c r="C697" s="89" t="s">
        <v>1476</v>
      </c>
      <c r="D697" s="89" t="s">
        <v>1477</v>
      </c>
      <c r="E697" s="88" t="s">
        <v>1448</v>
      </c>
      <c r="F697" s="89" t="s">
        <v>3206</v>
      </c>
      <c r="G697" s="89" t="str">
        <f t="shared" si="20"/>
        <v>Hyunjun YANG - South Korea</v>
      </c>
      <c r="H697" s="89" t="str">
        <f t="shared" si="21"/>
        <v>KOR20</v>
      </c>
      <c r="I697" s="89" t="s">
        <v>3226</v>
      </c>
    </row>
    <row r="698" spans="1:9" ht="15" customHeight="1" x14ac:dyDescent="0.35">
      <c r="A698" s="88">
        <v>21</v>
      </c>
      <c r="B698" s="88" t="s">
        <v>267</v>
      </c>
      <c r="C698" s="89" t="s">
        <v>1478</v>
      </c>
      <c r="D698" s="89" t="s">
        <v>1479</v>
      </c>
      <c r="E698" s="88" t="s">
        <v>1448</v>
      </c>
      <c r="F698" s="89" t="s">
        <v>3206</v>
      </c>
      <c r="G698" s="89" t="str">
        <f t="shared" si="20"/>
        <v>Hyeonwoo JO - South Korea</v>
      </c>
      <c r="H698" s="89" t="str">
        <f t="shared" si="21"/>
        <v>KOR21</v>
      </c>
      <c r="I698" s="89" t="s">
        <v>3227</v>
      </c>
    </row>
    <row r="699" spans="1:9" ht="15" customHeight="1" x14ac:dyDescent="0.35">
      <c r="A699" s="88">
        <v>22</v>
      </c>
      <c r="B699" s="88" t="s">
        <v>271</v>
      </c>
      <c r="C699" s="89" t="s">
        <v>1480</v>
      </c>
      <c r="D699" s="89" t="s">
        <v>1481</v>
      </c>
      <c r="E699" s="88" t="s">
        <v>1448</v>
      </c>
      <c r="F699" s="89" t="s">
        <v>3206</v>
      </c>
      <c r="G699" s="89" t="str">
        <f t="shared" si="20"/>
        <v>Youngwoo SEOL - South Korea</v>
      </c>
      <c r="H699" s="89" t="str">
        <f t="shared" si="21"/>
        <v>KOR22</v>
      </c>
      <c r="I699" s="89" t="s">
        <v>3228</v>
      </c>
    </row>
    <row r="700" spans="1:9" ht="15" customHeight="1" x14ac:dyDescent="0.35">
      <c r="A700" s="88">
        <v>23</v>
      </c>
      <c r="B700" s="88" t="s">
        <v>271</v>
      </c>
      <c r="C700" s="89" t="s">
        <v>1482</v>
      </c>
      <c r="D700" s="89" t="s">
        <v>1483</v>
      </c>
      <c r="E700" s="88" t="s">
        <v>1448</v>
      </c>
      <c r="F700" s="89" t="s">
        <v>3206</v>
      </c>
      <c r="G700" s="89" t="str">
        <f t="shared" si="20"/>
        <v>Jens CASTROP - South Korea</v>
      </c>
      <c r="H700" s="89" t="str">
        <f t="shared" si="21"/>
        <v>KOR23</v>
      </c>
      <c r="I700" s="89" t="s">
        <v>3229</v>
      </c>
    </row>
    <row r="701" spans="1:9" ht="15" customHeight="1" x14ac:dyDescent="0.35">
      <c r="A701" s="88">
        <v>24</v>
      </c>
      <c r="B701" s="88" t="s">
        <v>280</v>
      </c>
      <c r="C701" s="89" t="s">
        <v>1484</v>
      </c>
      <c r="D701" s="89" t="s">
        <v>1447</v>
      </c>
      <c r="E701" s="88" t="s">
        <v>1448</v>
      </c>
      <c r="F701" s="89" t="s">
        <v>3206</v>
      </c>
      <c r="G701" s="89" t="str">
        <f t="shared" si="20"/>
        <v>Jingyu KIM - South Korea</v>
      </c>
      <c r="H701" s="89" t="str">
        <f t="shared" si="21"/>
        <v>KOR24</v>
      </c>
      <c r="I701" s="89" t="s">
        <v>3230</v>
      </c>
    </row>
    <row r="702" spans="1:9" ht="15" customHeight="1" x14ac:dyDescent="0.35">
      <c r="A702" s="88">
        <v>25</v>
      </c>
      <c r="B702" s="88" t="s">
        <v>280</v>
      </c>
      <c r="C702" s="89" t="s">
        <v>1485</v>
      </c>
      <c r="D702" s="89" t="s">
        <v>1486</v>
      </c>
      <c r="E702" s="88" t="s">
        <v>1448</v>
      </c>
      <c r="F702" s="89" t="s">
        <v>3206</v>
      </c>
      <c r="G702" s="89" t="str">
        <f t="shared" si="20"/>
        <v>Jisung EOM - South Korea</v>
      </c>
      <c r="H702" s="89" t="str">
        <f t="shared" si="21"/>
        <v>KOR25</v>
      </c>
      <c r="I702" s="89" t="s">
        <v>3231</v>
      </c>
    </row>
    <row r="703" spans="1:9" ht="15" customHeight="1" x14ac:dyDescent="0.35">
      <c r="A703" s="88">
        <v>26</v>
      </c>
      <c r="B703" s="88" t="s">
        <v>280</v>
      </c>
      <c r="C703" s="89" t="s">
        <v>1487</v>
      </c>
      <c r="D703" s="89" t="s">
        <v>1450</v>
      </c>
      <c r="E703" s="88" t="s">
        <v>1448</v>
      </c>
      <c r="F703" s="89" t="s">
        <v>3206</v>
      </c>
      <c r="G703" s="89" t="str">
        <f t="shared" si="20"/>
        <v>Donggyeong LEE - South Korea</v>
      </c>
      <c r="H703" s="89" t="str">
        <f t="shared" si="21"/>
        <v>KOR26</v>
      </c>
      <c r="I703" s="89" t="s">
        <v>3232</v>
      </c>
    </row>
    <row r="704" spans="1:9" ht="15" customHeight="1" x14ac:dyDescent="0.35">
      <c r="A704" s="90">
        <v>1</v>
      </c>
      <c r="B704" s="90" t="s">
        <v>267</v>
      </c>
      <c r="C704" s="91" t="s">
        <v>1488</v>
      </c>
      <c r="D704" s="91" t="s">
        <v>1489</v>
      </c>
      <c r="E704" s="90" t="s">
        <v>1490</v>
      </c>
      <c r="F704" s="91" t="s">
        <v>3233</v>
      </c>
      <c r="G704" s="91" t="str">
        <f t="shared" si="20"/>
        <v>Raul RANGEL - Mexico</v>
      </c>
      <c r="H704" s="91" t="str">
        <f t="shared" si="21"/>
        <v>MEX1</v>
      </c>
      <c r="I704" s="91" t="s">
        <v>3234</v>
      </c>
    </row>
    <row r="705" spans="1:9" ht="15" customHeight="1" x14ac:dyDescent="0.35">
      <c r="A705" s="90">
        <v>2</v>
      </c>
      <c r="B705" s="90" t="s">
        <v>271</v>
      </c>
      <c r="C705" s="91" t="s">
        <v>718</v>
      </c>
      <c r="D705" s="91" t="s">
        <v>744</v>
      </c>
      <c r="E705" s="90" t="s">
        <v>1490</v>
      </c>
      <c r="F705" s="91" t="s">
        <v>3233</v>
      </c>
      <c r="G705" s="91" t="str">
        <f t="shared" si="20"/>
        <v>Jorge SANCHEZ - Mexico</v>
      </c>
      <c r="H705" s="91" t="str">
        <f t="shared" si="21"/>
        <v>MEX2</v>
      </c>
      <c r="I705" s="91" t="s">
        <v>3235</v>
      </c>
    </row>
    <row r="706" spans="1:9" ht="15" customHeight="1" x14ac:dyDescent="0.35">
      <c r="A706" s="90">
        <v>3</v>
      </c>
      <c r="B706" s="90" t="s">
        <v>271</v>
      </c>
      <c r="C706" s="91" t="s">
        <v>1491</v>
      </c>
      <c r="D706" s="91" t="s">
        <v>1492</v>
      </c>
      <c r="E706" s="90" t="s">
        <v>1490</v>
      </c>
      <c r="F706" s="91" t="s">
        <v>3233</v>
      </c>
      <c r="G706" s="91" t="str">
        <f t="shared" si="20"/>
        <v>Cesar MONTES - Mexico</v>
      </c>
      <c r="H706" s="91" t="str">
        <f t="shared" si="21"/>
        <v>MEX3</v>
      </c>
      <c r="I706" s="91" t="s">
        <v>3236</v>
      </c>
    </row>
    <row r="707" spans="1:9" ht="15" customHeight="1" x14ac:dyDescent="0.35">
      <c r="A707" s="90">
        <v>4</v>
      </c>
      <c r="B707" s="90" t="s">
        <v>271</v>
      </c>
      <c r="C707" s="91" t="s">
        <v>1493</v>
      </c>
      <c r="D707" s="91" t="s">
        <v>339</v>
      </c>
      <c r="E707" s="90" t="s">
        <v>1490</v>
      </c>
      <c r="F707" s="91" t="s">
        <v>3233</v>
      </c>
      <c r="G707" s="91" t="str">
        <f t="shared" ref="G707:G770" si="22">_xlfn.CONCAT(C707, " ",D707, " - ",F707)</f>
        <v>Edson ALVAREZ - Mexico</v>
      </c>
      <c r="H707" s="91" t="str">
        <f t="shared" ref="H707:H770" si="23">_xlfn.CONCAT(E707,A707)</f>
        <v>MEX4</v>
      </c>
      <c r="I707" s="91" t="s">
        <v>3237</v>
      </c>
    </row>
    <row r="708" spans="1:9" ht="15" customHeight="1" x14ac:dyDescent="0.35">
      <c r="A708" s="90">
        <v>5</v>
      </c>
      <c r="B708" s="90" t="s">
        <v>271</v>
      </c>
      <c r="C708" s="91" t="s">
        <v>732</v>
      </c>
      <c r="D708" s="91" t="s">
        <v>1494</v>
      </c>
      <c r="E708" s="90" t="s">
        <v>1490</v>
      </c>
      <c r="F708" s="91" t="s">
        <v>3233</v>
      </c>
      <c r="G708" s="91" t="str">
        <f t="shared" si="22"/>
        <v>Johan VASQUEZ - Mexico</v>
      </c>
      <c r="H708" s="91" t="str">
        <f t="shared" si="23"/>
        <v>MEX5</v>
      </c>
      <c r="I708" s="91" t="s">
        <v>3238</v>
      </c>
    </row>
    <row r="709" spans="1:9" ht="15" customHeight="1" x14ac:dyDescent="0.35">
      <c r="A709" s="90">
        <v>6</v>
      </c>
      <c r="B709" s="90" t="s">
        <v>280</v>
      </c>
      <c r="C709" s="91" t="s">
        <v>1495</v>
      </c>
      <c r="D709" s="91" t="s">
        <v>1496</v>
      </c>
      <c r="E709" s="90" t="s">
        <v>1490</v>
      </c>
      <c r="F709" s="91" t="s">
        <v>3233</v>
      </c>
      <c r="G709" s="91" t="str">
        <f t="shared" si="22"/>
        <v>Erik LIRA - Mexico</v>
      </c>
      <c r="H709" s="91" t="str">
        <f t="shared" si="23"/>
        <v>MEX6</v>
      </c>
      <c r="I709" s="91" t="s">
        <v>3239</v>
      </c>
    </row>
    <row r="710" spans="1:9" ht="15" customHeight="1" x14ac:dyDescent="0.35">
      <c r="A710" s="90">
        <v>7</v>
      </c>
      <c r="B710" s="90" t="s">
        <v>280</v>
      </c>
      <c r="C710" s="91" t="s">
        <v>716</v>
      </c>
      <c r="D710" s="91" t="s">
        <v>1497</v>
      </c>
      <c r="E710" s="90" t="s">
        <v>1490</v>
      </c>
      <c r="F710" s="91" t="s">
        <v>3233</v>
      </c>
      <c r="G710" s="91" t="str">
        <f t="shared" si="22"/>
        <v>Luis ROMO - Mexico</v>
      </c>
      <c r="H710" s="91" t="str">
        <f t="shared" si="23"/>
        <v>MEX7</v>
      </c>
      <c r="I710" s="91" t="s">
        <v>3240</v>
      </c>
    </row>
    <row r="711" spans="1:9" ht="15" customHeight="1" x14ac:dyDescent="0.35">
      <c r="A711" s="90">
        <v>8</v>
      </c>
      <c r="B711" s="90" t="s">
        <v>280</v>
      </c>
      <c r="C711" s="91" t="s">
        <v>745</v>
      </c>
      <c r="D711" s="91" t="s">
        <v>1498</v>
      </c>
      <c r="E711" s="90" t="s">
        <v>1490</v>
      </c>
      <c r="F711" s="91" t="s">
        <v>3233</v>
      </c>
      <c r="G711" s="91" t="str">
        <f t="shared" si="22"/>
        <v>Alvaro FIDALGO - Mexico</v>
      </c>
      <c r="H711" s="91" t="str">
        <f t="shared" si="23"/>
        <v>MEX8</v>
      </c>
      <c r="I711" s="91" t="s">
        <v>3241</v>
      </c>
    </row>
    <row r="712" spans="1:9" ht="15" customHeight="1" x14ac:dyDescent="0.35">
      <c r="A712" s="90">
        <v>9</v>
      </c>
      <c r="B712" s="90" t="s">
        <v>283</v>
      </c>
      <c r="C712" s="91" t="s">
        <v>1488</v>
      </c>
      <c r="D712" s="91" t="s">
        <v>1499</v>
      </c>
      <c r="E712" s="90" t="s">
        <v>1490</v>
      </c>
      <c r="F712" s="91" t="s">
        <v>3233</v>
      </c>
      <c r="G712" s="91" t="str">
        <f t="shared" si="22"/>
        <v>Raul JIMENEZ - Mexico</v>
      </c>
      <c r="H712" s="91" t="str">
        <f t="shared" si="23"/>
        <v>MEX9</v>
      </c>
      <c r="I712" s="91" t="s">
        <v>3242</v>
      </c>
    </row>
    <row r="713" spans="1:9" ht="15" customHeight="1" x14ac:dyDescent="0.35">
      <c r="A713" s="90">
        <v>10</v>
      </c>
      <c r="B713" s="90" t="s">
        <v>283</v>
      </c>
      <c r="C713" s="91" t="s">
        <v>358</v>
      </c>
      <c r="D713" s="91" t="s">
        <v>1500</v>
      </c>
      <c r="E713" s="90" t="s">
        <v>1490</v>
      </c>
      <c r="F713" s="91" t="s">
        <v>3233</v>
      </c>
      <c r="G713" s="91" t="str">
        <f t="shared" si="22"/>
        <v>Alexis VEGA - Mexico</v>
      </c>
      <c r="H713" s="91" t="str">
        <f t="shared" si="23"/>
        <v>MEX10</v>
      </c>
      <c r="I713" s="91" t="s">
        <v>3243</v>
      </c>
    </row>
    <row r="714" spans="1:9" ht="15" customHeight="1" x14ac:dyDescent="0.35">
      <c r="A714" s="90">
        <v>11</v>
      </c>
      <c r="B714" s="90" t="s">
        <v>283</v>
      </c>
      <c r="C714" s="91" t="s">
        <v>711</v>
      </c>
      <c r="D714" s="91" t="s">
        <v>1501</v>
      </c>
      <c r="E714" s="90" t="s">
        <v>1490</v>
      </c>
      <c r="F714" s="91" t="s">
        <v>3233</v>
      </c>
      <c r="G714" s="91" t="str">
        <f t="shared" si="22"/>
        <v>Santiago GIMENEZ - Mexico</v>
      </c>
      <c r="H714" s="91" t="str">
        <f t="shared" si="23"/>
        <v>MEX11</v>
      </c>
      <c r="I714" s="91" t="s">
        <v>3244</v>
      </c>
    </row>
    <row r="715" spans="1:9" ht="15" customHeight="1" x14ac:dyDescent="0.35">
      <c r="A715" s="90">
        <v>12</v>
      </c>
      <c r="B715" s="90" t="s">
        <v>267</v>
      </c>
      <c r="C715" s="91" t="s">
        <v>1502</v>
      </c>
      <c r="D715" s="91" t="s">
        <v>1503</v>
      </c>
      <c r="E715" s="90" t="s">
        <v>1490</v>
      </c>
      <c r="F715" s="91" t="s">
        <v>3233</v>
      </c>
      <c r="G715" s="91" t="str">
        <f t="shared" si="22"/>
        <v>Carlos ACEVEDO - Mexico</v>
      </c>
      <c r="H715" s="91" t="str">
        <f t="shared" si="23"/>
        <v>MEX12</v>
      </c>
      <c r="I715" s="91" t="s">
        <v>3245</v>
      </c>
    </row>
    <row r="716" spans="1:9" ht="15" customHeight="1" x14ac:dyDescent="0.35">
      <c r="A716" s="90">
        <v>13</v>
      </c>
      <c r="B716" s="90" t="s">
        <v>267</v>
      </c>
      <c r="C716" s="91" t="s">
        <v>1504</v>
      </c>
      <c r="D716" s="91" t="s">
        <v>1505</v>
      </c>
      <c r="E716" s="90" t="s">
        <v>1490</v>
      </c>
      <c r="F716" s="91" t="s">
        <v>3233</v>
      </c>
      <c r="G716" s="91" t="str">
        <f t="shared" si="22"/>
        <v>Guillermo OCHOA - Mexico</v>
      </c>
      <c r="H716" s="91" t="str">
        <f t="shared" si="23"/>
        <v>MEX13</v>
      </c>
      <c r="I716" s="91" t="s">
        <v>3246</v>
      </c>
    </row>
    <row r="717" spans="1:9" ht="15" customHeight="1" x14ac:dyDescent="0.35">
      <c r="A717" s="90">
        <v>14</v>
      </c>
      <c r="B717" s="90" t="s">
        <v>283</v>
      </c>
      <c r="C717" s="91" t="s">
        <v>913</v>
      </c>
      <c r="D717" s="91" t="s">
        <v>351</v>
      </c>
      <c r="E717" s="90" t="s">
        <v>1490</v>
      </c>
      <c r="F717" s="91" t="s">
        <v>3233</v>
      </c>
      <c r="G717" s="91" t="str">
        <f t="shared" si="22"/>
        <v>Armando GONZALEZ - Mexico</v>
      </c>
      <c r="H717" s="91" t="str">
        <f t="shared" si="23"/>
        <v>MEX14</v>
      </c>
      <c r="I717" s="91" t="s">
        <v>3247</v>
      </c>
    </row>
    <row r="718" spans="1:9" ht="15" customHeight="1" x14ac:dyDescent="0.35">
      <c r="A718" s="90">
        <v>15</v>
      </c>
      <c r="B718" s="90" t="s">
        <v>271</v>
      </c>
      <c r="C718" s="91" t="s">
        <v>1506</v>
      </c>
      <c r="D718" s="91" t="s">
        <v>1507</v>
      </c>
      <c r="E718" s="90" t="s">
        <v>1490</v>
      </c>
      <c r="F718" s="91" t="s">
        <v>3233</v>
      </c>
      <c r="G718" s="91" t="str">
        <f t="shared" si="22"/>
        <v>Israel REYES - Mexico</v>
      </c>
      <c r="H718" s="91" t="str">
        <f t="shared" si="23"/>
        <v>MEX15</v>
      </c>
      <c r="I718" s="91" t="s">
        <v>3248</v>
      </c>
    </row>
    <row r="719" spans="1:9" ht="15" customHeight="1" x14ac:dyDescent="0.35">
      <c r="A719" s="90">
        <v>16</v>
      </c>
      <c r="B719" s="90" t="s">
        <v>283</v>
      </c>
      <c r="C719" s="91" t="s">
        <v>338</v>
      </c>
      <c r="D719" s="91" t="s">
        <v>1508</v>
      </c>
      <c r="E719" s="90" t="s">
        <v>1490</v>
      </c>
      <c r="F719" s="91" t="s">
        <v>3233</v>
      </c>
      <c r="G719" s="91" t="str">
        <f t="shared" si="22"/>
        <v>Julian QUINONES - Mexico</v>
      </c>
      <c r="H719" s="91" t="str">
        <f t="shared" si="23"/>
        <v>MEX16</v>
      </c>
      <c r="I719" s="91" t="s">
        <v>3249</v>
      </c>
    </row>
    <row r="720" spans="1:9" ht="15" customHeight="1" x14ac:dyDescent="0.35">
      <c r="A720" s="90">
        <v>17</v>
      </c>
      <c r="B720" s="90" t="s">
        <v>280</v>
      </c>
      <c r="C720" s="91" t="s">
        <v>1509</v>
      </c>
      <c r="D720" s="91" t="s">
        <v>1510</v>
      </c>
      <c r="E720" s="90" t="s">
        <v>1490</v>
      </c>
      <c r="F720" s="91" t="s">
        <v>3233</v>
      </c>
      <c r="G720" s="91" t="str">
        <f t="shared" si="22"/>
        <v>Orbelin PINEDA - Mexico</v>
      </c>
      <c r="H720" s="91" t="str">
        <f t="shared" si="23"/>
        <v>MEX17</v>
      </c>
      <c r="I720" s="91" t="s">
        <v>3250</v>
      </c>
    </row>
    <row r="721" spans="1:9" ht="15" customHeight="1" x14ac:dyDescent="0.35">
      <c r="A721" s="90">
        <v>18</v>
      </c>
      <c r="B721" s="90" t="s">
        <v>280</v>
      </c>
      <c r="C721" s="91" t="s">
        <v>1511</v>
      </c>
      <c r="D721" s="91" t="s">
        <v>724</v>
      </c>
      <c r="E721" s="90" t="s">
        <v>1490</v>
      </c>
      <c r="F721" s="91" t="s">
        <v>3233</v>
      </c>
      <c r="G721" s="91" t="str">
        <f t="shared" si="22"/>
        <v>Obed VARGAS - Mexico</v>
      </c>
      <c r="H721" s="91" t="str">
        <f t="shared" si="23"/>
        <v>MEX18</v>
      </c>
      <c r="I721" s="91" t="s">
        <v>3251</v>
      </c>
    </row>
    <row r="722" spans="1:9" ht="15" customHeight="1" x14ac:dyDescent="0.35">
      <c r="A722" s="90">
        <v>19</v>
      </c>
      <c r="B722" s="90" t="s">
        <v>280</v>
      </c>
      <c r="C722" s="91" t="s">
        <v>1512</v>
      </c>
      <c r="D722" s="91" t="s">
        <v>1513</v>
      </c>
      <c r="E722" s="90" t="s">
        <v>1490</v>
      </c>
      <c r="F722" s="91" t="s">
        <v>3233</v>
      </c>
      <c r="G722" s="91" t="str">
        <f t="shared" si="22"/>
        <v>Gilberto MORA - Mexico</v>
      </c>
      <c r="H722" s="91" t="str">
        <f t="shared" si="23"/>
        <v>MEX19</v>
      </c>
      <c r="I722" s="91" t="s">
        <v>3252</v>
      </c>
    </row>
    <row r="723" spans="1:9" ht="15" customHeight="1" x14ac:dyDescent="0.35">
      <c r="A723" s="90">
        <v>20</v>
      </c>
      <c r="B723" s="90" t="s">
        <v>271</v>
      </c>
      <c r="C723" s="91" t="s">
        <v>854</v>
      </c>
      <c r="D723" s="91" t="s">
        <v>1514</v>
      </c>
      <c r="E723" s="90" t="s">
        <v>1490</v>
      </c>
      <c r="F723" s="91" t="s">
        <v>3233</v>
      </c>
      <c r="G723" s="91" t="str">
        <f t="shared" si="22"/>
        <v>Mateo CHAVEZ - Mexico</v>
      </c>
      <c r="H723" s="91" t="str">
        <f t="shared" si="23"/>
        <v>MEX20</v>
      </c>
      <c r="I723" s="91" t="s">
        <v>3253</v>
      </c>
    </row>
    <row r="724" spans="1:9" ht="15" customHeight="1" x14ac:dyDescent="0.35">
      <c r="A724" s="90">
        <v>21</v>
      </c>
      <c r="B724" s="90" t="s">
        <v>283</v>
      </c>
      <c r="C724" s="91" t="s">
        <v>1491</v>
      </c>
      <c r="D724" s="91" t="s">
        <v>1515</v>
      </c>
      <c r="E724" s="90" t="s">
        <v>1490</v>
      </c>
      <c r="F724" s="91" t="s">
        <v>3233</v>
      </c>
      <c r="G724" s="91" t="str">
        <f t="shared" si="22"/>
        <v>Cesar HUERTA - Mexico</v>
      </c>
      <c r="H724" s="91" t="str">
        <f t="shared" si="23"/>
        <v>MEX21</v>
      </c>
      <c r="I724" s="91" t="s">
        <v>3254</v>
      </c>
    </row>
    <row r="725" spans="1:9" ht="15" customHeight="1" x14ac:dyDescent="0.35">
      <c r="A725" s="90">
        <v>22</v>
      </c>
      <c r="B725" s="90" t="s">
        <v>283</v>
      </c>
      <c r="C725" s="91" t="s">
        <v>1504</v>
      </c>
      <c r="D725" s="91" t="s">
        <v>333</v>
      </c>
      <c r="E725" s="90" t="s">
        <v>1490</v>
      </c>
      <c r="F725" s="91" t="s">
        <v>3233</v>
      </c>
      <c r="G725" s="91" t="str">
        <f t="shared" si="22"/>
        <v>Guillermo MARTINEZ - Mexico</v>
      </c>
      <c r="H725" s="91" t="str">
        <f t="shared" si="23"/>
        <v>MEX22</v>
      </c>
      <c r="I725" s="91" t="s">
        <v>3255</v>
      </c>
    </row>
    <row r="726" spans="1:9" ht="15" customHeight="1" x14ac:dyDescent="0.35">
      <c r="A726" s="90">
        <v>23</v>
      </c>
      <c r="B726" s="90" t="s">
        <v>271</v>
      </c>
      <c r="C726" s="91" t="s">
        <v>1516</v>
      </c>
      <c r="D726" s="91" t="s">
        <v>1517</v>
      </c>
      <c r="E726" s="90" t="s">
        <v>1490</v>
      </c>
      <c r="F726" s="91" t="s">
        <v>3233</v>
      </c>
      <c r="G726" s="91" t="str">
        <f t="shared" si="22"/>
        <v>Jesus GALLARDO - Mexico</v>
      </c>
      <c r="H726" s="91" t="str">
        <f t="shared" si="23"/>
        <v>MEX23</v>
      </c>
      <c r="I726" s="91" t="s">
        <v>3256</v>
      </c>
    </row>
    <row r="727" spans="1:9" ht="15" customHeight="1" x14ac:dyDescent="0.35">
      <c r="A727" s="90">
        <v>24</v>
      </c>
      <c r="B727" s="90" t="s">
        <v>280</v>
      </c>
      <c r="C727" s="91" t="s">
        <v>716</v>
      </c>
      <c r="D727" s="91" t="s">
        <v>1514</v>
      </c>
      <c r="E727" s="90" t="s">
        <v>1490</v>
      </c>
      <c r="F727" s="91" t="s">
        <v>3233</v>
      </c>
      <c r="G727" s="91" t="str">
        <f t="shared" si="22"/>
        <v>Luis CHAVEZ - Mexico</v>
      </c>
      <c r="H727" s="91" t="str">
        <f t="shared" si="23"/>
        <v>MEX24</v>
      </c>
      <c r="I727" s="91" t="s">
        <v>3257</v>
      </c>
    </row>
    <row r="728" spans="1:9" ht="15" customHeight="1" x14ac:dyDescent="0.35">
      <c r="A728" s="90">
        <v>25</v>
      </c>
      <c r="B728" s="90" t="s">
        <v>283</v>
      </c>
      <c r="C728" s="91" t="s">
        <v>1518</v>
      </c>
      <c r="D728" s="91" t="s">
        <v>1519</v>
      </c>
      <c r="E728" s="90" t="s">
        <v>1490</v>
      </c>
      <c r="F728" s="91" t="s">
        <v>3233</v>
      </c>
      <c r="G728" s="91" t="str">
        <f t="shared" si="22"/>
        <v>Roberto ALVARADO - Mexico</v>
      </c>
      <c r="H728" s="91" t="str">
        <f t="shared" si="23"/>
        <v>MEX25</v>
      </c>
      <c r="I728" s="91" t="s">
        <v>3258</v>
      </c>
    </row>
    <row r="729" spans="1:9" ht="15" customHeight="1" x14ac:dyDescent="0.35">
      <c r="A729" s="90">
        <v>26</v>
      </c>
      <c r="B729" s="90" t="s">
        <v>280</v>
      </c>
      <c r="C729" s="91" t="s">
        <v>765</v>
      </c>
      <c r="D729" s="91" t="s">
        <v>1520</v>
      </c>
      <c r="E729" s="90" t="s">
        <v>1490</v>
      </c>
      <c r="F729" s="91" t="s">
        <v>3233</v>
      </c>
      <c r="G729" s="91" t="str">
        <f t="shared" si="22"/>
        <v>Brian GUTIERREZ - Mexico</v>
      </c>
      <c r="H729" s="91" t="str">
        <f t="shared" si="23"/>
        <v>MEX26</v>
      </c>
      <c r="I729" s="91" t="s">
        <v>3259</v>
      </c>
    </row>
    <row r="730" spans="1:9" ht="15" customHeight="1" x14ac:dyDescent="0.35">
      <c r="A730" s="92">
        <v>1</v>
      </c>
      <c r="B730" s="92" t="s">
        <v>267</v>
      </c>
      <c r="C730" s="93" t="s">
        <v>318</v>
      </c>
      <c r="D730" s="93" t="s">
        <v>1521</v>
      </c>
      <c r="E730" s="92" t="s">
        <v>1522</v>
      </c>
      <c r="F730" s="93" t="s">
        <v>3260</v>
      </c>
      <c r="G730" s="93" t="str">
        <f t="shared" si="22"/>
        <v>Yassine BOUNOU - Morocco</v>
      </c>
      <c r="H730" s="93" t="str">
        <f t="shared" si="23"/>
        <v>MAR1</v>
      </c>
      <c r="I730" s="93" t="s">
        <v>3261</v>
      </c>
    </row>
    <row r="731" spans="1:9" ht="15" customHeight="1" x14ac:dyDescent="0.35">
      <c r="A731" s="92">
        <v>2</v>
      </c>
      <c r="B731" s="92" t="s">
        <v>271</v>
      </c>
      <c r="C731" s="93" t="s">
        <v>274</v>
      </c>
      <c r="D731" s="93" t="s">
        <v>1523</v>
      </c>
      <c r="E731" s="92" t="s">
        <v>1522</v>
      </c>
      <c r="F731" s="93" t="s">
        <v>3260</v>
      </c>
      <c r="G731" s="93" t="str">
        <f t="shared" si="22"/>
        <v>Achraf HAKIMI - Morocco</v>
      </c>
      <c r="H731" s="93" t="str">
        <f t="shared" si="23"/>
        <v>MAR2</v>
      </c>
      <c r="I731" s="93" t="s">
        <v>3262</v>
      </c>
    </row>
    <row r="732" spans="1:9" ht="15" customHeight="1" x14ac:dyDescent="0.35">
      <c r="A732" s="92">
        <v>3</v>
      </c>
      <c r="B732" s="92" t="s">
        <v>271</v>
      </c>
      <c r="C732" s="93" t="s">
        <v>1524</v>
      </c>
      <c r="D732" s="93" t="s">
        <v>1525</v>
      </c>
      <c r="E732" s="92" t="s">
        <v>1522</v>
      </c>
      <c r="F732" s="93" t="s">
        <v>3260</v>
      </c>
      <c r="G732" s="93" t="str">
        <f t="shared" si="22"/>
        <v>Noussair MAZRAOUI - Morocco</v>
      </c>
      <c r="H732" s="93" t="str">
        <f t="shared" si="23"/>
        <v>MAR3</v>
      </c>
      <c r="I732" s="93" t="s">
        <v>3263</v>
      </c>
    </row>
    <row r="733" spans="1:9" ht="15" customHeight="1" x14ac:dyDescent="0.35">
      <c r="A733" s="92">
        <v>4</v>
      </c>
      <c r="B733" s="92" t="s">
        <v>280</v>
      </c>
      <c r="C733" s="93" t="s">
        <v>1526</v>
      </c>
      <c r="D733" s="93" t="s">
        <v>1527</v>
      </c>
      <c r="E733" s="92" t="s">
        <v>1522</v>
      </c>
      <c r="F733" s="93" t="s">
        <v>3260</v>
      </c>
      <c r="G733" s="93" t="str">
        <f t="shared" si="22"/>
        <v>Sofyan AMRABAT - Morocco</v>
      </c>
      <c r="H733" s="93" t="str">
        <f t="shared" si="23"/>
        <v>MAR4</v>
      </c>
      <c r="I733" s="93" t="s">
        <v>3264</v>
      </c>
    </row>
    <row r="734" spans="1:9" ht="15" customHeight="1" x14ac:dyDescent="0.35">
      <c r="A734" s="92">
        <v>5</v>
      </c>
      <c r="B734" s="92" t="s">
        <v>271</v>
      </c>
      <c r="C734" s="93" t="s">
        <v>2493</v>
      </c>
      <c r="D734" s="93" t="s">
        <v>2494</v>
      </c>
      <c r="E734" s="92" t="s">
        <v>1522</v>
      </c>
      <c r="F734" s="93" t="s">
        <v>3260</v>
      </c>
      <c r="G734" s="93" t="str">
        <f t="shared" si="22"/>
        <v>Marwane SAADANE - Morocco</v>
      </c>
      <c r="H734" s="93" t="str">
        <f t="shared" si="23"/>
        <v>MAR5</v>
      </c>
      <c r="I734" s="93" t="s">
        <v>3804</v>
      </c>
    </row>
    <row r="735" spans="1:9" ht="15" customHeight="1" x14ac:dyDescent="0.35">
      <c r="A735" s="92">
        <v>6</v>
      </c>
      <c r="B735" s="92" t="s">
        <v>280</v>
      </c>
      <c r="C735" s="93" t="s">
        <v>1528</v>
      </c>
      <c r="D735" s="93" t="s">
        <v>1529</v>
      </c>
      <c r="E735" s="92" t="s">
        <v>1522</v>
      </c>
      <c r="F735" s="93" t="s">
        <v>3260</v>
      </c>
      <c r="G735" s="93" t="str">
        <f t="shared" si="22"/>
        <v>Ayyoub BOUADDI - Morocco</v>
      </c>
      <c r="H735" s="93" t="str">
        <f t="shared" si="23"/>
        <v>MAR6</v>
      </c>
      <c r="I735" s="93" t="s">
        <v>3265</v>
      </c>
    </row>
    <row r="736" spans="1:9" ht="15" customHeight="1" x14ac:dyDescent="0.35">
      <c r="A736" s="92">
        <v>7</v>
      </c>
      <c r="B736" s="92" t="s">
        <v>280</v>
      </c>
      <c r="C736" s="93" t="s">
        <v>1530</v>
      </c>
      <c r="D736" s="93" t="s">
        <v>1531</v>
      </c>
      <c r="E736" s="92" t="s">
        <v>1522</v>
      </c>
      <c r="F736" s="93" t="s">
        <v>3260</v>
      </c>
      <c r="G736" s="93" t="str">
        <f t="shared" si="22"/>
        <v>Chemsdine TALBI - Morocco</v>
      </c>
      <c r="H736" s="93" t="str">
        <f t="shared" si="23"/>
        <v>MAR7</v>
      </c>
      <c r="I736" s="93" t="s">
        <v>3266</v>
      </c>
    </row>
    <row r="737" spans="1:9" ht="15" customHeight="1" x14ac:dyDescent="0.35">
      <c r="A737" s="92">
        <v>8</v>
      </c>
      <c r="B737" s="92" t="s">
        <v>280</v>
      </c>
      <c r="C737" s="93" t="s">
        <v>1532</v>
      </c>
      <c r="D737" s="93" t="s">
        <v>1533</v>
      </c>
      <c r="E737" s="92" t="s">
        <v>1522</v>
      </c>
      <c r="F737" s="93" t="s">
        <v>3260</v>
      </c>
      <c r="G737" s="93" t="str">
        <f t="shared" si="22"/>
        <v>Azzedine OUNAHI - Morocco</v>
      </c>
      <c r="H737" s="93" t="str">
        <f t="shared" si="23"/>
        <v>MAR8</v>
      </c>
      <c r="I737" s="93" t="s">
        <v>3267</v>
      </c>
    </row>
    <row r="738" spans="1:9" ht="15" customHeight="1" x14ac:dyDescent="0.35">
      <c r="A738" s="92">
        <v>9</v>
      </c>
      <c r="B738" s="92" t="s">
        <v>283</v>
      </c>
      <c r="C738" s="93" t="s">
        <v>1534</v>
      </c>
      <c r="D738" s="93" t="s">
        <v>1535</v>
      </c>
      <c r="E738" s="92" t="s">
        <v>1522</v>
      </c>
      <c r="F738" s="93" t="s">
        <v>3260</v>
      </c>
      <c r="G738" s="93" t="str">
        <f t="shared" si="22"/>
        <v>Souane RAHIMI - Morocco</v>
      </c>
      <c r="H738" s="93" t="str">
        <f t="shared" si="23"/>
        <v>MAR9</v>
      </c>
      <c r="I738" s="93" t="s">
        <v>3268</v>
      </c>
    </row>
    <row r="739" spans="1:9" ht="15" customHeight="1" x14ac:dyDescent="0.35">
      <c r="A739" s="92">
        <v>10</v>
      </c>
      <c r="B739" s="92" t="s">
        <v>283</v>
      </c>
      <c r="C739" s="93" t="s">
        <v>1536</v>
      </c>
      <c r="D739" s="93" t="s">
        <v>717</v>
      </c>
      <c r="E739" s="92" t="s">
        <v>1522</v>
      </c>
      <c r="F739" s="93" t="s">
        <v>3260</v>
      </c>
      <c r="G739" s="93" t="str">
        <f t="shared" si="22"/>
        <v>Brahim DIAZ - Morocco</v>
      </c>
      <c r="H739" s="93" t="str">
        <f t="shared" si="23"/>
        <v>MAR10</v>
      </c>
      <c r="I739" s="93" t="s">
        <v>3269</v>
      </c>
    </row>
    <row r="740" spans="1:9" ht="15" customHeight="1" x14ac:dyDescent="0.35">
      <c r="A740" s="92">
        <v>11</v>
      </c>
      <c r="B740" s="92" t="s">
        <v>280</v>
      </c>
      <c r="C740" s="93" t="s">
        <v>673</v>
      </c>
      <c r="D740" s="93" t="s">
        <v>1537</v>
      </c>
      <c r="E740" s="92" t="s">
        <v>1522</v>
      </c>
      <c r="F740" s="93" t="s">
        <v>3260</v>
      </c>
      <c r="G740" s="93" t="str">
        <f t="shared" si="22"/>
        <v>Ismael SAIBARI - Morocco</v>
      </c>
      <c r="H740" s="93" t="str">
        <f t="shared" si="23"/>
        <v>MAR11</v>
      </c>
      <c r="I740" s="93" t="s">
        <v>3270</v>
      </c>
    </row>
    <row r="741" spans="1:9" ht="15" customHeight="1" x14ac:dyDescent="0.35">
      <c r="A741" s="92">
        <v>12</v>
      </c>
      <c r="B741" s="92" t="s">
        <v>267</v>
      </c>
      <c r="C741" s="93" t="s">
        <v>1538</v>
      </c>
      <c r="D741" s="93" t="s">
        <v>1539</v>
      </c>
      <c r="E741" s="92" t="s">
        <v>1522</v>
      </c>
      <c r="F741" s="93" t="s">
        <v>3260</v>
      </c>
      <c r="G741" s="93" t="str">
        <f t="shared" si="22"/>
        <v>Munir EL KAJOUI - Morocco</v>
      </c>
      <c r="H741" s="93" t="str">
        <f t="shared" si="23"/>
        <v>MAR12</v>
      </c>
      <c r="I741" s="93" t="s">
        <v>3271</v>
      </c>
    </row>
    <row r="742" spans="1:9" ht="15" customHeight="1" x14ac:dyDescent="0.35">
      <c r="A742" s="92">
        <v>13</v>
      </c>
      <c r="B742" s="92" t="s">
        <v>271</v>
      </c>
      <c r="C742" s="93" t="s">
        <v>1540</v>
      </c>
      <c r="D742" s="93" t="s">
        <v>1541</v>
      </c>
      <c r="E742" s="92" t="s">
        <v>1522</v>
      </c>
      <c r="F742" s="93" t="s">
        <v>3260</v>
      </c>
      <c r="G742" s="93" t="str">
        <f t="shared" si="22"/>
        <v>Zakaria EL OUAHDI - Morocco</v>
      </c>
      <c r="H742" s="93" t="str">
        <f t="shared" si="23"/>
        <v>MAR13</v>
      </c>
      <c r="I742" s="93" t="s">
        <v>3272</v>
      </c>
    </row>
    <row r="743" spans="1:9" ht="15" customHeight="1" x14ac:dyDescent="0.35">
      <c r="A743" s="92">
        <v>14</v>
      </c>
      <c r="B743" s="92" t="s">
        <v>271</v>
      </c>
      <c r="C743" s="93" t="s">
        <v>1542</v>
      </c>
      <c r="D743" s="93" t="s">
        <v>1543</v>
      </c>
      <c r="E743" s="92" t="s">
        <v>1522</v>
      </c>
      <c r="F743" s="93" t="s">
        <v>3260</v>
      </c>
      <c r="G743" s="93" t="str">
        <f t="shared" si="22"/>
        <v>Issa DIOP - Morocco</v>
      </c>
      <c r="H743" s="93" t="str">
        <f t="shared" si="23"/>
        <v>MAR14</v>
      </c>
      <c r="I743" s="93" t="s">
        <v>3273</v>
      </c>
    </row>
    <row r="744" spans="1:9" ht="15" customHeight="1" x14ac:dyDescent="0.35">
      <c r="A744" s="92">
        <v>15</v>
      </c>
      <c r="B744" s="92" t="s">
        <v>280</v>
      </c>
      <c r="C744" s="93" t="s">
        <v>321</v>
      </c>
      <c r="D744" s="93" t="s">
        <v>1544</v>
      </c>
      <c r="E744" s="92" t="s">
        <v>1522</v>
      </c>
      <c r="F744" s="93" t="s">
        <v>3260</v>
      </c>
      <c r="G744" s="93" t="str">
        <f t="shared" si="22"/>
        <v>Samir EL MOURABET - Morocco</v>
      </c>
      <c r="H744" s="93" t="str">
        <f t="shared" si="23"/>
        <v>MAR15</v>
      </c>
      <c r="I744" s="93" t="s">
        <v>3274</v>
      </c>
    </row>
    <row r="745" spans="1:9" ht="15" customHeight="1" x14ac:dyDescent="0.35">
      <c r="A745" s="92">
        <v>16</v>
      </c>
      <c r="B745" s="92" t="s">
        <v>280</v>
      </c>
      <c r="C745" s="93" t="s">
        <v>1545</v>
      </c>
      <c r="D745" s="93" t="s">
        <v>1546</v>
      </c>
      <c r="E745" s="92" t="s">
        <v>1522</v>
      </c>
      <c r="F745" s="93" t="s">
        <v>3260</v>
      </c>
      <c r="G745" s="93" t="str">
        <f t="shared" si="22"/>
        <v>Gessime YASSINE - Morocco</v>
      </c>
      <c r="H745" s="93" t="str">
        <f t="shared" si="23"/>
        <v>MAR16</v>
      </c>
      <c r="I745" s="93" t="s">
        <v>3275</v>
      </c>
    </row>
    <row r="746" spans="1:9" ht="15" customHeight="1" x14ac:dyDescent="0.35">
      <c r="A746" s="92">
        <v>17</v>
      </c>
      <c r="B746" s="92" t="s">
        <v>283</v>
      </c>
      <c r="C746" s="93" t="s">
        <v>288</v>
      </c>
      <c r="D746" s="93" t="s">
        <v>2495</v>
      </c>
      <c r="E746" s="92" t="s">
        <v>1522</v>
      </c>
      <c r="F746" s="93" t="s">
        <v>3260</v>
      </c>
      <c r="G746" s="93" t="str">
        <f t="shared" si="22"/>
        <v>Amine SBAI - Morocco</v>
      </c>
      <c r="H746" s="93" t="str">
        <f t="shared" si="23"/>
        <v>MAR17</v>
      </c>
      <c r="I746" s="93" t="s">
        <v>3805</v>
      </c>
    </row>
    <row r="747" spans="1:9" ht="15" customHeight="1" x14ac:dyDescent="0.35">
      <c r="A747" s="92">
        <v>18</v>
      </c>
      <c r="B747" s="92" t="s">
        <v>271</v>
      </c>
      <c r="C747" s="93" t="s">
        <v>1547</v>
      </c>
      <c r="D747" s="93" t="s">
        <v>1548</v>
      </c>
      <c r="E747" s="92" t="s">
        <v>1522</v>
      </c>
      <c r="F747" s="93" t="s">
        <v>3260</v>
      </c>
      <c r="G747" s="93" t="str">
        <f t="shared" si="22"/>
        <v>Chadi RIAD - Morocco</v>
      </c>
      <c r="H747" s="93" t="str">
        <f t="shared" si="23"/>
        <v>MAR18</v>
      </c>
      <c r="I747" s="93" t="s">
        <v>3276</v>
      </c>
    </row>
    <row r="748" spans="1:9" ht="15" customHeight="1" x14ac:dyDescent="0.35">
      <c r="A748" s="92">
        <v>19</v>
      </c>
      <c r="B748" s="92" t="s">
        <v>271</v>
      </c>
      <c r="C748" s="93" t="s">
        <v>1332</v>
      </c>
      <c r="D748" s="93" t="s">
        <v>1549</v>
      </c>
      <c r="E748" s="92" t="s">
        <v>1522</v>
      </c>
      <c r="F748" s="93" t="s">
        <v>3260</v>
      </c>
      <c r="G748" s="93" t="str">
        <f t="shared" si="22"/>
        <v>Youssef BELAMMARI - Morocco</v>
      </c>
      <c r="H748" s="93" t="str">
        <f t="shared" si="23"/>
        <v>MAR19</v>
      </c>
      <c r="I748" s="93" t="s">
        <v>3277</v>
      </c>
    </row>
    <row r="749" spans="1:9" ht="15" customHeight="1" x14ac:dyDescent="0.35">
      <c r="A749" s="92">
        <v>20</v>
      </c>
      <c r="B749" s="92" t="s">
        <v>283</v>
      </c>
      <c r="C749" s="93" t="s">
        <v>1550</v>
      </c>
      <c r="D749" s="93" t="s">
        <v>1551</v>
      </c>
      <c r="E749" s="92" t="s">
        <v>1522</v>
      </c>
      <c r="F749" s="93" t="s">
        <v>3260</v>
      </c>
      <c r="G749" s="93" t="str">
        <f t="shared" si="22"/>
        <v>Ayoub EL KAABI - Morocco</v>
      </c>
      <c r="H749" s="93" t="str">
        <f t="shared" si="23"/>
        <v>MAR20</v>
      </c>
      <c r="I749" s="93" t="s">
        <v>3278</v>
      </c>
    </row>
    <row r="750" spans="1:9" ht="15" customHeight="1" x14ac:dyDescent="0.35">
      <c r="A750" s="92">
        <v>21</v>
      </c>
      <c r="B750" s="92" t="s">
        <v>283</v>
      </c>
      <c r="C750" s="93" t="s">
        <v>1550</v>
      </c>
      <c r="D750" s="93" t="s">
        <v>1552</v>
      </c>
      <c r="E750" s="92" t="s">
        <v>1522</v>
      </c>
      <c r="F750" s="93" t="s">
        <v>3260</v>
      </c>
      <c r="G750" s="93" t="str">
        <f t="shared" si="22"/>
        <v>Ayoub AMAIMOUNI - Morocco</v>
      </c>
      <c r="H750" s="93" t="str">
        <f t="shared" si="23"/>
        <v>MAR21</v>
      </c>
      <c r="I750" s="93" t="s">
        <v>3279</v>
      </c>
    </row>
    <row r="751" spans="1:9" ht="15" customHeight="1" x14ac:dyDescent="0.35">
      <c r="A751" s="92">
        <v>22</v>
      </c>
      <c r="B751" s="92" t="s">
        <v>267</v>
      </c>
      <c r="C751" s="93" t="s">
        <v>1553</v>
      </c>
      <c r="D751" s="93" t="s">
        <v>1554</v>
      </c>
      <c r="E751" s="92" t="s">
        <v>1522</v>
      </c>
      <c r="F751" s="93" t="s">
        <v>3260</v>
      </c>
      <c r="G751" s="93" t="str">
        <f t="shared" si="22"/>
        <v>Ahmed Reda TAGNAOUTI - Morocco</v>
      </c>
      <c r="H751" s="93" t="str">
        <f t="shared" si="23"/>
        <v>MAR22</v>
      </c>
      <c r="I751" s="93" t="s">
        <v>3280</v>
      </c>
    </row>
    <row r="752" spans="1:9" ht="15" customHeight="1" x14ac:dyDescent="0.35">
      <c r="A752" s="92">
        <v>23</v>
      </c>
      <c r="B752" s="92" t="s">
        <v>280</v>
      </c>
      <c r="C752" s="93" t="s">
        <v>1555</v>
      </c>
      <c r="D752" s="93" t="s">
        <v>1556</v>
      </c>
      <c r="E752" s="92" t="s">
        <v>1522</v>
      </c>
      <c r="F752" s="93" t="s">
        <v>3260</v>
      </c>
      <c r="G752" s="93" t="str">
        <f t="shared" si="22"/>
        <v>Bilal EL KHANNOUSS - Morocco</v>
      </c>
      <c r="H752" s="93" t="str">
        <f t="shared" si="23"/>
        <v>MAR23</v>
      </c>
      <c r="I752" s="93" t="s">
        <v>3281</v>
      </c>
    </row>
    <row r="753" spans="1:9" ht="15" customHeight="1" x14ac:dyDescent="0.35">
      <c r="A753" s="92">
        <v>24</v>
      </c>
      <c r="B753" s="92" t="s">
        <v>280</v>
      </c>
      <c r="C753" s="93" t="s">
        <v>1557</v>
      </c>
      <c r="D753" s="93" t="s">
        <v>1558</v>
      </c>
      <c r="E753" s="92" t="s">
        <v>1522</v>
      </c>
      <c r="F753" s="93" t="s">
        <v>3260</v>
      </c>
      <c r="G753" s="93" t="str">
        <f t="shared" si="22"/>
        <v>Neil EL AYNAOUI - Morocco</v>
      </c>
      <c r="H753" s="93" t="str">
        <f t="shared" si="23"/>
        <v>MAR24</v>
      </c>
      <c r="I753" s="93" t="s">
        <v>3282</v>
      </c>
    </row>
    <row r="754" spans="1:9" ht="15" customHeight="1" x14ac:dyDescent="0.35">
      <c r="A754" s="92">
        <v>25</v>
      </c>
      <c r="B754" s="92" t="s">
        <v>271</v>
      </c>
      <c r="C754" s="93" t="s">
        <v>1559</v>
      </c>
      <c r="D754" s="93" t="s">
        <v>1560</v>
      </c>
      <c r="E754" s="92" t="s">
        <v>1522</v>
      </c>
      <c r="F754" s="93" t="s">
        <v>3260</v>
      </c>
      <c r="G754" s="93" t="str">
        <f t="shared" si="22"/>
        <v>Redouane HALHAL - Morocco</v>
      </c>
      <c r="H754" s="93" t="str">
        <f t="shared" si="23"/>
        <v>MAR25</v>
      </c>
      <c r="I754" s="93" t="s">
        <v>3283</v>
      </c>
    </row>
    <row r="755" spans="1:9" ht="15" customHeight="1" x14ac:dyDescent="0.35">
      <c r="A755" s="92">
        <v>26</v>
      </c>
      <c r="B755" s="92" t="s">
        <v>271</v>
      </c>
      <c r="C755" s="93" t="s">
        <v>1561</v>
      </c>
      <c r="D755" s="93" t="s">
        <v>1562</v>
      </c>
      <c r="E755" s="92" t="s">
        <v>1522</v>
      </c>
      <c r="F755" s="93" t="s">
        <v>3260</v>
      </c>
      <c r="G755" s="93" t="str">
        <f t="shared" si="22"/>
        <v>Anass SALAH EDDINE - Morocco</v>
      </c>
      <c r="H755" s="93" t="str">
        <f t="shared" si="23"/>
        <v>MAR26</v>
      </c>
      <c r="I755" s="93" t="s">
        <v>3284</v>
      </c>
    </row>
    <row r="756" spans="1:9" ht="15" customHeight="1" x14ac:dyDescent="0.35">
      <c r="A756" s="94">
        <v>1</v>
      </c>
      <c r="B756" s="94" t="s">
        <v>267</v>
      </c>
      <c r="C756" s="95" t="s">
        <v>1563</v>
      </c>
      <c r="D756" s="95" t="s">
        <v>1564</v>
      </c>
      <c r="E756" s="94" t="s">
        <v>1565</v>
      </c>
      <c r="F756" s="95" t="s">
        <v>3285</v>
      </c>
      <c r="G756" s="95" t="str">
        <f t="shared" si="22"/>
        <v>Bart VERBRUGGEN - Netherlands</v>
      </c>
      <c r="H756" s="95" t="str">
        <f t="shared" si="23"/>
        <v>NLD1</v>
      </c>
      <c r="I756" s="95" t="s">
        <v>3286</v>
      </c>
    </row>
    <row r="757" spans="1:9" ht="15" customHeight="1" x14ac:dyDescent="0.35">
      <c r="A757" s="94">
        <v>2</v>
      </c>
      <c r="B757" s="94" t="s">
        <v>271</v>
      </c>
      <c r="C757" s="95" t="s">
        <v>2500</v>
      </c>
      <c r="D757" s="95" t="s">
        <v>2501</v>
      </c>
      <c r="E757" s="94" t="s">
        <v>1565</v>
      </c>
      <c r="F757" s="95" t="s">
        <v>3285</v>
      </c>
      <c r="G757" s="95" t="str">
        <f t="shared" si="22"/>
        <v>Lutsharel GEERTRUIDA - Netherlands</v>
      </c>
      <c r="H757" s="95" t="str">
        <f t="shared" si="23"/>
        <v>NLD2</v>
      </c>
      <c r="I757" s="95" t="s">
        <v>3287</v>
      </c>
    </row>
    <row r="758" spans="1:9" ht="15" customHeight="1" x14ac:dyDescent="0.35">
      <c r="A758" s="94">
        <v>3</v>
      </c>
      <c r="B758" s="94" t="s">
        <v>280</v>
      </c>
      <c r="C758" s="95" t="s">
        <v>1567</v>
      </c>
      <c r="D758" s="95" t="s">
        <v>1568</v>
      </c>
      <c r="E758" s="94" t="s">
        <v>1565</v>
      </c>
      <c r="F758" s="95" t="s">
        <v>3285</v>
      </c>
      <c r="G758" s="95" t="str">
        <f t="shared" si="22"/>
        <v>Marten DE ROON - Netherlands</v>
      </c>
      <c r="H758" s="95" t="str">
        <f t="shared" si="23"/>
        <v>NLD3</v>
      </c>
      <c r="I758" s="95" t="s">
        <v>3288</v>
      </c>
    </row>
    <row r="759" spans="1:9" ht="15" customHeight="1" x14ac:dyDescent="0.35">
      <c r="A759" s="94">
        <v>4</v>
      </c>
      <c r="B759" s="94" t="s">
        <v>271</v>
      </c>
      <c r="C759" s="95" t="s">
        <v>1569</v>
      </c>
      <c r="D759" s="95" t="s">
        <v>1570</v>
      </c>
      <c r="E759" s="94" t="s">
        <v>1565</v>
      </c>
      <c r="F759" s="95" t="s">
        <v>3285</v>
      </c>
      <c r="G759" s="95" t="str">
        <f t="shared" si="22"/>
        <v>Virgil VAN DIJK - Netherlands</v>
      </c>
      <c r="H759" s="95" t="str">
        <f t="shared" si="23"/>
        <v>NLD4</v>
      </c>
      <c r="I759" s="95" t="s">
        <v>3289</v>
      </c>
    </row>
    <row r="760" spans="1:9" ht="15" customHeight="1" x14ac:dyDescent="0.35">
      <c r="A760" s="94">
        <v>5</v>
      </c>
      <c r="B760" s="94" t="s">
        <v>271</v>
      </c>
      <c r="C760" s="95" t="s">
        <v>504</v>
      </c>
      <c r="D760" s="95" t="s">
        <v>1571</v>
      </c>
      <c r="E760" s="94" t="s">
        <v>1565</v>
      </c>
      <c r="F760" s="95" t="s">
        <v>3285</v>
      </c>
      <c r="G760" s="95" t="str">
        <f t="shared" si="22"/>
        <v>Nathan AKE - Netherlands</v>
      </c>
      <c r="H760" s="95" t="str">
        <f t="shared" si="23"/>
        <v>NLD5</v>
      </c>
      <c r="I760" s="95" t="s">
        <v>3290</v>
      </c>
    </row>
    <row r="761" spans="1:9" ht="15" customHeight="1" x14ac:dyDescent="0.35">
      <c r="A761" s="94">
        <v>6</v>
      </c>
      <c r="B761" s="94" t="s">
        <v>271</v>
      </c>
      <c r="C761" s="95" t="s">
        <v>1572</v>
      </c>
      <c r="D761" s="95" t="s">
        <v>1573</v>
      </c>
      <c r="E761" s="94" t="s">
        <v>1565</v>
      </c>
      <c r="F761" s="95" t="s">
        <v>3285</v>
      </c>
      <c r="G761" s="95" t="str">
        <f t="shared" si="22"/>
        <v>Jan Paul VAN HECKE - Netherlands</v>
      </c>
      <c r="H761" s="95" t="str">
        <f t="shared" si="23"/>
        <v>NLD6</v>
      </c>
      <c r="I761" s="95" t="s">
        <v>3291</v>
      </c>
    </row>
    <row r="762" spans="1:9" ht="15" customHeight="1" x14ac:dyDescent="0.35">
      <c r="A762" s="94">
        <v>7</v>
      </c>
      <c r="B762" s="94" t="s">
        <v>280</v>
      </c>
      <c r="C762" s="95" t="s">
        <v>1574</v>
      </c>
      <c r="D762" s="95" t="s">
        <v>1575</v>
      </c>
      <c r="E762" s="94" t="s">
        <v>1565</v>
      </c>
      <c r="F762" s="95" t="s">
        <v>3285</v>
      </c>
      <c r="G762" s="95" t="str">
        <f t="shared" si="22"/>
        <v>Justin KLUIVERT - Netherlands</v>
      </c>
      <c r="H762" s="95" t="str">
        <f t="shared" si="23"/>
        <v>NLD7</v>
      </c>
      <c r="I762" s="95" t="s">
        <v>3292</v>
      </c>
    </row>
    <row r="763" spans="1:9" ht="15" customHeight="1" x14ac:dyDescent="0.35">
      <c r="A763" s="94">
        <v>8</v>
      </c>
      <c r="B763" s="94" t="s">
        <v>280</v>
      </c>
      <c r="C763" s="95" t="s">
        <v>644</v>
      </c>
      <c r="D763" s="95" t="s">
        <v>1576</v>
      </c>
      <c r="E763" s="94" t="s">
        <v>1565</v>
      </c>
      <c r="F763" s="95" t="s">
        <v>3285</v>
      </c>
      <c r="G763" s="95" t="str">
        <f t="shared" si="22"/>
        <v>Ryan GRAVENBERCH - Netherlands</v>
      </c>
      <c r="H763" s="95" t="str">
        <f t="shared" si="23"/>
        <v>NLD8</v>
      </c>
      <c r="I763" s="95" t="s">
        <v>3293</v>
      </c>
    </row>
    <row r="764" spans="1:9" ht="15" customHeight="1" x14ac:dyDescent="0.35">
      <c r="A764" s="94">
        <v>9</v>
      </c>
      <c r="B764" s="94" t="s">
        <v>283</v>
      </c>
      <c r="C764" s="95" t="s">
        <v>1577</v>
      </c>
      <c r="D764" s="95" t="s">
        <v>1578</v>
      </c>
      <c r="E764" s="94" t="s">
        <v>1565</v>
      </c>
      <c r="F764" s="95" t="s">
        <v>3285</v>
      </c>
      <c r="G764" s="95" t="str">
        <f t="shared" si="22"/>
        <v>Wout WEGHORST - Netherlands</v>
      </c>
      <c r="H764" s="95" t="str">
        <f t="shared" si="23"/>
        <v>NLD9</v>
      </c>
      <c r="I764" s="95" t="s">
        <v>3294</v>
      </c>
    </row>
    <row r="765" spans="1:9" ht="15" customHeight="1" x14ac:dyDescent="0.35">
      <c r="A765" s="94">
        <v>10</v>
      </c>
      <c r="B765" s="94" t="s">
        <v>283</v>
      </c>
      <c r="C765" s="95" t="s">
        <v>1579</v>
      </c>
      <c r="D765" s="95" t="s">
        <v>1580</v>
      </c>
      <c r="E765" s="94" t="s">
        <v>1565</v>
      </c>
      <c r="F765" s="95" t="s">
        <v>3285</v>
      </c>
      <c r="G765" s="95" t="str">
        <f t="shared" si="22"/>
        <v>Memphis DEPAY - Netherlands</v>
      </c>
      <c r="H765" s="95" t="str">
        <f t="shared" si="23"/>
        <v>NLD10</v>
      </c>
      <c r="I765" s="95" t="s">
        <v>3295</v>
      </c>
    </row>
    <row r="766" spans="1:9" ht="15" customHeight="1" x14ac:dyDescent="0.35">
      <c r="A766" s="94">
        <v>11</v>
      </c>
      <c r="B766" s="94" t="s">
        <v>283</v>
      </c>
      <c r="C766" s="95" t="s">
        <v>1581</v>
      </c>
      <c r="D766" s="95" t="s">
        <v>1582</v>
      </c>
      <c r="E766" s="94" t="s">
        <v>1565</v>
      </c>
      <c r="F766" s="95" t="s">
        <v>3285</v>
      </c>
      <c r="G766" s="95" t="str">
        <f t="shared" si="22"/>
        <v>Cody GAKPO - Netherlands</v>
      </c>
      <c r="H766" s="95" t="str">
        <f t="shared" si="23"/>
        <v>NLD11</v>
      </c>
      <c r="I766" s="95" t="s">
        <v>3296</v>
      </c>
    </row>
    <row r="767" spans="1:9" ht="15" customHeight="1" x14ac:dyDescent="0.35">
      <c r="A767" s="94">
        <v>12</v>
      </c>
      <c r="B767" s="94" t="s">
        <v>271</v>
      </c>
      <c r="C767" s="95" t="s">
        <v>1583</v>
      </c>
      <c r="D767" s="95" t="s">
        <v>1584</v>
      </c>
      <c r="E767" s="94" t="s">
        <v>1565</v>
      </c>
      <c r="F767" s="95" t="s">
        <v>3285</v>
      </c>
      <c r="G767" s="95" t="str">
        <f t="shared" si="22"/>
        <v>Mats WIEFFER - Netherlands</v>
      </c>
      <c r="H767" s="95" t="str">
        <f t="shared" si="23"/>
        <v>NLD12</v>
      </c>
      <c r="I767" s="95" t="s">
        <v>3297</v>
      </c>
    </row>
    <row r="768" spans="1:9" ht="15" customHeight="1" x14ac:dyDescent="0.35">
      <c r="A768" s="94">
        <v>13</v>
      </c>
      <c r="B768" s="94" t="s">
        <v>267</v>
      </c>
      <c r="C768" s="95" t="s">
        <v>936</v>
      </c>
      <c r="D768" s="95" t="s">
        <v>1585</v>
      </c>
      <c r="E768" s="94" t="s">
        <v>1565</v>
      </c>
      <c r="F768" s="95" t="s">
        <v>3285</v>
      </c>
      <c r="G768" s="95" t="str">
        <f t="shared" si="22"/>
        <v>Robin ROEFS - Netherlands</v>
      </c>
      <c r="H768" s="95" t="str">
        <f t="shared" si="23"/>
        <v>NLD13</v>
      </c>
      <c r="I768" s="95" t="s">
        <v>3298</v>
      </c>
    </row>
    <row r="769" spans="1:9" ht="15" customHeight="1" x14ac:dyDescent="0.35">
      <c r="A769" s="94">
        <v>14</v>
      </c>
      <c r="B769" s="94" t="s">
        <v>280</v>
      </c>
      <c r="C769" s="95" t="s">
        <v>1586</v>
      </c>
      <c r="D769" s="95" t="s">
        <v>1587</v>
      </c>
      <c r="E769" s="94" t="s">
        <v>1565</v>
      </c>
      <c r="F769" s="95" t="s">
        <v>3285</v>
      </c>
      <c r="G769" s="95" t="str">
        <f t="shared" si="22"/>
        <v>Tijjani REIJNDERS - Netherlands</v>
      </c>
      <c r="H769" s="95" t="str">
        <f t="shared" si="23"/>
        <v>NLD14</v>
      </c>
      <c r="I769" s="95" t="s">
        <v>3299</v>
      </c>
    </row>
    <row r="770" spans="1:9" ht="15" customHeight="1" x14ac:dyDescent="0.35">
      <c r="A770" s="94">
        <v>15</v>
      </c>
      <c r="B770" s="94" t="s">
        <v>271</v>
      </c>
      <c r="C770" s="95" t="s">
        <v>1588</v>
      </c>
      <c r="D770" s="95" t="s">
        <v>1589</v>
      </c>
      <c r="E770" s="94" t="s">
        <v>1565</v>
      </c>
      <c r="F770" s="95" t="s">
        <v>3285</v>
      </c>
      <c r="G770" s="95" t="str">
        <f t="shared" si="22"/>
        <v>Micky VAN DE VEN - Netherlands</v>
      </c>
      <c r="H770" s="95" t="str">
        <f t="shared" si="23"/>
        <v>NLD15</v>
      </c>
      <c r="I770" s="95" t="s">
        <v>3300</v>
      </c>
    </row>
    <row r="771" spans="1:9" ht="15" customHeight="1" x14ac:dyDescent="0.35">
      <c r="A771" s="94">
        <v>16</v>
      </c>
      <c r="B771" s="94" t="s">
        <v>280</v>
      </c>
      <c r="C771" s="95" t="s">
        <v>1590</v>
      </c>
      <c r="D771" s="95" t="s">
        <v>1591</v>
      </c>
      <c r="E771" s="94" t="s">
        <v>1565</v>
      </c>
      <c r="F771" s="95" t="s">
        <v>3285</v>
      </c>
      <c r="G771" s="95" t="str">
        <f t="shared" ref="G771:G834" si="24">_xlfn.CONCAT(C771, " ",D771, " - ",F771)</f>
        <v>Guus TIL - Netherlands</v>
      </c>
      <c r="H771" s="95" t="str">
        <f t="shared" ref="H771:H834" si="25">_xlfn.CONCAT(E771,A771)</f>
        <v>NLD16</v>
      </c>
      <c r="I771" s="95" t="s">
        <v>3301</v>
      </c>
    </row>
    <row r="772" spans="1:9" ht="15" customHeight="1" x14ac:dyDescent="0.35">
      <c r="A772" s="94">
        <v>17</v>
      </c>
      <c r="B772" s="94" t="s">
        <v>283</v>
      </c>
      <c r="C772" s="95" t="s">
        <v>1592</v>
      </c>
      <c r="D772" s="95" t="s">
        <v>1593</v>
      </c>
      <c r="E772" s="94" t="s">
        <v>1565</v>
      </c>
      <c r="F772" s="95" t="s">
        <v>3285</v>
      </c>
      <c r="G772" s="95" t="str">
        <f t="shared" si="24"/>
        <v>Noa LANG - Netherlands</v>
      </c>
      <c r="H772" s="95" t="str">
        <f t="shared" si="25"/>
        <v>NLD17</v>
      </c>
      <c r="I772" s="95" t="s">
        <v>3302</v>
      </c>
    </row>
    <row r="773" spans="1:9" ht="15" customHeight="1" x14ac:dyDescent="0.35">
      <c r="A773" s="94">
        <v>18</v>
      </c>
      <c r="B773" s="94" t="s">
        <v>283</v>
      </c>
      <c r="C773" s="95" t="s">
        <v>1594</v>
      </c>
      <c r="D773" s="95" t="s">
        <v>1595</v>
      </c>
      <c r="E773" s="94" t="s">
        <v>1565</v>
      </c>
      <c r="F773" s="95" t="s">
        <v>3285</v>
      </c>
      <c r="G773" s="95" t="str">
        <f t="shared" si="24"/>
        <v>Donyell MALEN - Netherlands</v>
      </c>
      <c r="H773" s="95" t="str">
        <f t="shared" si="25"/>
        <v>NLD18</v>
      </c>
      <c r="I773" s="95" t="s">
        <v>3303</v>
      </c>
    </row>
    <row r="774" spans="1:9" ht="15" customHeight="1" x14ac:dyDescent="0.35">
      <c r="A774" s="94">
        <v>19</v>
      </c>
      <c r="B774" s="94" t="s">
        <v>283</v>
      </c>
      <c r="C774" s="95" t="s">
        <v>765</v>
      </c>
      <c r="D774" s="95" t="s">
        <v>1596</v>
      </c>
      <c r="E774" s="94" t="s">
        <v>1565</v>
      </c>
      <c r="F774" s="95" t="s">
        <v>3285</v>
      </c>
      <c r="G774" s="95" t="str">
        <f t="shared" si="24"/>
        <v>Brian BROBBEY - Netherlands</v>
      </c>
      <c r="H774" s="95" t="str">
        <f t="shared" si="25"/>
        <v>NLD19</v>
      </c>
      <c r="I774" s="95" t="s">
        <v>3304</v>
      </c>
    </row>
    <row r="775" spans="1:9" ht="15" customHeight="1" x14ac:dyDescent="0.35">
      <c r="A775" s="94">
        <v>20</v>
      </c>
      <c r="B775" s="94" t="s">
        <v>280</v>
      </c>
      <c r="C775" s="95" t="s">
        <v>1597</v>
      </c>
      <c r="D775" s="95" t="s">
        <v>1598</v>
      </c>
      <c r="E775" s="94" t="s">
        <v>1565</v>
      </c>
      <c r="F775" s="95" t="s">
        <v>3285</v>
      </c>
      <c r="G775" s="95" t="str">
        <f t="shared" si="24"/>
        <v>Teun KOOPMEINERS - Netherlands</v>
      </c>
      <c r="H775" s="95" t="str">
        <f t="shared" si="25"/>
        <v>NLD20</v>
      </c>
      <c r="I775" s="95" t="s">
        <v>3305</v>
      </c>
    </row>
    <row r="776" spans="1:9" ht="15" customHeight="1" x14ac:dyDescent="0.35">
      <c r="A776" s="94">
        <v>21</v>
      </c>
      <c r="B776" s="94" t="s">
        <v>280</v>
      </c>
      <c r="C776" s="95" t="s">
        <v>1599</v>
      </c>
      <c r="D776" s="95" t="s">
        <v>1600</v>
      </c>
      <c r="E776" s="94" t="s">
        <v>1565</v>
      </c>
      <c r="F776" s="95" t="s">
        <v>3285</v>
      </c>
      <c r="G776" s="95" t="str">
        <f t="shared" si="24"/>
        <v>Frenkie DE JONG - Netherlands</v>
      </c>
      <c r="H776" s="95" t="str">
        <f t="shared" si="25"/>
        <v>NLD21</v>
      </c>
      <c r="I776" s="95" t="s">
        <v>3306</v>
      </c>
    </row>
    <row r="777" spans="1:9" ht="15" customHeight="1" x14ac:dyDescent="0.35">
      <c r="A777" s="94">
        <v>22</v>
      </c>
      <c r="B777" s="94" t="s">
        <v>271</v>
      </c>
      <c r="C777" s="95" t="s">
        <v>1601</v>
      </c>
      <c r="D777" s="95" t="s">
        <v>1602</v>
      </c>
      <c r="E777" s="94" t="s">
        <v>1565</v>
      </c>
      <c r="F777" s="95" t="s">
        <v>3285</v>
      </c>
      <c r="G777" s="95" t="str">
        <f t="shared" si="24"/>
        <v>Denzel DUMFRIES - Netherlands</v>
      </c>
      <c r="H777" s="95" t="str">
        <f t="shared" si="25"/>
        <v>NLD22</v>
      </c>
      <c r="I777" s="95" t="s">
        <v>3307</v>
      </c>
    </row>
    <row r="778" spans="1:9" ht="15" customHeight="1" x14ac:dyDescent="0.35">
      <c r="A778" s="94">
        <v>23</v>
      </c>
      <c r="B778" s="94" t="s">
        <v>267</v>
      </c>
      <c r="C778" s="95" t="s">
        <v>1603</v>
      </c>
      <c r="D778" s="95" t="s">
        <v>1604</v>
      </c>
      <c r="E778" s="94" t="s">
        <v>1565</v>
      </c>
      <c r="F778" s="95" t="s">
        <v>3285</v>
      </c>
      <c r="G778" s="95" t="str">
        <f t="shared" si="24"/>
        <v>Mark FLEKKEN - Netherlands</v>
      </c>
      <c r="H778" s="95" t="str">
        <f t="shared" si="25"/>
        <v>NLD23</v>
      </c>
      <c r="I778" s="95" t="s">
        <v>3308</v>
      </c>
    </row>
    <row r="779" spans="1:9" ht="15" customHeight="1" x14ac:dyDescent="0.35">
      <c r="A779" s="94">
        <v>24</v>
      </c>
      <c r="B779" s="94" t="s">
        <v>283</v>
      </c>
      <c r="C779" s="95" t="s">
        <v>1605</v>
      </c>
      <c r="D779" s="95" t="s">
        <v>1606</v>
      </c>
      <c r="E779" s="94" t="s">
        <v>1565</v>
      </c>
      <c r="F779" s="95" t="s">
        <v>3285</v>
      </c>
      <c r="G779" s="95" t="str">
        <f t="shared" si="24"/>
        <v>Crysencio SUMMERVILLE - Netherlands</v>
      </c>
      <c r="H779" s="95" t="str">
        <f t="shared" si="25"/>
        <v>NLD24</v>
      </c>
      <c r="I779" s="95" t="s">
        <v>3309</v>
      </c>
    </row>
    <row r="780" spans="1:9" ht="15" customHeight="1" x14ac:dyDescent="0.35">
      <c r="A780" s="94">
        <v>25</v>
      </c>
      <c r="B780" s="94" t="s">
        <v>271</v>
      </c>
      <c r="C780" s="95" t="s">
        <v>1607</v>
      </c>
      <c r="D780" s="95" t="s">
        <v>1608</v>
      </c>
      <c r="E780" s="94" t="s">
        <v>1565</v>
      </c>
      <c r="F780" s="95" t="s">
        <v>3285</v>
      </c>
      <c r="G780" s="95" t="str">
        <f t="shared" si="24"/>
        <v>Jorrel HATO - Netherlands</v>
      </c>
      <c r="H780" s="95" t="str">
        <f t="shared" si="25"/>
        <v>NLD25</v>
      </c>
      <c r="I780" s="95" t="s">
        <v>3310</v>
      </c>
    </row>
    <row r="781" spans="1:9" ht="15" customHeight="1" x14ac:dyDescent="0.35">
      <c r="A781" s="94">
        <v>26</v>
      </c>
      <c r="B781" s="94" t="s">
        <v>280</v>
      </c>
      <c r="C781" s="95" t="s">
        <v>1609</v>
      </c>
      <c r="D781" s="95" t="s">
        <v>1566</v>
      </c>
      <c r="E781" s="94" t="s">
        <v>1565</v>
      </c>
      <c r="F781" s="95" t="s">
        <v>3285</v>
      </c>
      <c r="G781" s="95" t="str">
        <f t="shared" si="24"/>
        <v>Quinten TIMBER - Netherlands</v>
      </c>
      <c r="H781" s="95" t="str">
        <f t="shared" si="25"/>
        <v>NLD26</v>
      </c>
      <c r="I781" s="95" t="s">
        <v>3311</v>
      </c>
    </row>
    <row r="782" spans="1:9" ht="15" customHeight="1" x14ac:dyDescent="0.35">
      <c r="A782" s="96">
        <v>1</v>
      </c>
      <c r="B782" s="96" t="s">
        <v>267</v>
      </c>
      <c r="C782" s="97" t="s">
        <v>1610</v>
      </c>
      <c r="D782" s="97" t="s">
        <v>1611</v>
      </c>
      <c r="E782" s="96" t="s">
        <v>1612</v>
      </c>
      <c r="F782" s="97" t="s">
        <v>3312</v>
      </c>
      <c r="G782" s="97" t="str">
        <f t="shared" si="24"/>
        <v>Max CROCOMBE - New Zealand</v>
      </c>
      <c r="H782" s="97" t="str">
        <f t="shared" si="25"/>
        <v>NZL1</v>
      </c>
      <c r="I782" s="97" t="s">
        <v>3313</v>
      </c>
    </row>
    <row r="783" spans="1:9" ht="15" customHeight="1" x14ac:dyDescent="0.35">
      <c r="A783" s="96">
        <v>2</v>
      </c>
      <c r="B783" s="96" t="s">
        <v>271</v>
      </c>
      <c r="C783" s="97" t="s">
        <v>1613</v>
      </c>
      <c r="D783" s="97" t="s">
        <v>1614</v>
      </c>
      <c r="E783" s="96" t="s">
        <v>1612</v>
      </c>
      <c r="F783" s="97" t="s">
        <v>3312</v>
      </c>
      <c r="G783" s="97" t="str">
        <f t="shared" si="24"/>
        <v>Tim PAYNE - New Zealand</v>
      </c>
      <c r="H783" s="97" t="str">
        <f t="shared" si="25"/>
        <v>NZL2</v>
      </c>
      <c r="I783" s="97" t="s">
        <v>3314</v>
      </c>
    </row>
    <row r="784" spans="1:9" ht="15" customHeight="1" x14ac:dyDescent="0.35">
      <c r="A784" s="96">
        <v>3</v>
      </c>
      <c r="B784" s="96" t="s">
        <v>271</v>
      </c>
      <c r="C784" s="97" t="s">
        <v>1615</v>
      </c>
      <c r="D784" s="97" t="s">
        <v>1616</v>
      </c>
      <c r="E784" s="96" t="s">
        <v>1612</v>
      </c>
      <c r="F784" s="97" t="s">
        <v>3312</v>
      </c>
      <c r="G784" s="97" t="str">
        <f t="shared" si="24"/>
        <v>Francis DE VRIES - New Zealand</v>
      </c>
      <c r="H784" s="97" t="str">
        <f t="shared" si="25"/>
        <v>NZL3</v>
      </c>
      <c r="I784" s="97" t="s">
        <v>3315</v>
      </c>
    </row>
    <row r="785" spans="1:9" ht="15" customHeight="1" x14ac:dyDescent="0.35">
      <c r="A785" s="96">
        <v>4</v>
      </c>
      <c r="B785" s="96" t="s">
        <v>271</v>
      </c>
      <c r="C785" s="97" t="s">
        <v>1617</v>
      </c>
      <c r="D785" s="97" t="s">
        <v>1618</v>
      </c>
      <c r="E785" s="96" t="s">
        <v>1612</v>
      </c>
      <c r="F785" s="97" t="s">
        <v>3312</v>
      </c>
      <c r="G785" s="97" t="str">
        <f t="shared" si="24"/>
        <v>Tyler BINDON - New Zealand</v>
      </c>
      <c r="H785" s="97" t="str">
        <f t="shared" si="25"/>
        <v>NZL4</v>
      </c>
      <c r="I785" s="97" t="s">
        <v>3316</v>
      </c>
    </row>
    <row r="786" spans="1:9" ht="15" customHeight="1" x14ac:dyDescent="0.35">
      <c r="A786" s="96">
        <v>5</v>
      </c>
      <c r="B786" s="96" t="s">
        <v>271</v>
      </c>
      <c r="C786" s="97" t="s">
        <v>436</v>
      </c>
      <c r="D786" s="97" t="s">
        <v>1619</v>
      </c>
      <c r="E786" s="96" t="s">
        <v>1612</v>
      </c>
      <c r="F786" s="97" t="s">
        <v>3312</v>
      </c>
      <c r="G786" s="97" t="str">
        <f t="shared" si="24"/>
        <v>Michael BOXALL - New Zealand</v>
      </c>
      <c r="H786" s="97" t="str">
        <f t="shared" si="25"/>
        <v>NZL5</v>
      </c>
      <c r="I786" s="97" t="s">
        <v>3317</v>
      </c>
    </row>
    <row r="787" spans="1:9" ht="15" customHeight="1" x14ac:dyDescent="0.35">
      <c r="A787" s="96">
        <v>6</v>
      </c>
      <c r="B787" s="96" t="s">
        <v>280</v>
      </c>
      <c r="C787" s="97" t="s">
        <v>1620</v>
      </c>
      <c r="D787" s="97" t="s">
        <v>1621</v>
      </c>
      <c r="E787" s="96" t="s">
        <v>1612</v>
      </c>
      <c r="F787" s="97" t="s">
        <v>3312</v>
      </c>
      <c r="G787" s="97" t="str">
        <f t="shared" si="24"/>
        <v>Joe BELL - New Zealand</v>
      </c>
      <c r="H787" s="97" t="str">
        <f t="shared" si="25"/>
        <v>NZL6</v>
      </c>
      <c r="I787" s="97" t="s">
        <v>3318</v>
      </c>
    </row>
    <row r="788" spans="1:9" ht="15" customHeight="1" x14ac:dyDescent="0.35">
      <c r="A788" s="96">
        <v>7</v>
      </c>
      <c r="B788" s="96" t="s">
        <v>280</v>
      </c>
      <c r="C788" s="97" t="s">
        <v>615</v>
      </c>
      <c r="D788" s="97" t="s">
        <v>2502</v>
      </c>
      <c r="E788" s="96" t="s">
        <v>1612</v>
      </c>
      <c r="F788" s="97" t="s">
        <v>3312</v>
      </c>
      <c r="G788" s="97" t="str">
        <f t="shared" si="24"/>
        <v>Logan ROGERSON - New Zealand</v>
      </c>
      <c r="H788" s="97" t="str">
        <f t="shared" si="25"/>
        <v>NZL7</v>
      </c>
      <c r="I788" s="97" t="s">
        <v>3806</v>
      </c>
    </row>
    <row r="789" spans="1:9" ht="15" customHeight="1" x14ac:dyDescent="0.35">
      <c r="A789" s="96">
        <v>8</v>
      </c>
      <c r="B789" s="96" t="s">
        <v>280</v>
      </c>
      <c r="C789" s="97" t="s">
        <v>429</v>
      </c>
      <c r="D789" s="97" t="s">
        <v>1622</v>
      </c>
      <c r="E789" s="96" t="s">
        <v>1612</v>
      </c>
      <c r="F789" s="97" t="s">
        <v>3312</v>
      </c>
      <c r="G789" s="97" t="str">
        <f t="shared" si="24"/>
        <v>Marko STAMENIC - New Zealand</v>
      </c>
      <c r="H789" s="97" t="str">
        <f t="shared" si="25"/>
        <v>NZL8</v>
      </c>
      <c r="I789" s="97" t="s">
        <v>3319</v>
      </c>
    </row>
    <row r="790" spans="1:9" ht="15" customHeight="1" x14ac:dyDescent="0.35">
      <c r="A790" s="96">
        <v>9</v>
      </c>
      <c r="B790" s="96" t="s">
        <v>283</v>
      </c>
      <c r="C790" s="97" t="s">
        <v>1623</v>
      </c>
      <c r="D790" s="97" t="s">
        <v>1624</v>
      </c>
      <c r="E790" s="96" t="s">
        <v>1612</v>
      </c>
      <c r="F790" s="97" t="s">
        <v>3312</v>
      </c>
      <c r="G790" s="97" t="str">
        <f t="shared" si="24"/>
        <v>Chris WOOD - New Zealand</v>
      </c>
      <c r="H790" s="97" t="str">
        <f t="shared" si="25"/>
        <v>NZL9</v>
      </c>
      <c r="I790" s="97" t="s">
        <v>3320</v>
      </c>
    </row>
    <row r="791" spans="1:9" ht="15" customHeight="1" x14ac:dyDescent="0.35">
      <c r="A791" s="96">
        <v>10</v>
      </c>
      <c r="B791" s="96" t="s">
        <v>280</v>
      </c>
      <c r="C791" s="97" t="s">
        <v>1625</v>
      </c>
      <c r="D791" s="97" t="s">
        <v>1626</v>
      </c>
      <c r="E791" s="96" t="s">
        <v>1612</v>
      </c>
      <c r="F791" s="97" t="s">
        <v>3312</v>
      </c>
      <c r="G791" s="97" t="str">
        <f t="shared" si="24"/>
        <v>Sarpreet SINGH - New Zealand</v>
      </c>
      <c r="H791" s="97" t="str">
        <f t="shared" si="25"/>
        <v>NZL10</v>
      </c>
      <c r="I791" s="97" t="s">
        <v>3321</v>
      </c>
    </row>
    <row r="792" spans="1:9" ht="15" customHeight="1" x14ac:dyDescent="0.35">
      <c r="A792" s="96">
        <v>11</v>
      </c>
      <c r="B792" s="96" t="s">
        <v>280</v>
      </c>
      <c r="C792" s="97" t="s">
        <v>1627</v>
      </c>
      <c r="D792" s="97" t="s">
        <v>1628</v>
      </c>
      <c r="E792" s="96" t="s">
        <v>1612</v>
      </c>
      <c r="F792" s="97" t="s">
        <v>3312</v>
      </c>
      <c r="G792" s="97" t="str">
        <f t="shared" si="24"/>
        <v>Elijah JUST - New Zealand</v>
      </c>
      <c r="H792" s="97" t="str">
        <f t="shared" si="25"/>
        <v>NZL11</v>
      </c>
      <c r="I792" s="97" t="s">
        <v>3322</v>
      </c>
    </row>
    <row r="793" spans="1:9" ht="15" customHeight="1" x14ac:dyDescent="0.35">
      <c r="A793" s="96">
        <v>12</v>
      </c>
      <c r="B793" s="96" t="s">
        <v>267</v>
      </c>
      <c r="C793" s="97" t="s">
        <v>1629</v>
      </c>
      <c r="D793" s="97" t="s">
        <v>1630</v>
      </c>
      <c r="E793" s="96" t="s">
        <v>1612</v>
      </c>
      <c r="F793" s="97" t="s">
        <v>3312</v>
      </c>
      <c r="G793" s="97" t="str">
        <f t="shared" si="24"/>
        <v>Alex PAULSEN - New Zealand</v>
      </c>
      <c r="H793" s="97" t="str">
        <f t="shared" si="25"/>
        <v>NZL12</v>
      </c>
      <c r="I793" s="97" t="s">
        <v>3323</v>
      </c>
    </row>
    <row r="794" spans="1:9" ht="15" customHeight="1" x14ac:dyDescent="0.35">
      <c r="A794" s="96">
        <v>13</v>
      </c>
      <c r="B794" s="96" t="s">
        <v>271</v>
      </c>
      <c r="C794" s="97" t="s">
        <v>1631</v>
      </c>
      <c r="D794" s="97" t="s">
        <v>1632</v>
      </c>
      <c r="E794" s="96" t="s">
        <v>1612</v>
      </c>
      <c r="F794" s="97" t="s">
        <v>3312</v>
      </c>
      <c r="G794" s="97" t="str">
        <f t="shared" si="24"/>
        <v>Liberato CACACE - New Zealand</v>
      </c>
      <c r="H794" s="97" t="str">
        <f t="shared" si="25"/>
        <v>NZL13</v>
      </c>
      <c r="I794" s="97" t="s">
        <v>3324</v>
      </c>
    </row>
    <row r="795" spans="1:9" ht="15" customHeight="1" x14ac:dyDescent="0.35">
      <c r="A795" s="96">
        <v>14</v>
      </c>
      <c r="B795" s="96" t="s">
        <v>280</v>
      </c>
      <c r="C795" s="97" t="s">
        <v>1629</v>
      </c>
      <c r="D795" s="97" t="s">
        <v>1633</v>
      </c>
      <c r="E795" s="96" t="s">
        <v>1612</v>
      </c>
      <c r="F795" s="97" t="s">
        <v>3312</v>
      </c>
      <c r="G795" s="97" t="str">
        <f t="shared" si="24"/>
        <v>Alex RUFER - New Zealand</v>
      </c>
      <c r="H795" s="97" t="str">
        <f t="shared" si="25"/>
        <v>NZL14</v>
      </c>
      <c r="I795" s="97" t="s">
        <v>3325</v>
      </c>
    </row>
    <row r="796" spans="1:9" ht="15" customHeight="1" x14ac:dyDescent="0.35">
      <c r="A796" s="96">
        <v>15</v>
      </c>
      <c r="B796" s="96" t="s">
        <v>271</v>
      </c>
      <c r="C796" s="97" t="s">
        <v>1634</v>
      </c>
      <c r="D796" s="97" t="s">
        <v>1635</v>
      </c>
      <c r="E796" s="96" t="s">
        <v>1612</v>
      </c>
      <c r="F796" s="97" t="s">
        <v>3312</v>
      </c>
      <c r="G796" s="97" t="str">
        <f t="shared" si="24"/>
        <v>Nando PIJNAKER - New Zealand</v>
      </c>
      <c r="H796" s="97" t="str">
        <f t="shared" si="25"/>
        <v>NZL15</v>
      </c>
      <c r="I796" s="97" t="s">
        <v>3326</v>
      </c>
    </row>
    <row r="797" spans="1:9" ht="15" customHeight="1" x14ac:dyDescent="0.35">
      <c r="A797" s="96">
        <v>16</v>
      </c>
      <c r="B797" s="96" t="s">
        <v>271</v>
      </c>
      <c r="C797" s="97" t="s">
        <v>1636</v>
      </c>
      <c r="D797" s="97" t="s">
        <v>1637</v>
      </c>
      <c r="E797" s="96" t="s">
        <v>1612</v>
      </c>
      <c r="F797" s="97" t="s">
        <v>3312</v>
      </c>
      <c r="G797" s="97" t="str">
        <f t="shared" si="24"/>
        <v>Finn SURMAN - New Zealand</v>
      </c>
      <c r="H797" s="97" t="str">
        <f t="shared" si="25"/>
        <v>NZL16</v>
      </c>
      <c r="I797" s="97" t="s">
        <v>3327</v>
      </c>
    </row>
    <row r="798" spans="1:9" ht="15" customHeight="1" x14ac:dyDescent="0.35">
      <c r="A798" s="96">
        <v>17</v>
      </c>
      <c r="B798" s="96" t="s">
        <v>283</v>
      </c>
      <c r="C798" s="97" t="s">
        <v>1638</v>
      </c>
      <c r="D798" s="97" t="s">
        <v>1639</v>
      </c>
      <c r="E798" s="96" t="s">
        <v>1612</v>
      </c>
      <c r="F798" s="97" t="s">
        <v>3312</v>
      </c>
      <c r="G798" s="97" t="str">
        <f t="shared" si="24"/>
        <v>Kosta BARBAROUSES - New Zealand</v>
      </c>
      <c r="H798" s="97" t="str">
        <f t="shared" si="25"/>
        <v>NZL17</v>
      </c>
      <c r="I798" s="97" t="s">
        <v>3328</v>
      </c>
    </row>
    <row r="799" spans="1:9" ht="15" customHeight="1" x14ac:dyDescent="0.35">
      <c r="A799" s="96">
        <v>18</v>
      </c>
      <c r="B799" s="96" t="s">
        <v>283</v>
      </c>
      <c r="C799" s="97" t="s">
        <v>1640</v>
      </c>
      <c r="D799" s="97" t="s">
        <v>1641</v>
      </c>
      <c r="E799" s="96" t="s">
        <v>1612</v>
      </c>
      <c r="F799" s="97" t="s">
        <v>3312</v>
      </c>
      <c r="G799" s="97" t="str">
        <f t="shared" si="24"/>
        <v>Ben WAINE - New Zealand</v>
      </c>
      <c r="H799" s="97" t="str">
        <f t="shared" si="25"/>
        <v>NZL18</v>
      </c>
      <c r="I799" s="97" t="s">
        <v>3329</v>
      </c>
    </row>
    <row r="800" spans="1:9" ht="15" customHeight="1" x14ac:dyDescent="0.35">
      <c r="A800" s="96">
        <v>19</v>
      </c>
      <c r="B800" s="96" t="s">
        <v>280</v>
      </c>
      <c r="C800" s="97" t="s">
        <v>1640</v>
      </c>
      <c r="D800" s="97" t="s">
        <v>1642</v>
      </c>
      <c r="E800" s="96" t="s">
        <v>1612</v>
      </c>
      <c r="F800" s="97" t="s">
        <v>3312</v>
      </c>
      <c r="G800" s="97" t="str">
        <f t="shared" si="24"/>
        <v>Ben OLD - New Zealand</v>
      </c>
      <c r="H800" s="97" t="str">
        <f t="shared" si="25"/>
        <v>NZL19</v>
      </c>
      <c r="I800" s="97" t="s">
        <v>3330</v>
      </c>
    </row>
    <row r="801" spans="1:9" ht="15" customHeight="1" x14ac:dyDescent="0.35">
      <c r="A801" s="96">
        <v>20</v>
      </c>
      <c r="B801" s="96" t="s">
        <v>280</v>
      </c>
      <c r="C801" s="97" t="s">
        <v>1643</v>
      </c>
      <c r="D801" s="97" t="s">
        <v>1644</v>
      </c>
      <c r="E801" s="96" t="s">
        <v>1612</v>
      </c>
      <c r="F801" s="97" t="s">
        <v>3312</v>
      </c>
      <c r="G801" s="97" t="str">
        <f t="shared" si="24"/>
        <v>Callum McCOWATT - New Zealand</v>
      </c>
      <c r="H801" s="97" t="str">
        <f t="shared" si="25"/>
        <v>NZL20</v>
      </c>
      <c r="I801" s="97" t="s">
        <v>3331</v>
      </c>
    </row>
    <row r="802" spans="1:9" ht="15" customHeight="1" x14ac:dyDescent="0.35">
      <c r="A802" s="96">
        <v>21</v>
      </c>
      <c r="B802" s="96" t="s">
        <v>283</v>
      </c>
      <c r="C802" s="97" t="s">
        <v>1645</v>
      </c>
      <c r="D802" s="97" t="s">
        <v>1646</v>
      </c>
      <c r="E802" s="96" t="s">
        <v>1612</v>
      </c>
      <c r="F802" s="97" t="s">
        <v>3312</v>
      </c>
      <c r="G802" s="97" t="str">
        <f t="shared" si="24"/>
        <v>Jesse RANDALL - New Zealand</v>
      </c>
      <c r="H802" s="97" t="str">
        <f t="shared" si="25"/>
        <v>NZL21</v>
      </c>
      <c r="I802" s="97" t="s">
        <v>3332</v>
      </c>
    </row>
    <row r="803" spans="1:9" ht="15" customHeight="1" x14ac:dyDescent="0.35">
      <c r="A803" s="96">
        <v>22</v>
      </c>
      <c r="B803" s="96" t="s">
        <v>267</v>
      </c>
      <c r="C803" s="97" t="s">
        <v>436</v>
      </c>
      <c r="D803" s="97" t="s">
        <v>1647</v>
      </c>
      <c r="E803" s="96" t="s">
        <v>1612</v>
      </c>
      <c r="F803" s="97" t="s">
        <v>3312</v>
      </c>
      <c r="G803" s="97" t="str">
        <f t="shared" si="24"/>
        <v>Michael WOUD - New Zealand</v>
      </c>
      <c r="H803" s="97" t="str">
        <f t="shared" si="25"/>
        <v>NZL22</v>
      </c>
      <c r="I803" s="97" t="s">
        <v>3333</v>
      </c>
    </row>
    <row r="804" spans="1:9" ht="15" customHeight="1" x14ac:dyDescent="0.35">
      <c r="A804" s="96">
        <v>23</v>
      </c>
      <c r="B804" s="96" t="s">
        <v>280</v>
      </c>
      <c r="C804" s="97" t="s">
        <v>644</v>
      </c>
      <c r="D804" s="97" t="s">
        <v>1648</v>
      </c>
      <c r="E804" s="96" t="s">
        <v>1612</v>
      </c>
      <c r="F804" s="97" t="s">
        <v>3312</v>
      </c>
      <c r="G804" s="97" t="str">
        <f t="shared" si="24"/>
        <v>Ryan THOMAS - New Zealand</v>
      </c>
      <c r="H804" s="97" t="str">
        <f t="shared" si="25"/>
        <v>NZL23</v>
      </c>
      <c r="I804" s="97" t="s">
        <v>3334</v>
      </c>
    </row>
    <row r="805" spans="1:9" ht="15" customHeight="1" x14ac:dyDescent="0.35">
      <c r="A805" s="96">
        <v>24</v>
      </c>
      <c r="B805" s="96" t="s">
        <v>271</v>
      </c>
      <c r="C805" s="97" t="s">
        <v>1649</v>
      </c>
      <c r="D805" s="97" t="s">
        <v>1650</v>
      </c>
      <c r="E805" s="96" t="s">
        <v>1612</v>
      </c>
      <c r="F805" s="97" t="s">
        <v>3312</v>
      </c>
      <c r="G805" s="97" t="str">
        <f t="shared" si="24"/>
        <v>Callan ELLIOT - New Zealand</v>
      </c>
      <c r="H805" s="97" t="str">
        <f t="shared" si="25"/>
        <v>NZL24</v>
      </c>
      <c r="I805" s="97" t="s">
        <v>3335</v>
      </c>
    </row>
    <row r="806" spans="1:9" ht="15" customHeight="1" x14ac:dyDescent="0.35">
      <c r="A806" s="96">
        <v>25</v>
      </c>
      <c r="B806" s="96" t="s">
        <v>280</v>
      </c>
      <c r="C806" s="97" t="s">
        <v>1651</v>
      </c>
      <c r="D806" s="97" t="s">
        <v>1652</v>
      </c>
      <c r="E806" s="96" t="s">
        <v>1612</v>
      </c>
      <c r="F806" s="97" t="s">
        <v>3312</v>
      </c>
      <c r="G806" s="97" t="str">
        <f t="shared" si="24"/>
        <v>Lachlan BAYLISS - New Zealand</v>
      </c>
      <c r="H806" s="97" t="str">
        <f t="shared" si="25"/>
        <v>NZL25</v>
      </c>
      <c r="I806" s="97" t="s">
        <v>3336</v>
      </c>
    </row>
    <row r="807" spans="1:9" ht="15" customHeight="1" x14ac:dyDescent="0.35">
      <c r="A807" s="96">
        <v>26</v>
      </c>
      <c r="B807" s="96" t="s">
        <v>271</v>
      </c>
      <c r="C807" s="97" t="s">
        <v>1653</v>
      </c>
      <c r="D807" s="97" t="s">
        <v>1654</v>
      </c>
      <c r="E807" s="96" t="s">
        <v>1612</v>
      </c>
      <c r="F807" s="97" t="s">
        <v>3312</v>
      </c>
      <c r="G807" s="97" t="str">
        <f t="shared" si="24"/>
        <v>Tommy SMITH - New Zealand</v>
      </c>
      <c r="H807" s="97" t="str">
        <f t="shared" si="25"/>
        <v>NZL26</v>
      </c>
      <c r="I807" s="97" t="s">
        <v>3337</v>
      </c>
    </row>
    <row r="808" spans="1:9" ht="15" customHeight="1" x14ac:dyDescent="0.35">
      <c r="A808" s="98">
        <v>1</v>
      </c>
      <c r="B808" s="98" t="s">
        <v>267</v>
      </c>
      <c r="C808" s="99" t="s">
        <v>1655</v>
      </c>
      <c r="D808" s="99" t="s">
        <v>1656</v>
      </c>
      <c r="E808" s="98" t="s">
        <v>1657</v>
      </c>
      <c r="F808" s="99" t="s">
        <v>3338</v>
      </c>
      <c r="G808" s="99" t="str">
        <f t="shared" si="24"/>
        <v>Orjan NYLAND - Norway</v>
      </c>
      <c r="H808" s="99" t="str">
        <f t="shared" si="25"/>
        <v>NOR1</v>
      </c>
      <c r="I808" s="99" t="s">
        <v>3339</v>
      </c>
    </row>
    <row r="809" spans="1:9" ht="15" customHeight="1" x14ac:dyDescent="0.35">
      <c r="A809" s="98">
        <v>2</v>
      </c>
      <c r="B809" s="98" t="s">
        <v>280</v>
      </c>
      <c r="C809" s="99" t="s">
        <v>1658</v>
      </c>
      <c r="D809" s="99" t="s">
        <v>1659</v>
      </c>
      <c r="E809" s="98" t="s">
        <v>1657</v>
      </c>
      <c r="F809" s="99" t="s">
        <v>3338</v>
      </c>
      <c r="G809" s="99" t="str">
        <f t="shared" si="24"/>
        <v>Morten THORSBY - Norway</v>
      </c>
      <c r="H809" s="99" t="str">
        <f t="shared" si="25"/>
        <v>NOR2</v>
      </c>
      <c r="I809" s="99" t="s">
        <v>3340</v>
      </c>
    </row>
    <row r="810" spans="1:9" ht="15" customHeight="1" x14ac:dyDescent="0.35">
      <c r="A810" s="98">
        <v>3</v>
      </c>
      <c r="B810" s="98" t="s">
        <v>271</v>
      </c>
      <c r="C810" s="99" t="s">
        <v>1660</v>
      </c>
      <c r="D810" s="99" t="s">
        <v>1661</v>
      </c>
      <c r="E810" s="98" t="s">
        <v>1657</v>
      </c>
      <c r="F810" s="99" t="s">
        <v>3338</v>
      </c>
      <c r="G810" s="99" t="str">
        <f t="shared" si="24"/>
        <v>Kristoffer AJER - Norway</v>
      </c>
      <c r="H810" s="99" t="str">
        <f t="shared" si="25"/>
        <v>NOR3</v>
      </c>
      <c r="I810" s="99" t="s">
        <v>3341</v>
      </c>
    </row>
    <row r="811" spans="1:9" ht="15" customHeight="1" x14ac:dyDescent="0.35">
      <c r="A811" s="98">
        <v>4</v>
      </c>
      <c r="B811" s="98" t="s">
        <v>271</v>
      </c>
      <c r="C811" s="99" t="s">
        <v>1662</v>
      </c>
      <c r="D811" s="99" t="s">
        <v>1663</v>
      </c>
      <c r="E811" s="98" t="s">
        <v>1657</v>
      </c>
      <c r="F811" s="99" t="s">
        <v>3338</v>
      </c>
      <c r="G811" s="99" t="str">
        <f t="shared" si="24"/>
        <v>Leo OSTIGARD - Norway</v>
      </c>
      <c r="H811" s="99" t="str">
        <f t="shared" si="25"/>
        <v>NOR4</v>
      </c>
      <c r="I811" s="99" t="s">
        <v>3342</v>
      </c>
    </row>
    <row r="812" spans="1:9" ht="15" customHeight="1" x14ac:dyDescent="0.35">
      <c r="A812" s="98">
        <v>5</v>
      </c>
      <c r="B812" s="98" t="s">
        <v>271</v>
      </c>
      <c r="C812" s="99" t="s">
        <v>421</v>
      </c>
      <c r="D812" s="99" t="s">
        <v>1664</v>
      </c>
      <c r="E812" s="98" t="s">
        <v>1657</v>
      </c>
      <c r="F812" s="99" t="s">
        <v>3338</v>
      </c>
      <c r="G812" s="99" t="str">
        <f t="shared" si="24"/>
        <v>David MOLLER WOLFE - Norway</v>
      </c>
      <c r="H812" s="99" t="str">
        <f t="shared" si="25"/>
        <v>NOR5</v>
      </c>
      <c r="I812" s="99" t="s">
        <v>3343</v>
      </c>
    </row>
    <row r="813" spans="1:9" ht="15" customHeight="1" x14ac:dyDescent="0.35">
      <c r="A813" s="98">
        <v>6</v>
      </c>
      <c r="B813" s="98" t="s">
        <v>280</v>
      </c>
      <c r="C813" s="99" t="s">
        <v>403</v>
      </c>
      <c r="D813" s="99" t="s">
        <v>1665</v>
      </c>
      <c r="E813" s="98" t="s">
        <v>1657</v>
      </c>
      <c r="F813" s="99" t="s">
        <v>3338</v>
      </c>
      <c r="G813" s="99" t="str">
        <f t="shared" si="24"/>
        <v>Patrick BERG - Norway</v>
      </c>
      <c r="H813" s="99" t="str">
        <f t="shared" si="25"/>
        <v>NOR6</v>
      </c>
      <c r="I813" s="99" t="s">
        <v>3344</v>
      </c>
    </row>
    <row r="814" spans="1:9" ht="15" customHeight="1" x14ac:dyDescent="0.35">
      <c r="A814" s="98">
        <v>7</v>
      </c>
      <c r="B814" s="98" t="s">
        <v>283</v>
      </c>
      <c r="C814" s="99" t="s">
        <v>418</v>
      </c>
      <c r="D814" s="99" t="s">
        <v>1666</v>
      </c>
      <c r="E814" s="98" t="s">
        <v>1657</v>
      </c>
      <c r="F814" s="99" t="s">
        <v>3338</v>
      </c>
      <c r="G814" s="99" t="str">
        <f t="shared" si="24"/>
        <v>Alexander SORLOTH - Norway</v>
      </c>
      <c r="H814" s="99" t="str">
        <f t="shared" si="25"/>
        <v>NOR7</v>
      </c>
      <c r="I814" s="99" t="s">
        <v>3345</v>
      </c>
    </row>
    <row r="815" spans="1:9" ht="15" customHeight="1" x14ac:dyDescent="0.35">
      <c r="A815" s="98">
        <v>8</v>
      </c>
      <c r="B815" s="98" t="s">
        <v>280</v>
      </c>
      <c r="C815" s="99" t="s">
        <v>1667</v>
      </c>
      <c r="D815" s="99" t="s">
        <v>1668</v>
      </c>
      <c r="E815" s="98" t="s">
        <v>1657</v>
      </c>
      <c r="F815" s="99" t="s">
        <v>3338</v>
      </c>
      <c r="G815" s="99" t="str">
        <f t="shared" si="24"/>
        <v>Sander BERGE - Norway</v>
      </c>
      <c r="H815" s="99" t="str">
        <f t="shared" si="25"/>
        <v>NOR8</v>
      </c>
      <c r="I815" s="99" t="s">
        <v>3346</v>
      </c>
    </row>
    <row r="816" spans="1:9" ht="15" customHeight="1" x14ac:dyDescent="0.35">
      <c r="A816" s="98">
        <v>9</v>
      </c>
      <c r="B816" s="98" t="s">
        <v>283</v>
      </c>
      <c r="C816" s="99" t="s">
        <v>1669</v>
      </c>
      <c r="D816" s="99" t="s">
        <v>1670</v>
      </c>
      <c r="E816" s="98" t="s">
        <v>1657</v>
      </c>
      <c r="F816" s="99" t="s">
        <v>3338</v>
      </c>
      <c r="G816" s="99" t="str">
        <f t="shared" si="24"/>
        <v>Erling HAALAND - Norway</v>
      </c>
      <c r="H816" s="99" t="str">
        <f t="shared" si="25"/>
        <v>NOR9</v>
      </c>
      <c r="I816" s="99" t="s">
        <v>3347</v>
      </c>
    </row>
    <row r="817" spans="1:9" ht="15" customHeight="1" x14ac:dyDescent="0.35">
      <c r="A817" s="98">
        <v>10</v>
      </c>
      <c r="B817" s="98" t="s">
        <v>280</v>
      </c>
      <c r="C817" s="99" t="s">
        <v>548</v>
      </c>
      <c r="D817" s="99" t="s">
        <v>1671</v>
      </c>
      <c r="E817" s="98" t="s">
        <v>1657</v>
      </c>
      <c r="F817" s="99" t="s">
        <v>3338</v>
      </c>
      <c r="G817" s="99" t="str">
        <f t="shared" si="24"/>
        <v>Martin ODEGAARD - Norway</v>
      </c>
      <c r="H817" s="99" t="str">
        <f t="shared" si="25"/>
        <v>NOR10</v>
      </c>
      <c r="I817" s="99" t="s">
        <v>3348</v>
      </c>
    </row>
    <row r="818" spans="1:9" ht="15" customHeight="1" x14ac:dyDescent="0.35">
      <c r="A818" s="98">
        <v>11</v>
      </c>
      <c r="B818" s="98" t="s">
        <v>283</v>
      </c>
      <c r="C818" s="99" t="s">
        <v>1672</v>
      </c>
      <c r="D818" s="99" t="s">
        <v>1673</v>
      </c>
      <c r="E818" s="98" t="s">
        <v>1657</v>
      </c>
      <c r="F818" s="99" t="s">
        <v>3338</v>
      </c>
      <c r="G818" s="99" t="str">
        <f t="shared" si="24"/>
        <v>Jorgen STRAND LARSEN - Norway</v>
      </c>
      <c r="H818" s="99" t="str">
        <f t="shared" si="25"/>
        <v>NOR11</v>
      </c>
      <c r="I818" s="99" t="s">
        <v>3349</v>
      </c>
    </row>
    <row r="819" spans="1:9" ht="15" customHeight="1" x14ac:dyDescent="0.35">
      <c r="A819" s="98">
        <v>12</v>
      </c>
      <c r="B819" s="98" t="s">
        <v>267</v>
      </c>
      <c r="C819" s="99" t="s">
        <v>1667</v>
      </c>
      <c r="D819" s="99" t="s">
        <v>1674</v>
      </c>
      <c r="E819" s="98" t="s">
        <v>1657</v>
      </c>
      <c r="F819" s="99" t="s">
        <v>3338</v>
      </c>
      <c r="G819" s="99" t="str">
        <f t="shared" si="24"/>
        <v>Sander TANGVIK - Norway</v>
      </c>
      <c r="H819" s="99" t="str">
        <f t="shared" si="25"/>
        <v>NOR12</v>
      </c>
      <c r="I819" s="99" t="s">
        <v>3350</v>
      </c>
    </row>
    <row r="820" spans="1:9" ht="15" customHeight="1" x14ac:dyDescent="0.35">
      <c r="A820" s="98">
        <v>13</v>
      </c>
      <c r="B820" s="98" t="s">
        <v>267</v>
      </c>
      <c r="C820" s="99" t="s">
        <v>1675</v>
      </c>
      <c r="D820" s="99" t="s">
        <v>1676</v>
      </c>
      <c r="E820" s="98" t="s">
        <v>1657</v>
      </c>
      <c r="F820" s="99" t="s">
        <v>3338</v>
      </c>
      <c r="G820" s="99" t="str">
        <f t="shared" si="24"/>
        <v>Egil SELVIK - Norway</v>
      </c>
      <c r="H820" s="99" t="str">
        <f t="shared" si="25"/>
        <v>NOR13</v>
      </c>
      <c r="I820" s="99" t="s">
        <v>3351</v>
      </c>
    </row>
    <row r="821" spans="1:9" ht="15" customHeight="1" x14ac:dyDescent="0.35">
      <c r="A821" s="98">
        <v>14</v>
      </c>
      <c r="B821" s="98" t="s">
        <v>280</v>
      </c>
      <c r="C821" s="99" t="s">
        <v>1677</v>
      </c>
      <c r="D821" s="99" t="s">
        <v>1678</v>
      </c>
      <c r="E821" s="98" t="s">
        <v>1657</v>
      </c>
      <c r="F821" s="99" t="s">
        <v>3338</v>
      </c>
      <c r="G821" s="99" t="str">
        <f t="shared" si="24"/>
        <v>Fredrik AURSNES - Norway</v>
      </c>
      <c r="H821" s="99" t="str">
        <f t="shared" si="25"/>
        <v>NOR14</v>
      </c>
      <c r="I821" s="99" t="s">
        <v>3352</v>
      </c>
    </row>
    <row r="822" spans="1:9" ht="15" customHeight="1" x14ac:dyDescent="0.35">
      <c r="A822" s="98">
        <v>15</v>
      </c>
      <c r="B822" s="98" t="s">
        <v>271</v>
      </c>
      <c r="C822" s="99" t="s">
        <v>1679</v>
      </c>
      <c r="D822" s="99" t="s">
        <v>1680</v>
      </c>
      <c r="E822" s="98" t="s">
        <v>1657</v>
      </c>
      <c r="F822" s="99" t="s">
        <v>3338</v>
      </c>
      <c r="G822" s="99" t="str">
        <f t="shared" si="24"/>
        <v>Fredrik Andre BJORKAN - Norway</v>
      </c>
      <c r="H822" s="99" t="str">
        <f t="shared" si="25"/>
        <v>NOR15</v>
      </c>
      <c r="I822" s="99" t="s">
        <v>3353</v>
      </c>
    </row>
    <row r="823" spans="1:9" ht="15" customHeight="1" x14ac:dyDescent="0.35">
      <c r="A823" s="98">
        <v>16</v>
      </c>
      <c r="B823" s="98" t="s">
        <v>271</v>
      </c>
      <c r="C823" s="99" t="s">
        <v>1681</v>
      </c>
      <c r="D823" s="99" t="s">
        <v>1682</v>
      </c>
      <c r="E823" s="98" t="s">
        <v>1657</v>
      </c>
      <c r="F823" s="99" t="s">
        <v>3338</v>
      </c>
      <c r="G823" s="99" t="str">
        <f t="shared" si="24"/>
        <v>Marcus Holmgren PEDERSEN - Norway</v>
      </c>
      <c r="H823" s="99" t="str">
        <f t="shared" si="25"/>
        <v>NOR16</v>
      </c>
      <c r="I823" s="99" t="s">
        <v>3354</v>
      </c>
    </row>
    <row r="824" spans="1:9" ht="15" customHeight="1" x14ac:dyDescent="0.35">
      <c r="A824" s="98">
        <v>17</v>
      </c>
      <c r="B824" s="98" t="s">
        <v>271</v>
      </c>
      <c r="C824" s="99" t="s">
        <v>1683</v>
      </c>
      <c r="D824" s="99" t="s">
        <v>1684</v>
      </c>
      <c r="E824" s="98" t="s">
        <v>1657</v>
      </c>
      <c r="F824" s="99" t="s">
        <v>3338</v>
      </c>
      <c r="G824" s="99" t="str">
        <f t="shared" si="24"/>
        <v>Torbjorn HEGGEM - Norway</v>
      </c>
      <c r="H824" s="99" t="str">
        <f t="shared" si="25"/>
        <v>NOR17</v>
      </c>
      <c r="I824" s="99" t="s">
        <v>3355</v>
      </c>
    </row>
    <row r="825" spans="1:9" ht="15" customHeight="1" x14ac:dyDescent="0.35">
      <c r="A825" s="98">
        <v>18</v>
      </c>
      <c r="B825" s="98" t="s">
        <v>280</v>
      </c>
      <c r="C825" s="99" t="s">
        <v>1685</v>
      </c>
      <c r="D825" s="99" t="s">
        <v>1686</v>
      </c>
      <c r="E825" s="98" t="s">
        <v>1657</v>
      </c>
      <c r="F825" s="99" t="s">
        <v>3338</v>
      </c>
      <c r="G825" s="99" t="str">
        <f t="shared" si="24"/>
        <v>Kristian THORSTVEDT - Norway</v>
      </c>
      <c r="H825" s="99" t="str">
        <f t="shared" si="25"/>
        <v>NOR18</v>
      </c>
      <c r="I825" s="99" t="s">
        <v>3356</v>
      </c>
    </row>
    <row r="826" spans="1:9" ht="15" customHeight="1" x14ac:dyDescent="0.35">
      <c r="A826" s="98">
        <v>19</v>
      </c>
      <c r="B826" s="98" t="s">
        <v>280</v>
      </c>
      <c r="C826" s="99" t="s">
        <v>1687</v>
      </c>
      <c r="D826" s="99" t="s">
        <v>1688</v>
      </c>
      <c r="E826" s="98" t="s">
        <v>1657</v>
      </c>
      <c r="F826" s="99" t="s">
        <v>3338</v>
      </c>
      <c r="G826" s="99" t="str">
        <f t="shared" si="24"/>
        <v>Thelo AASGAARD - Norway</v>
      </c>
      <c r="H826" s="99" t="str">
        <f t="shared" si="25"/>
        <v>NOR19</v>
      </c>
      <c r="I826" s="99" t="s">
        <v>3357</v>
      </c>
    </row>
    <row r="827" spans="1:9" ht="15" customHeight="1" x14ac:dyDescent="0.35">
      <c r="A827" s="98">
        <v>20</v>
      </c>
      <c r="B827" s="98" t="s">
        <v>283</v>
      </c>
      <c r="C827" s="99" t="s">
        <v>1140</v>
      </c>
      <c r="D827" s="99" t="s">
        <v>1689</v>
      </c>
      <c r="E827" s="98" t="s">
        <v>1657</v>
      </c>
      <c r="F827" s="99" t="s">
        <v>3338</v>
      </c>
      <c r="G827" s="99" t="str">
        <f t="shared" si="24"/>
        <v>Antonio NUSA - Norway</v>
      </c>
      <c r="H827" s="99" t="str">
        <f t="shared" si="25"/>
        <v>NOR20</v>
      </c>
      <c r="I827" s="99" t="s">
        <v>3358</v>
      </c>
    </row>
    <row r="828" spans="1:9" ht="15" customHeight="1" x14ac:dyDescent="0.35">
      <c r="A828" s="98">
        <v>21</v>
      </c>
      <c r="B828" s="98" t="s">
        <v>280</v>
      </c>
      <c r="C828" s="99" t="s">
        <v>1690</v>
      </c>
      <c r="D828" s="99" t="s">
        <v>1691</v>
      </c>
      <c r="E828" s="98" t="s">
        <v>1657</v>
      </c>
      <c r="F828" s="99" t="s">
        <v>3338</v>
      </c>
      <c r="G828" s="99" t="str">
        <f t="shared" si="24"/>
        <v>Andreas SCHJELDERUP - Norway</v>
      </c>
      <c r="H828" s="99" t="str">
        <f t="shared" si="25"/>
        <v>NOR21</v>
      </c>
      <c r="I828" s="99" t="s">
        <v>3359</v>
      </c>
    </row>
    <row r="829" spans="1:9" ht="15" customHeight="1" x14ac:dyDescent="0.35">
      <c r="A829" s="98">
        <v>22</v>
      </c>
      <c r="B829" s="98" t="s">
        <v>280</v>
      </c>
      <c r="C829" s="99" t="s">
        <v>1692</v>
      </c>
      <c r="D829" s="99" t="s">
        <v>1693</v>
      </c>
      <c r="E829" s="98" t="s">
        <v>1657</v>
      </c>
      <c r="F829" s="99" t="s">
        <v>3338</v>
      </c>
      <c r="G829" s="99" t="str">
        <f t="shared" si="24"/>
        <v>Oscar BOBB - Norway</v>
      </c>
      <c r="H829" s="99" t="str">
        <f t="shared" si="25"/>
        <v>NOR22</v>
      </c>
      <c r="I829" s="99" t="s">
        <v>3360</v>
      </c>
    </row>
    <row r="830" spans="1:9" ht="15" customHeight="1" x14ac:dyDescent="0.35">
      <c r="A830" s="98">
        <v>23</v>
      </c>
      <c r="B830" s="98" t="s">
        <v>280</v>
      </c>
      <c r="C830" s="99" t="s">
        <v>1694</v>
      </c>
      <c r="D830" s="99" t="s">
        <v>1695</v>
      </c>
      <c r="E830" s="98" t="s">
        <v>1657</v>
      </c>
      <c r="F830" s="99" t="s">
        <v>3338</v>
      </c>
      <c r="G830" s="99" t="str">
        <f t="shared" si="24"/>
        <v>Jens Petter HAUGE - Norway</v>
      </c>
      <c r="H830" s="99" t="str">
        <f t="shared" si="25"/>
        <v>NOR23</v>
      </c>
      <c r="I830" s="99" t="s">
        <v>3361</v>
      </c>
    </row>
    <row r="831" spans="1:9" ht="15" customHeight="1" x14ac:dyDescent="0.35">
      <c r="A831" s="98">
        <v>24</v>
      </c>
      <c r="B831" s="98" t="s">
        <v>271</v>
      </c>
      <c r="C831" s="99" t="s">
        <v>1696</v>
      </c>
      <c r="D831" s="99" t="s">
        <v>1697</v>
      </c>
      <c r="E831" s="98" t="s">
        <v>1657</v>
      </c>
      <c r="F831" s="99" t="s">
        <v>3338</v>
      </c>
      <c r="G831" s="99" t="str">
        <f t="shared" si="24"/>
        <v>Sondre LANGAS - Norway</v>
      </c>
      <c r="H831" s="99" t="str">
        <f t="shared" si="25"/>
        <v>NOR24</v>
      </c>
      <c r="I831" s="99" t="s">
        <v>3362</v>
      </c>
    </row>
    <row r="832" spans="1:9" ht="15" customHeight="1" x14ac:dyDescent="0.35">
      <c r="A832" s="98">
        <v>25</v>
      </c>
      <c r="B832" s="98" t="s">
        <v>271</v>
      </c>
      <c r="C832" s="99" t="s">
        <v>1698</v>
      </c>
      <c r="D832" s="99" t="s">
        <v>1699</v>
      </c>
      <c r="E832" s="98" t="s">
        <v>1657</v>
      </c>
      <c r="F832" s="99" t="s">
        <v>3338</v>
      </c>
      <c r="G832" s="99" t="str">
        <f t="shared" si="24"/>
        <v>Henrik FALCHENER - Norway</v>
      </c>
      <c r="H832" s="99" t="str">
        <f t="shared" si="25"/>
        <v>NOR25</v>
      </c>
      <c r="I832" s="99" t="s">
        <v>3363</v>
      </c>
    </row>
    <row r="833" spans="1:9" ht="15" customHeight="1" x14ac:dyDescent="0.35">
      <c r="A833" s="98">
        <v>26</v>
      </c>
      <c r="B833" s="98" t="s">
        <v>283</v>
      </c>
      <c r="C833" s="99" t="s">
        <v>338</v>
      </c>
      <c r="D833" s="99" t="s">
        <v>1700</v>
      </c>
      <c r="E833" s="98" t="s">
        <v>1657</v>
      </c>
      <c r="F833" s="99" t="s">
        <v>3338</v>
      </c>
      <c r="G833" s="99" t="str">
        <f t="shared" si="24"/>
        <v>Julian RYERSON - Norway</v>
      </c>
      <c r="H833" s="99" t="str">
        <f t="shared" si="25"/>
        <v>NOR26</v>
      </c>
      <c r="I833" s="99" t="s">
        <v>3364</v>
      </c>
    </row>
    <row r="834" spans="1:9" ht="15" customHeight="1" x14ac:dyDescent="0.35">
      <c r="A834" s="100">
        <v>1</v>
      </c>
      <c r="B834" s="100" t="s">
        <v>267</v>
      </c>
      <c r="C834" s="101" t="s">
        <v>716</v>
      </c>
      <c r="D834" s="101" t="s">
        <v>1701</v>
      </c>
      <c r="E834" s="100" t="s">
        <v>1702</v>
      </c>
      <c r="F834" s="101" t="s">
        <v>3365</v>
      </c>
      <c r="G834" s="101" t="str">
        <f t="shared" si="24"/>
        <v>Luis MEJIA - Panama</v>
      </c>
      <c r="H834" s="101" t="str">
        <f t="shared" si="25"/>
        <v>PAN1</v>
      </c>
      <c r="I834" s="101" t="s">
        <v>3366</v>
      </c>
    </row>
    <row r="835" spans="1:9" ht="15" customHeight="1" x14ac:dyDescent="0.35">
      <c r="A835" s="100">
        <v>2</v>
      </c>
      <c r="B835" s="100" t="s">
        <v>271</v>
      </c>
      <c r="C835" s="101" t="s">
        <v>1491</v>
      </c>
      <c r="D835" s="101" t="s">
        <v>1703</v>
      </c>
      <c r="E835" s="100" t="s">
        <v>1702</v>
      </c>
      <c r="F835" s="101" t="s">
        <v>3365</v>
      </c>
      <c r="G835" s="101" t="str">
        <f t="shared" ref="G835:G898" si="26">_xlfn.CONCAT(C835, " ",D835, " - ",F835)</f>
        <v>Cesar BLACKMAN - Panama</v>
      </c>
      <c r="H835" s="101" t="str">
        <f t="shared" ref="H835:H898" si="27">_xlfn.CONCAT(E835,A835)</f>
        <v>PAN2</v>
      </c>
      <c r="I835" s="101" t="s">
        <v>3367</v>
      </c>
    </row>
    <row r="836" spans="1:9" ht="15" customHeight="1" x14ac:dyDescent="0.35">
      <c r="A836" s="100">
        <v>3</v>
      </c>
      <c r="B836" s="100" t="s">
        <v>271</v>
      </c>
      <c r="C836" s="101" t="s">
        <v>1704</v>
      </c>
      <c r="D836" s="101" t="s">
        <v>720</v>
      </c>
      <c r="E836" s="100" t="s">
        <v>1702</v>
      </c>
      <c r="F836" s="101" t="s">
        <v>3365</v>
      </c>
      <c r="G836" s="101" t="str">
        <f t="shared" si="26"/>
        <v>Jose CORDOBA - Panama</v>
      </c>
      <c r="H836" s="101" t="str">
        <f t="shared" si="27"/>
        <v>PAN3</v>
      </c>
      <c r="I836" s="101" t="s">
        <v>3368</v>
      </c>
    </row>
    <row r="837" spans="1:9" ht="15" customHeight="1" x14ac:dyDescent="0.35">
      <c r="A837" s="100">
        <v>4</v>
      </c>
      <c r="B837" s="100" t="s">
        <v>271</v>
      </c>
      <c r="C837" s="101" t="s">
        <v>1705</v>
      </c>
      <c r="D837" s="101" t="s">
        <v>1706</v>
      </c>
      <c r="E837" s="100" t="s">
        <v>1702</v>
      </c>
      <c r="F837" s="101" t="s">
        <v>3365</v>
      </c>
      <c r="G837" s="101" t="str">
        <f t="shared" si="26"/>
        <v>Fidel ESCOBAR - Panama</v>
      </c>
      <c r="H837" s="101" t="str">
        <f t="shared" si="27"/>
        <v>PAN4</v>
      </c>
      <c r="I837" s="101" t="s">
        <v>3369</v>
      </c>
    </row>
    <row r="838" spans="1:9" ht="15" customHeight="1" x14ac:dyDescent="0.35">
      <c r="A838" s="100">
        <v>5</v>
      </c>
      <c r="B838" s="100" t="s">
        <v>271</v>
      </c>
      <c r="C838" s="101" t="s">
        <v>1707</v>
      </c>
      <c r="D838" s="101" t="s">
        <v>1708</v>
      </c>
      <c r="E838" s="100" t="s">
        <v>1702</v>
      </c>
      <c r="F838" s="101" t="s">
        <v>3365</v>
      </c>
      <c r="G838" s="101" t="str">
        <f t="shared" si="26"/>
        <v>Edgardo FARINA - Panama</v>
      </c>
      <c r="H838" s="101" t="str">
        <f t="shared" si="27"/>
        <v>PAN5</v>
      </c>
      <c r="I838" s="101" t="s">
        <v>3370</v>
      </c>
    </row>
    <row r="839" spans="1:9" ht="15" customHeight="1" x14ac:dyDescent="0.35">
      <c r="A839" s="100">
        <v>6</v>
      </c>
      <c r="B839" s="100" t="s">
        <v>280</v>
      </c>
      <c r="C839" s="101" t="s">
        <v>346</v>
      </c>
      <c r="D839" s="101" t="s">
        <v>333</v>
      </c>
      <c r="E839" s="100" t="s">
        <v>1702</v>
      </c>
      <c r="F839" s="101" t="s">
        <v>3365</v>
      </c>
      <c r="G839" s="101" t="str">
        <f t="shared" si="26"/>
        <v>Cristian MARTINEZ - Panama</v>
      </c>
      <c r="H839" s="101" t="str">
        <f t="shared" si="27"/>
        <v>PAN6</v>
      </c>
      <c r="I839" s="101" t="s">
        <v>3371</v>
      </c>
    </row>
    <row r="840" spans="1:9" ht="15" customHeight="1" x14ac:dyDescent="0.35">
      <c r="A840" s="100">
        <v>7</v>
      </c>
      <c r="B840" s="100" t="s">
        <v>280</v>
      </c>
      <c r="C840" s="101" t="s">
        <v>1709</v>
      </c>
      <c r="D840" s="101" t="s">
        <v>722</v>
      </c>
      <c r="E840" s="100" t="s">
        <v>1702</v>
      </c>
      <c r="F840" s="101" t="s">
        <v>3365</v>
      </c>
      <c r="G840" s="101" t="str">
        <f t="shared" si="26"/>
        <v>Jose Luis RODRIGUEZ - Panama</v>
      </c>
      <c r="H840" s="101" t="str">
        <f t="shared" si="27"/>
        <v>PAN7</v>
      </c>
      <c r="I840" s="101" t="s">
        <v>3372</v>
      </c>
    </row>
    <row r="841" spans="1:9" ht="15" customHeight="1" x14ac:dyDescent="0.35">
      <c r="A841" s="100">
        <v>8</v>
      </c>
      <c r="B841" s="100" t="s">
        <v>280</v>
      </c>
      <c r="C841" s="101" t="s">
        <v>1710</v>
      </c>
      <c r="D841" s="101" t="s">
        <v>1711</v>
      </c>
      <c r="E841" s="100" t="s">
        <v>1702</v>
      </c>
      <c r="F841" s="101" t="s">
        <v>3365</v>
      </c>
      <c r="G841" s="101" t="str">
        <f t="shared" si="26"/>
        <v>Adalberto CARRASQUILLA - Panama</v>
      </c>
      <c r="H841" s="101" t="str">
        <f t="shared" si="27"/>
        <v>PAN8</v>
      </c>
      <c r="I841" s="101" t="s">
        <v>3373</v>
      </c>
    </row>
    <row r="842" spans="1:9" ht="15" customHeight="1" x14ac:dyDescent="0.35">
      <c r="A842" s="100">
        <v>9</v>
      </c>
      <c r="B842" s="100" t="s">
        <v>283</v>
      </c>
      <c r="C842" s="101" t="s">
        <v>934</v>
      </c>
      <c r="D842" s="101" t="s">
        <v>722</v>
      </c>
      <c r="E842" s="100" t="s">
        <v>1702</v>
      </c>
      <c r="F842" s="101" t="s">
        <v>3365</v>
      </c>
      <c r="G842" s="101" t="str">
        <f t="shared" si="26"/>
        <v>Tomas RODRIGUEZ - Panama</v>
      </c>
      <c r="H842" s="101" t="str">
        <f t="shared" si="27"/>
        <v>PAN9</v>
      </c>
      <c r="I842" s="101" t="s">
        <v>3374</v>
      </c>
    </row>
    <row r="843" spans="1:9" ht="15" customHeight="1" x14ac:dyDescent="0.35">
      <c r="A843" s="100">
        <v>10</v>
      </c>
      <c r="B843" s="100" t="s">
        <v>280</v>
      </c>
      <c r="C843" s="101" t="s">
        <v>673</v>
      </c>
      <c r="D843" s="101" t="s">
        <v>717</v>
      </c>
      <c r="E843" s="100" t="s">
        <v>1702</v>
      </c>
      <c r="F843" s="101" t="s">
        <v>3365</v>
      </c>
      <c r="G843" s="101" t="str">
        <f t="shared" si="26"/>
        <v>Ismael DIAZ - Panama</v>
      </c>
      <c r="H843" s="101" t="str">
        <f t="shared" si="27"/>
        <v>PAN10</v>
      </c>
      <c r="I843" s="101" t="s">
        <v>3375</v>
      </c>
    </row>
    <row r="844" spans="1:9" ht="15" customHeight="1" x14ac:dyDescent="0.35">
      <c r="A844" s="100">
        <v>11</v>
      </c>
      <c r="B844" s="100" t="s">
        <v>280</v>
      </c>
      <c r="C844" s="101" t="s">
        <v>1712</v>
      </c>
      <c r="D844" s="101" t="s">
        <v>1713</v>
      </c>
      <c r="E844" s="100" t="s">
        <v>1702</v>
      </c>
      <c r="F844" s="101" t="s">
        <v>3365</v>
      </c>
      <c r="G844" s="101" t="str">
        <f t="shared" si="26"/>
        <v>Edgar Yoel BARCENAS - Panama</v>
      </c>
      <c r="H844" s="101" t="str">
        <f t="shared" si="27"/>
        <v>PAN11</v>
      </c>
      <c r="I844" s="101" t="s">
        <v>3376</v>
      </c>
    </row>
    <row r="845" spans="1:9" ht="15" customHeight="1" x14ac:dyDescent="0.35">
      <c r="A845" s="100">
        <v>12</v>
      </c>
      <c r="B845" s="100" t="s">
        <v>267</v>
      </c>
      <c r="C845" s="101" t="s">
        <v>1491</v>
      </c>
      <c r="D845" s="101" t="s">
        <v>1714</v>
      </c>
      <c r="E845" s="100" t="s">
        <v>1702</v>
      </c>
      <c r="F845" s="101" t="s">
        <v>3365</v>
      </c>
      <c r="G845" s="101" t="str">
        <f t="shared" si="26"/>
        <v>Cesar SAMUDIO - Panama</v>
      </c>
      <c r="H845" s="101" t="str">
        <f t="shared" si="27"/>
        <v>PAN12</v>
      </c>
      <c r="I845" s="101" t="s">
        <v>3377</v>
      </c>
    </row>
    <row r="846" spans="1:9" ht="15" customHeight="1" x14ac:dyDescent="0.35">
      <c r="A846" s="100">
        <v>13</v>
      </c>
      <c r="B846" s="100" t="s">
        <v>271</v>
      </c>
      <c r="C846" s="101" t="s">
        <v>1715</v>
      </c>
      <c r="D846" s="101" t="s">
        <v>1716</v>
      </c>
      <c r="E846" s="100" t="s">
        <v>1702</v>
      </c>
      <c r="F846" s="101" t="s">
        <v>3365</v>
      </c>
      <c r="G846" s="101" t="str">
        <f t="shared" si="26"/>
        <v>Jiovany RAMOS - Panama</v>
      </c>
      <c r="H846" s="101" t="str">
        <f t="shared" si="27"/>
        <v>PAN13</v>
      </c>
      <c r="I846" s="101" t="s">
        <v>3378</v>
      </c>
    </row>
    <row r="847" spans="1:9" ht="15" customHeight="1" x14ac:dyDescent="0.35">
      <c r="A847" s="100">
        <v>14</v>
      </c>
      <c r="B847" s="100" t="s">
        <v>271</v>
      </c>
      <c r="C847" s="101" t="s">
        <v>1502</v>
      </c>
      <c r="D847" s="101" t="s">
        <v>1717</v>
      </c>
      <c r="E847" s="100" t="s">
        <v>1702</v>
      </c>
      <c r="F847" s="101" t="s">
        <v>3365</v>
      </c>
      <c r="G847" s="101" t="str">
        <f t="shared" si="26"/>
        <v>Carlos HARVEY - Panama</v>
      </c>
      <c r="H847" s="101" t="str">
        <f t="shared" si="27"/>
        <v>PAN14</v>
      </c>
      <c r="I847" s="101" t="s">
        <v>3379</v>
      </c>
    </row>
    <row r="848" spans="1:9" ht="15" customHeight="1" x14ac:dyDescent="0.35">
      <c r="A848" s="100">
        <v>15</v>
      </c>
      <c r="B848" s="100" t="s">
        <v>271</v>
      </c>
      <c r="C848" s="101" t="s">
        <v>1718</v>
      </c>
      <c r="D848" s="101" t="s">
        <v>1719</v>
      </c>
      <c r="E848" s="100" t="s">
        <v>1702</v>
      </c>
      <c r="F848" s="101" t="s">
        <v>3365</v>
      </c>
      <c r="G848" s="101" t="str">
        <f t="shared" si="26"/>
        <v>Eric DAVIS - Panama</v>
      </c>
      <c r="H848" s="101" t="str">
        <f t="shared" si="27"/>
        <v>PAN15</v>
      </c>
      <c r="I848" s="101" t="s">
        <v>3380</v>
      </c>
    </row>
    <row r="849" spans="1:9" ht="15" customHeight="1" x14ac:dyDescent="0.35">
      <c r="A849" s="100">
        <v>16</v>
      </c>
      <c r="B849" s="100" t="s">
        <v>271</v>
      </c>
      <c r="C849" s="101" t="s">
        <v>748</v>
      </c>
      <c r="D849" s="101" t="s">
        <v>1720</v>
      </c>
      <c r="E849" s="100" t="s">
        <v>1702</v>
      </c>
      <c r="F849" s="101" t="s">
        <v>3365</v>
      </c>
      <c r="G849" s="101" t="str">
        <f t="shared" si="26"/>
        <v>Andres ANDRADE - Panama</v>
      </c>
      <c r="H849" s="101" t="str">
        <f t="shared" si="27"/>
        <v>PAN16</v>
      </c>
      <c r="I849" s="101" t="s">
        <v>3381</v>
      </c>
    </row>
    <row r="850" spans="1:9" ht="15" customHeight="1" x14ac:dyDescent="0.35">
      <c r="A850" s="100">
        <v>17</v>
      </c>
      <c r="B850" s="100" t="s">
        <v>283</v>
      </c>
      <c r="C850" s="101" t="s">
        <v>1704</v>
      </c>
      <c r="D850" s="101" t="s">
        <v>1721</v>
      </c>
      <c r="E850" s="100" t="s">
        <v>1702</v>
      </c>
      <c r="F850" s="101" t="s">
        <v>3365</v>
      </c>
      <c r="G850" s="101" t="str">
        <f t="shared" si="26"/>
        <v>Jose FAJARDO - Panama</v>
      </c>
      <c r="H850" s="101" t="str">
        <f t="shared" si="27"/>
        <v>PAN17</v>
      </c>
      <c r="I850" s="101" t="s">
        <v>3382</v>
      </c>
    </row>
    <row r="851" spans="1:9" ht="15" customHeight="1" x14ac:dyDescent="0.35">
      <c r="A851" s="100">
        <v>18</v>
      </c>
      <c r="B851" s="100" t="s">
        <v>283</v>
      </c>
      <c r="C851" s="101" t="s">
        <v>1722</v>
      </c>
      <c r="D851" s="101" t="s">
        <v>668</v>
      </c>
      <c r="E851" s="100" t="s">
        <v>1702</v>
      </c>
      <c r="F851" s="101" t="s">
        <v>3365</v>
      </c>
      <c r="G851" s="101" t="str">
        <f t="shared" si="26"/>
        <v>Cecilio WATERMAN - Panama</v>
      </c>
      <c r="H851" s="101" t="str">
        <f t="shared" si="27"/>
        <v>PAN18</v>
      </c>
      <c r="I851" s="101" t="s">
        <v>3383</v>
      </c>
    </row>
    <row r="852" spans="1:9" ht="15" customHeight="1" x14ac:dyDescent="0.35">
      <c r="A852" s="100">
        <v>19</v>
      </c>
      <c r="B852" s="100" t="s">
        <v>280</v>
      </c>
      <c r="C852" s="101" t="s">
        <v>1723</v>
      </c>
      <c r="D852" s="101" t="s">
        <v>738</v>
      </c>
      <c r="E852" s="100" t="s">
        <v>1702</v>
      </c>
      <c r="F852" s="101" t="s">
        <v>3365</v>
      </c>
      <c r="G852" s="101" t="str">
        <f t="shared" si="26"/>
        <v>Alberto QUINTERO - Panama</v>
      </c>
      <c r="H852" s="101" t="str">
        <f t="shared" si="27"/>
        <v>PAN19</v>
      </c>
      <c r="I852" s="101" t="s">
        <v>3384</v>
      </c>
    </row>
    <row r="853" spans="1:9" ht="15" customHeight="1" x14ac:dyDescent="0.35">
      <c r="A853" s="100">
        <v>20</v>
      </c>
      <c r="B853" s="100" t="s">
        <v>280</v>
      </c>
      <c r="C853" s="101" t="s">
        <v>1724</v>
      </c>
      <c r="D853" s="101" t="s">
        <v>1725</v>
      </c>
      <c r="E853" s="100" t="s">
        <v>1702</v>
      </c>
      <c r="F853" s="101" t="s">
        <v>3365</v>
      </c>
      <c r="G853" s="101" t="str">
        <f t="shared" si="26"/>
        <v>Anibal GODOY - Panama</v>
      </c>
      <c r="H853" s="101" t="str">
        <f t="shared" si="27"/>
        <v>PAN20</v>
      </c>
      <c r="I853" s="101" t="s">
        <v>3385</v>
      </c>
    </row>
    <row r="854" spans="1:9" ht="15" customHeight="1" x14ac:dyDescent="0.35">
      <c r="A854" s="100">
        <v>21</v>
      </c>
      <c r="B854" s="100" t="s">
        <v>280</v>
      </c>
      <c r="C854" s="101" t="s">
        <v>1491</v>
      </c>
      <c r="D854" s="101" t="s">
        <v>1726</v>
      </c>
      <c r="E854" s="100" t="s">
        <v>1702</v>
      </c>
      <c r="F854" s="101" t="s">
        <v>3365</v>
      </c>
      <c r="G854" s="101" t="str">
        <f t="shared" si="26"/>
        <v>Cesar YANIS - Panama</v>
      </c>
      <c r="H854" s="101" t="str">
        <f t="shared" si="27"/>
        <v>PAN21</v>
      </c>
      <c r="I854" s="101" t="s">
        <v>3386</v>
      </c>
    </row>
    <row r="855" spans="1:9" ht="15" customHeight="1" x14ac:dyDescent="0.35">
      <c r="A855" s="100">
        <v>22</v>
      </c>
      <c r="B855" s="100" t="s">
        <v>267</v>
      </c>
      <c r="C855" s="101" t="s">
        <v>1727</v>
      </c>
      <c r="D855" s="101" t="s">
        <v>1728</v>
      </c>
      <c r="E855" s="100" t="s">
        <v>1702</v>
      </c>
      <c r="F855" s="101" t="s">
        <v>3365</v>
      </c>
      <c r="G855" s="101" t="str">
        <f t="shared" si="26"/>
        <v>Orlando MOSQUERA - Panama</v>
      </c>
      <c r="H855" s="101" t="str">
        <f t="shared" si="27"/>
        <v>PAN22</v>
      </c>
      <c r="I855" s="101" t="s">
        <v>3387</v>
      </c>
    </row>
    <row r="856" spans="1:9" ht="15" customHeight="1" x14ac:dyDescent="0.35">
      <c r="A856" s="100">
        <v>23</v>
      </c>
      <c r="B856" s="100" t="s">
        <v>271</v>
      </c>
      <c r="C856" s="101" t="s">
        <v>537</v>
      </c>
      <c r="D856" s="101" t="s">
        <v>1729</v>
      </c>
      <c r="E856" s="100" t="s">
        <v>1702</v>
      </c>
      <c r="F856" s="101" t="s">
        <v>3365</v>
      </c>
      <c r="G856" s="101" t="str">
        <f t="shared" si="26"/>
        <v>Amir MURILLO - Panama</v>
      </c>
      <c r="H856" s="101" t="str">
        <f t="shared" si="27"/>
        <v>PAN23</v>
      </c>
      <c r="I856" s="101" t="s">
        <v>3388</v>
      </c>
    </row>
    <row r="857" spans="1:9" ht="15" customHeight="1" x14ac:dyDescent="0.35">
      <c r="A857" s="100">
        <v>24</v>
      </c>
      <c r="B857" s="100" t="s">
        <v>283</v>
      </c>
      <c r="C857" s="101" t="s">
        <v>1730</v>
      </c>
      <c r="D857" s="101" t="s">
        <v>1731</v>
      </c>
      <c r="E857" s="100" t="s">
        <v>1702</v>
      </c>
      <c r="F857" s="101" t="s">
        <v>3365</v>
      </c>
      <c r="G857" s="101" t="str">
        <f t="shared" si="26"/>
        <v>Azarias LONDONO - Panama</v>
      </c>
      <c r="H857" s="101" t="str">
        <f t="shared" si="27"/>
        <v>PAN24</v>
      </c>
      <c r="I857" s="101" t="s">
        <v>3389</v>
      </c>
    </row>
    <row r="858" spans="1:9" ht="15" customHeight="1" x14ac:dyDescent="0.35">
      <c r="A858" s="100">
        <v>25</v>
      </c>
      <c r="B858" s="100" t="s">
        <v>271</v>
      </c>
      <c r="C858" s="101" t="s">
        <v>1732</v>
      </c>
      <c r="D858" s="101" t="s">
        <v>1733</v>
      </c>
      <c r="E858" s="100" t="s">
        <v>1702</v>
      </c>
      <c r="F858" s="101" t="s">
        <v>3365</v>
      </c>
      <c r="G858" s="101" t="str">
        <f t="shared" si="26"/>
        <v>Roderick MILLER - Panama</v>
      </c>
      <c r="H858" s="101" t="str">
        <f t="shared" si="27"/>
        <v>PAN25</v>
      </c>
      <c r="I858" s="101" t="s">
        <v>3390</v>
      </c>
    </row>
    <row r="859" spans="1:9" ht="15" customHeight="1" x14ac:dyDescent="0.35">
      <c r="A859" s="100">
        <v>26</v>
      </c>
      <c r="B859" s="100" t="s">
        <v>271</v>
      </c>
      <c r="C859" s="101" t="s">
        <v>718</v>
      </c>
      <c r="D859" s="101" t="s">
        <v>1520</v>
      </c>
      <c r="E859" s="100" t="s">
        <v>1702</v>
      </c>
      <c r="F859" s="101" t="s">
        <v>3365</v>
      </c>
      <c r="G859" s="101" t="str">
        <f t="shared" si="26"/>
        <v>Jorge GUTIERREZ - Panama</v>
      </c>
      <c r="H859" s="101" t="str">
        <f t="shared" si="27"/>
        <v>PAN26</v>
      </c>
      <c r="I859" s="101" t="s">
        <v>3391</v>
      </c>
    </row>
    <row r="860" spans="1:9" ht="15" customHeight="1" x14ac:dyDescent="0.35">
      <c r="A860" s="102">
        <v>1</v>
      </c>
      <c r="B860" s="102" t="s">
        <v>267</v>
      </c>
      <c r="C860" s="103" t="s">
        <v>1734</v>
      </c>
      <c r="D860" s="103" t="s">
        <v>365</v>
      </c>
      <c r="E860" s="102" t="s">
        <v>1735</v>
      </c>
      <c r="F860" s="103" t="s">
        <v>3392</v>
      </c>
      <c r="G860" s="103" t="str">
        <f t="shared" si="26"/>
        <v>Gatito FERNANDEZ - Paraguay</v>
      </c>
      <c r="H860" s="103" t="str">
        <f t="shared" si="27"/>
        <v>PRY1</v>
      </c>
      <c r="I860" s="103" t="s">
        <v>3393</v>
      </c>
    </row>
    <row r="861" spans="1:9" ht="15" customHeight="1" x14ac:dyDescent="0.35">
      <c r="A861" s="102">
        <v>2</v>
      </c>
      <c r="B861" s="102" t="s">
        <v>271</v>
      </c>
      <c r="C861" s="103" t="s">
        <v>727</v>
      </c>
      <c r="D861" s="103" t="s">
        <v>1736</v>
      </c>
      <c r="E861" s="102" t="s">
        <v>1735</v>
      </c>
      <c r="F861" s="103" t="s">
        <v>3392</v>
      </c>
      <c r="G861" s="103" t="str">
        <f t="shared" si="26"/>
        <v>Gustavo VELAZQUEZ - Paraguay</v>
      </c>
      <c r="H861" s="103" t="str">
        <f t="shared" si="27"/>
        <v>PRY2</v>
      </c>
      <c r="I861" s="103" t="s">
        <v>3394</v>
      </c>
    </row>
    <row r="862" spans="1:9" ht="15" customHeight="1" x14ac:dyDescent="0.35">
      <c r="A862" s="102">
        <v>3</v>
      </c>
      <c r="B862" s="102" t="s">
        <v>271</v>
      </c>
      <c r="C862" s="103" t="s">
        <v>1050</v>
      </c>
      <c r="D862" s="103" t="s">
        <v>1737</v>
      </c>
      <c r="E862" s="102" t="s">
        <v>1735</v>
      </c>
      <c r="F862" s="103" t="s">
        <v>3392</v>
      </c>
      <c r="G862" s="103" t="str">
        <f t="shared" si="26"/>
        <v>Omar ALDERETE - Paraguay</v>
      </c>
      <c r="H862" s="103" t="str">
        <f t="shared" si="27"/>
        <v>PRY3</v>
      </c>
      <c r="I862" s="103" t="s">
        <v>3395</v>
      </c>
    </row>
    <row r="863" spans="1:9" ht="15" customHeight="1" x14ac:dyDescent="0.35">
      <c r="A863" s="102">
        <v>4</v>
      </c>
      <c r="B863" s="102" t="s">
        <v>271</v>
      </c>
      <c r="C863" s="103" t="s">
        <v>1738</v>
      </c>
      <c r="D863" s="103" t="s">
        <v>1739</v>
      </c>
      <c r="E863" s="102" t="s">
        <v>1735</v>
      </c>
      <c r="F863" s="103" t="s">
        <v>3392</v>
      </c>
      <c r="G863" s="103" t="str">
        <f t="shared" si="26"/>
        <v>Juan Jose CACERES - Paraguay</v>
      </c>
      <c r="H863" s="103" t="str">
        <f t="shared" si="27"/>
        <v>PRY4</v>
      </c>
      <c r="I863" s="103" t="s">
        <v>3396</v>
      </c>
    </row>
    <row r="864" spans="1:9" ht="15" customHeight="1" x14ac:dyDescent="0.35">
      <c r="A864" s="102">
        <v>5</v>
      </c>
      <c r="B864" s="102" t="s">
        <v>271</v>
      </c>
      <c r="C864" s="103" t="s">
        <v>1740</v>
      </c>
      <c r="D864" s="103" t="s">
        <v>1741</v>
      </c>
      <c r="E864" s="102" t="s">
        <v>1735</v>
      </c>
      <c r="F864" s="103" t="s">
        <v>3392</v>
      </c>
      <c r="G864" s="103" t="str">
        <f t="shared" si="26"/>
        <v>Fabian BALBUENA - Paraguay</v>
      </c>
      <c r="H864" s="103" t="str">
        <f t="shared" si="27"/>
        <v>PRY5</v>
      </c>
      <c r="I864" s="103" t="s">
        <v>3397</v>
      </c>
    </row>
    <row r="865" spans="1:9" ht="15" customHeight="1" x14ac:dyDescent="0.35">
      <c r="A865" s="102">
        <v>6</v>
      </c>
      <c r="B865" s="102" t="s">
        <v>271</v>
      </c>
      <c r="C865" s="103" t="s">
        <v>1742</v>
      </c>
      <c r="D865" s="103" t="s">
        <v>1743</v>
      </c>
      <c r="E865" s="102" t="s">
        <v>1735</v>
      </c>
      <c r="F865" s="103" t="s">
        <v>3392</v>
      </c>
      <c r="G865" s="103" t="str">
        <f t="shared" si="26"/>
        <v>Junior ALONSO - Paraguay</v>
      </c>
      <c r="H865" s="103" t="str">
        <f t="shared" si="27"/>
        <v>PRY6</v>
      </c>
      <c r="I865" s="103" t="s">
        <v>3398</v>
      </c>
    </row>
    <row r="866" spans="1:9" ht="15" customHeight="1" x14ac:dyDescent="0.35">
      <c r="A866" s="102">
        <v>7</v>
      </c>
      <c r="B866" s="102" t="s">
        <v>280</v>
      </c>
      <c r="C866" s="103" t="s">
        <v>1744</v>
      </c>
      <c r="D866" s="103" t="s">
        <v>1745</v>
      </c>
      <c r="E866" s="102" t="s">
        <v>1735</v>
      </c>
      <c r="F866" s="103" t="s">
        <v>3392</v>
      </c>
      <c r="G866" s="103" t="str">
        <f t="shared" si="26"/>
        <v>Ramon SOSA - Paraguay</v>
      </c>
      <c r="H866" s="103" t="str">
        <f t="shared" si="27"/>
        <v>PRY7</v>
      </c>
      <c r="I866" s="103" t="s">
        <v>3399</v>
      </c>
    </row>
    <row r="867" spans="1:9" ht="15" customHeight="1" x14ac:dyDescent="0.35">
      <c r="A867" s="102">
        <v>8</v>
      </c>
      <c r="B867" s="102" t="s">
        <v>280</v>
      </c>
      <c r="C867" s="103" t="s">
        <v>494</v>
      </c>
      <c r="D867" s="103" t="s">
        <v>749</v>
      </c>
      <c r="E867" s="102" t="s">
        <v>1735</v>
      </c>
      <c r="F867" s="103" t="s">
        <v>3392</v>
      </c>
      <c r="G867" s="103" t="str">
        <f t="shared" si="26"/>
        <v>Diego GOMEZ - Paraguay</v>
      </c>
      <c r="H867" s="103" t="str">
        <f t="shared" si="27"/>
        <v>PRY8</v>
      </c>
      <c r="I867" s="103" t="s">
        <v>3400</v>
      </c>
    </row>
    <row r="868" spans="1:9" ht="15" customHeight="1" x14ac:dyDescent="0.35">
      <c r="A868" s="102">
        <v>9</v>
      </c>
      <c r="B868" s="102" t="s">
        <v>283</v>
      </c>
      <c r="C868" s="103" t="s">
        <v>1140</v>
      </c>
      <c r="D868" s="103" t="s">
        <v>1746</v>
      </c>
      <c r="E868" s="102" t="s">
        <v>1735</v>
      </c>
      <c r="F868" s="103" t="s">
        <v>3392</v>
      </c>
      <c r="G868" s="103" t="str">
        <f t="shared" si="26"/>
        <v>Antonio SANABRIA - Paraguay</v>
      </c>
      <c r="H868" s="103" t="str">
        <f t="shared" si="27"/>
        <v>PRY9</v>
      </c>
      <c r="I868" s="103" t="s">
        <v>3401</v>
      </c>
    </row>
    <row r="869" spans="1:9" ht="15" customHeight="1" x14ac:dyDescent="0.35">
      <c r="A869" s="102">
        <v>10</v>
      </c>
      <c r="B869" s="102" t="s">
        <v>280</v>
      </c>
      <c r="C869" s="103" t="s">
        <v>1747</v>
      </c>
      <c r="D869" s="103" t="s">
        <v>1748</v>
      </c>
      <c r="E869" s="102" t="s">
        <v>1735</v>
      </c>
      <c r="F869" s="103" t="s">
        <v>3392</v>
      </c>
      <c r="G869" s="103" t="str">
        <f t="shared" si="26"/>
        <v>Miguel ALMIRON - Paraguay</v>
      </c>
      <c r="H869" s="103" t="str">
        <f t="shared" si="27"/>
        <v>PRY10</v>
      </c>
      <c r="I869" s="103" t="s">
        <v>3402</v>
      </c>
    </row>
    <row r="870" spans="1:9" ht="15" customHeight="1" x14ac:dyDescent="0.35">
      <c r="A870" s="102">
        <v>11</v>
      </c>
      <c r="B870" s="102" t="s">
        <v>280</v>
      </c>
      <c r="C870" s="103" t="s">
        <v>1749</v>
      </c>
      <c r="D870" s="103" t="s">
        <v>1750</v>
      </c>
      <c r="E870" s="102" t="s">
        <v>1735</v>
      </c>
      <c r="F870" s="103" t="s">
        <v>3392</v>
      </c>
      <c r="G870" s="103" t="str">
        <f t="shared" si="26"/>
        <v>Mauricio MAURICIO - Paraguay</v>
      </c>
      <c r="H870" s="103" t="str">
        <f t="shared" si="27"/>
        <v>PRY11</v>
      </c>
      <c r="I870" s="103" t="s">
        <v>3403</v>
      </c>
    </row>
    <row r="871" spans="1:9" ht="15" customHeight="1" x14ac:dyDescent="0.35">
      <c r="A871" s="102">
        <v>12</v>
      </c>
      <c r="B871" s="102" t="s">
        <v>267</v>
      </c>
      <c r="C871" s="103" t="s">
        <v>1727</v>
      </c>
      <c r="D871" s="103" t="s">
        <v>1751</v>
      </c>
      <c r="E871" s="102" t="s">
        <v>1735</v>
      </c>
      <c r="F871" s="103" t="s">
        <v>3392</v>
      </c>
      <c r="G871" s="103" t="str">
        <f t="shared" si="26"/>
        <v>Orlando GILL - Paraguay</v>
      </c>
      <c r="H871" s="103" t="str">
        <f t="shared" si="27"/>
        <v>PRY12</v>
      </c>
      <c r="I871" s="103" t="s">
        <v>3404</v>
      </c>
    </row>
    <row r="872" spans="1:9" ht="15" customHeight="1" x14ac:dyDescent="0.35">
      <c r="A872" s="102">
        <v>13</v>
      </c>
      <c r="B872" s="102" t="s">
        <v>271</v>
      </c>
      <c r="C872" s="103" t="s">
        <v>1704</v>
      </c>
      <c r="D872" s="103" t="s">
        <v>1752</v>
      </c>
      <c r="E872" s="102" t="s">
        <v>1735</v>
      </c>
      <c r="F872" s="103" t="s">
        <v>3392</v>
      </c>
      <c r="G872" s="103" t="str">
        <f t="shared" si="26"/>
        <v>Jose CANALE - Paraguay</v>
      </c>
      <c r="H872" s="103" t="str">
        <f t="shared" si="27"/>
        <v>PRY13</v>
      </c>
      <c r="I872" s="103" t="s">
        <v>3405</v>
      </c>
    </row>
    <row r="873" spans="1:9" ht="15" customHeight="1" x14ac:dyDescent="0.35">
      <c r="A873" s="102">
        <v>14</v>
      </c>
      <c r="B873" s="102" t="s">
        <v>280</v>
      </c>
      <c r="C873" s="103" t="s">
        <v>748</v>
      </c>
      <c r="D873" s="103" t="s">
        <v>1753</v>
      </c>
      <c r="E873" s="102" t="s">
        <v>1735</v>
      </c>
      <c r="F873" s="103" t="s">
        <v>3392</v>
      </c>
      <c r="G873" s="103" t="str">
        <f t="shared" si="26"/>
        <v>Andres CUBAS - Paraguay</v>
      </c>
      <c r="H873" s="103" t="str">
        <f t="shared" si="27"/>
        <v>PRY14</v>
      </c>
      <c r="I873" s="103" t="s">
        <v>3406</v>
      </c>
    </row>
    <row r="874" spans="1:9" ht="15" customHeight="1" x14ac:dyDescent="0.35">
      <c r="A874" s="102">
        <v>15</v>
      </c>
      <c r="B874" s="102" t="s">
        <v>271</v>
      </c>
      <c r="C874" s="103" t="s">
        <v>727</v>
      </c>
      <c r="D874" s="103" t="s">
        <v>749</v>
      </c>
      <c r="E874" s="102" t="s">
        <v>1735</v>
      </c>
      <c r="F874" s="103" t="s">
        <v>3392</v>
      </c>
      <c r="G874" s="103" t="str">
        <f t="shared" si="26"/>
        <v>Gustavo GOMEZ - Paraguay</v>
      </c>
      <c r="H874" s="103" t="str">
        <f t="shared" si="27"/>
        <v>PRY15</v>
      </c>
      <c r="I874" s="103" t="s">
        <v>3407</v>
      </c>
    </row>
    <row r="875" spans="1:9" ht="15" customHeight="1" x14ac:dyDescent="0.35">
      <c r="A875" s="102">
        <v>16</v>
      </c>
      <c r="B875" s="102" t="s">
        <v>280</v>
      </c>
      <c r="C875" s="103" t="s">
        <v>1754</v>
      </c>
      <c r="D875" s="103" t="s">
        <v>1755</v>
      </c>
      <c r="E875" s="102" t="s">
        <v>1735</v>
      </c>
      <c r="F875" s="103" t="s">
        <v>3392</v>
      </c>
      <c r="G875" s="103" t="str">
        <f t="shared" si="26"/>
        <v>Damian BOBADILLA - Paraguay</v>
      </c>
      <c r="H875" s="103" t="str">
        <f t="shared" si="27"/>
        <v>PRY16</v>
      </c>
      <c r="I875" s="103" t="s">
        <v>3408</v>
      </c>
    </row>
    <row r="876" spans="1:9" ht="15" customHeight="1" x14ac:dyDescent="0.35">
      <c r="A876" s="102">
        <v>17</v>
      </c>
      <c r="B876" s="102" t="s">
        <v>283</v>
      </c>
      <c r="C876" s="103" t="s">
        <v>1756</v>
      </c>
      <c r="D876" s="103" t="s">
        <v>1757</v>
      </c>
      <c r="E876" s="102" t="s">
        <v>1735</v>
      </c>
      <c r="F876" s="103" t="s">
        <v>3392</v>
      </c>
      <c r="G876" s="103" t="str">
        <f t="shared" si="26"/>
        <v>Alejandro ROMERO GAMARRA - Paraguay</v>
      </c>
      <c r="H876" s="103" t="str">
        <f t="shared" si="27"/>
        <v>PRY17</v>
      </c>
      <c r="I876" s="103" t="s">
        <v>3409</v>
      </c>
    </row>
    <row r="877" spans="1:9" ht="15" customHeight="1" x14ac:dyDescent="0.35">
      <c r="A877" s="102">
        <v>18</v>
      </c>
      <c r="B877" s="102" t="s">
        <v>283</v>
      </c>
      <c r="C877" s="103" t="s">
        <v>1629</v>
      </c>
      <c r="D877" s="103" t="s">
        <v>1758</v>
      </c>
      <c r="E877" s="102" t="s">
        <v>1735</v>
      </c>
      <c r="F877" s="103" t="s">
        <v>3392</v>
      </c>
      <c r="G877" s="103" t="str">
        <f t="shared" si="26"/>
        <v>Alex ARCE - Paraguay</v>
      </c>
      <c r="H877" s="103" t="str">
        <f t="shared" si="27"/>
        <v>PRY18</v>
      </c>
      <c r="I877" s="103" t="s">
        <v>3410</v>
      </c>
    </row>
    <row r="878" spans="1:9" ht="15" customHeight="1" x14ac:dyDescent="0.35">
      <c r="A878" s="102">
        <v>19</v>
      </c>
      <c r="B878" s="102" t="s">
        <v>283</v>
      </c>
      <c r="C878" s="103" t="s">
        <v>1759</v>
      </c>
      <c r="D878" s="103" t="s">
        <v>1760</v>
      </c>
      <c r="E878" s="102" t="s">
        <v>1735</v>
      </c>
      <c r="F878" s="103" t="s">
        <v>3392</v>
      </c>
      <c r="G878" s="103" t="str">
        <f t="shared" si="26"/>
        <v>Julio ENCISO - Paraguay</v>
      </c>
      <c r="H878" s="103" t="str">
        <f t="shared" si="27"/>
        <v>PRY19</v>
      </c>
      <c r="I878" s="103" t="s">
        <v>3411</v>
      </c>
    </row>
    <row r="879" spans="1:9" ht="15" customHeight="1" x14ac:dyDescent="0.35">
      <c r="A879" s="102">
        <v>20</v>
      </c>
      <c r="B879" s="102" t="s">
        <v>280</v>
      </c>
      <c r="C879" s="103" t="s">
        <v>1761</v>
      </c>
      <c r="D879" s="103" t="s">
        <v>1762</v>
      </c>
      <c r="E879" s="102" t="s">
        <v>1735</v>
      </c>
      <c r="F879" s="103" t="s">
        <v>3392</v>
      </c>
      <c r="G879" s="103" t="str">
        <f t="shared" si="26"/>
        <v>Braian OJEDA - Paraguay</v>
      </c>
      <c r="H879" s="103" t="str">
        <f t="shared" si="27"/>
        <v>PRY20</v>
      </c>
      <c r="I879" s="103" t="s">
        <v>3412</v>
      </c>
    </row>
    <row r="880" spans="1:9" ht="15" customHeight="1" x14ac:dyDescent="0.35">
      <c r="A880" s="102">
        <v>21</v>
      </c>
      <c r="B880" s="102" t="s">
        <v>283</v>
      </c>
      <c r="C880" s="103" t="s">
        <v>560</v>
      </c>
      <c r="D880" s="103" t="s">
        <v>1763</v>
      </c>
      <c r="E880" s="102" t="s">
        <v>1735</v>
      </c>
      <c r="F880" s="103" t="s">
        <v>3392</v>
      </c>
      <c r="G880" s="103" t="str">
        <f t="shared" si="26"/>
        <v>Gabriel AVALOS - Paraguay</v>
      </c>
      <c r="H880" s="103" t="str">
        <f t="shared" si="27"/>
        <v>PRY21</v>
      </c>
      <c r="I880" s="103" t="s">
        <v>3413</v>
      </c>
    </row>
    <row r="881" spans="1:9" ht="15" customHeight="1" x14ac:dyDescent="0.35">
      <c r="A881" s="102">
        <v>22</v>
      </c>
      <c r="B881" s="102" t="s">
        <v>267</v>
      </c>
      <c r="C881" s="103" t="s">
        <v>1764</v>
      </c>
      <c r="D881" s="103" t="s">
        <v>1765</v>
      </c>
      <c r="E881" s="102" t="s">
        <v>1735</v>
      </c>
      <c r="F881" s="103" t="s">
        <v>3392</v>
      </c>
      <c r="G881" s="103" t="str">
        <f t="shared" si="26"/>
        <v>Gaston OLVEIRA - Paraguay</v>
      </c>
      <c r="H881" s="103" t="str">
        <f t="shared" si="27"/>
        <v>PRY22</v>
      </c>
      <c r="I881" s="103" t="s">
        <v>3414</v>
      </c>
    </row>
    <row r="882" spans="1:9" ht="15" customHeight="1" x14ac:dyDescent="0.35">
      <c r="A882" s="102">
        <v>23</v>
      </c>
      <c r="B882" s="102" t="s">
        <v>280</v>
      </c>
      <c r="C882" s="103" t="s">
        <v>506</v>
      </c>
      <c r="D882" s="103" t="s">
        <v>1766</v>
      </c>
      <c r="E882" s="102" t="s">
        <v>1735</v>
      </c>
      <c r="F882" s="103" t="s">
        <v>3392</v>
      </c>
      <c r="G882" s="103" t="str">
        <f t="shared" si="26"/>
        <v>Matias GALARZA - Paraguay</v>
      </c>
      <c r="H882" s="103" t="str">
        <f t="shared" si="27"/>
        <v>PRY23</v>
      </c>
      <c r="I882" s="103" t="s">
        <v>3415</v>
      </c>
    </row>
    <row r="883" spans="1:9" ht="15" customHeight="1" x14ac:dyDescent="0.35">
      <c r="A883" s="102">
        <v>24</v>
      </c>
      <c r="B883" s="102" t="s">
        <v>280</v>
      </c>
      <c r="C883" s="103" t="s">
        <v>727</v>
      </c>
      <c r="D883" s="103" t="s">
        <v>1767</v>
      </c>
      <c r="E883" s="102" t="s">
        <v>1735</v>
      </c>
      <c r="F883" s="103" t="s">
        <v>3392</v>
      </c>
      <c r="G883" s="103" t="str">
        <f t="shared" si="26"/>
        <v>Gustavo CABALLERO - Paraguay</v>
      </c>
      <c r="H883" s="103" t="str">
        <f t="shared" si="27"/>
        <v>PRY24</v>
      </c>
      <c r="I883" s="103" t="s">
        <v>3416</v>
      </c>
    </row>
    <row r="884" spans="1:9" ht="15" customHeight="1" x14ac:dyDescent="0.35">
      <c r="A884" s="102">
        <v>25</v>
      </c>
      <c r="B884" s="102" t="s">
        <v>283</v>
      </c>
      <c r="C884" s="103" t="s">
        <v>1768</v>
      </c>
      <c r="D884" s="103" t="s">
        <v>1769</v>
      </c>
      <c r="E884" s="102" t="s">
        <v>1735</v>
      </c>
      <c r="F884" s="103" t="s">
        <v>3392</v>
      </c>
      <c r="G884" s="103" t="str">
        <f t="shared" si="26"/>
        <v>Isidro PITTA - Paraguay</v>
      </c>
      <c r="H884" s="103" t="str">
        <f t="shared" si="27"/>
        <v>PRY25</v>
      </c>
      <c r="I884" s="103" t="s">
        <v>3417</v>
      </c>
    </row>
    <row r="885" spans="1:9" ht="15" customHeight="1" x14ac:dyDescent="0.35">
      <c r="A885" s="102">
        <v>26</v>
      </c>
      <c r="B885" s="102" t="s">
        <v>271</v>
      </c>
      <c r="C885" s="103" t="s">
        <v>1770</v>
      </c>
      <c r="D885" s="103" t="s">
        <v>1771</v>
      </c>
      <c r="E885" s="102" t="s">
        <v>1735</v>
      </c>
      <c r="F885" s="103" t="s">
        <v>3392</v>
      </c>
      <c r="G885" s="103" t="str">
        <f t="shared" si="26"/>
        <v>Alexandro MAIDANA - Paraguay</v>
      </c>
      <c r="H885" s="103" t="str">
        <f t="shared" si="27"/>
        <v>PRY26</v>
      </c>
      <c r="I885" s="103" t="s">
        <v>3418</v>
      </c>
    </row>
    <row r="886" spans="1:9" ht="15" customHeight="1" x14ac:dyDescent="0.35">
      <c r="A886" s="104">
        <v>1</v>
      </c>
      <c r="B886" s="104" t="s">
        <v>267</v>
      </c>
      <c r="C886" s="105" t="s">
        <v>1772</v>
      </c>
      <c r="D886" s="105" t="s">
        <v>1773</v>
      </c>
      <c r="E886" s="104" t="s">
        <v>1774</v>
      </c>
      <c r="F886" s="105" t="s">
        <v>3419</v>
      </c>
      <c r="G886" s="105" t="str">
        <f t="shared" si="26"/>
        <v>Diogo COSTA - Portugal</v>
      </c>
      <c r="H886" s="105" t="str">
        <f t="shared" si="27"/>
        <v>PRT1</v>
      </c>
      <c r="I886" s="105" t="s">
        <v>3420</v>
      </c>
    </row>
    <row r="887" spans="1:9" ht="15" customHeight="1" x14ac:dyDescent="0.35">
      <c r="A887" s="104">
        <v>2</v>
      </c>
      <c r="B887" s="104" t="s">
        <v>271</v>
      </c>
      <c r="C887" s="105" t="s">
        <v>1775</v>
      </c>
      <c r="D887" s="105" t="s">
        <v>1776</v>
      </c>
      <c r="E887" s="104" t="s">
        <v>1774</v>
      </c>
      <c r="F887" s="105" t="s">
        <v>3419</v>
      </c>
      <c r="G887" s="105" t="str">
        <f t="shared" si="26"/>
        <v>Nelson SEMEDO - Portugal</v>
      </c>
      <c r="H887" s="105" t="str">
        <f t="shared" si="27"/>
        <v>PRT2</v>
      </c>
      <c r="I887" s="105" t="s">
        <v>3421</v>
      </c>
    </row>
    <row r="888" spans="1:9" ht="15" customHeight="1" x14ac:dyDescent="0.35">
      <c r="A888" s="104">
        <v>3</v>
      </c>
      <c r="B888" s="104" t="s">
        <v>271</v>
      </c>
      <c r="C888" s="105" t="s">
        <v>1252</v>
      </c>
      <c r="D888" s="105" t="s">
        <v>1777</v>
      </c>
      <c r="E888" s="104" t="s">
        <v>1774</v>
      </c>
      <c r="F888" s="105" t="s">
        <v>3419</v>
      </c>
      <c r="G888" s="105" t="str">
        <f t="shared" si="26"/>
        <v>Ruben DIAS - Portugal</v>
      </c>
      <c r="H888" s="105" t="str">
        <f t="shared" si="27"/>
        <v>PRT3</v>
      </c>
      <c r="I888" s="105" t="s">
        <v>3422</v>
      </c>
    </row>
    <row r="889" spans="1:9" ht="15" customHeight="1" x14ac:dyDescent="0.35">
      <c r="A889" s="104">
        <v>4</v>
      </c>
      <c r="B889" s="104" t="s">
        <v>271</v>
      </c>
      <c r="C889" s="105" t="s">
        <v>934</v>
      </c>
      <c r="D889" s="105" t="s">
        <v>1778</v>
      </c>
      <c r="E889" s="104" t="s">
        <v>1774</v>
      </c>
      <c r="F889" s="105" t="s">
        <v>3419</v>
      </c>
      <c r="G889" s="105" t="str">
        <f t="shared" si="26"/>
        <v>Tomas ARAUJO - Portugal</v>
      </c>
      <c r="H889" s="105" t="str">
        <f t="shared" si="27"/>
        <v>PRT4</v>
      </c>
      <c r="I889" s="105" t="s">
        <v>3423</v>
      </c>
    </row>
    <row r="890" spans="1:9" ht="15" customHeight="1" x14ac:dyDescent="0.35">
      <c r="A890" s="104">
        <v>5</v>
      </c>
      <c r="B890" s="104" t="s">
        <v>271</v>
      </c>
      <c r="C890" s="105" t="s">
        <v>1772</v>
      </c>
      <c r="D890" s="105" t="s">
        <v>1779</v>
      </c>
      <c r="E890" s="104" t="s">
        <v>1774</v>
      </c>
      <c r="F890" s="105" t="s">
        <v>3419</v>
      </c>
      <c r="G890" s="105" t="str">
        <f t="shared" si="26"/>
        <v>Diogo DALOT - Portugal</v>
      </c>
      <c r="H890" s="105" t="str">
        <f t="shared" si="27"/>
        <v>PRT5</v>
      </c>
      <c r="I890" s="105" t="s">
        <v>3424</v>
      </c>
    </row>
    <row r="891" spans="1:9" ht="15" customHeight="1" x14ac:dyDescent="0.35">
      <c r="A891" s="104">
        <v>6</v>
      </c>
      <c r="B891" s="104" t="s">
        <v>280</v>
      </c>
      <c r="C891" s="105" t="s">
        <v>571</v>
      </c>
      <c r="D891" s="105" t="s">
        <v>1780</v>
      </c>
      <c r="E891" s="104" t="s">
        <v>1774</v>
      </c>
      <c r="F891" s="105" t="s">
        <v>3419</v>
      </c>
      <c r="G891" s="105" t="str">
        <f t="shared" si="26"/>
        <v>Matheus NUNES - Portugal</v>
      </c>
      <c r="H891" s="105" t="str">
        <f t="shared" si="27"/>
        <v>PRT6</v>
      </c>
      <c r="I891" s="105" t="s">
        <v>3425</v>
      </c>
    </row>
    <row r="892" spans="1:9" ht="15" customHeight="1" x14ac:dyDescent="0.35">
      <c r="A892" s="104">
        <v>7</v>
      </c>
      <c r="B892" s="104" t="s">
        <v>283</v>
      </c>
      <c r="C892" s="105" t="s">
        <v>1781</v>
      </c>
      <c r="D892" s="105" t="s">
        <v>1782</v>
      </c>
      <c r="E892" s="104" t="s">
        <v>1774</v>
      </c>
      <c r="F892" s="105" t="s">
        <v>3419</v>
      </c>
      <c r="G892" s="105" t="str">
        <f t="shared" si="26"/>
        <v>Cristiano RONALDO - Portugal</v>
      </c>
      <c r="H892" s="105" t="str">
        <f t="shared" si="27"/>
        <v>PRT7</v>
      </c>
      <c r="I892" s="105" t="s">
        <v>3426</v>
      </c>
    </row>
    <row r="893" spans="1:9" ht="15" customHeight="1" x14ac:dyDescent="0.35">
      <c r="A893" s="104">
        <v>8</v>
      </c>
      <c r="B893" s="104" t="s">
        <v>280</v>
      </c>
      <c r="C893" s="105" t="s">
        <v>569</v>
      </c>
      <c r="D893" s="105" t="s">
        <v>1783</v>
      </c>
      <c r="E893" s="104" t="s">
        <v>1774</v>
      </c>
      <c r="F893" s="105" t="s">
        <v>3419</v>
      </c>
      <c r="G893" s="105" t="str">
        <f t="shared" si="26"/>
        <v>Bruno FERNANDES - Portugal</v>
      </c>
      <c r="H893" s="105" t="str">
        <f t="shared" si="27"/>
        <v>PRT8</v>
      </c>
      <c r="I893" s="105" t="s">
        <v>3427</v>
      </c>
    </row>
    <row r="894" spans="1:9" ht="15" customHeight="1" x14ac:dyDescent="0.35">
      <c r="A894" s="104">
        <v>9</v>
      </c>
      <c r="B894" s="104" t="s">
        <v>283</v>
      </c>
      <c r="C894" s="105" t="s">
        <v>1784</v>
      </c>
      <c r="D894" s="105" t="s">
        <v>1716</v>
      </c>
      <c r="E894" s="104" t="s">
        <v>1774</v>
      </c>
      <c r="F894" s="105" t="s">
        <v>3419</v>
      </c>
      <c r="G894" s="105" t="str">
        <f t="shared" si="26"/>
        <v>Goncalo RAMOS - Portugal</v>
      </c>
      <c r="H894" s="105" t="str">
        <f t="shared" si="27"/>
        <v>PRT9</v>
      </c>
      <c r="I894" s="105" t="s">
        <v>3428</v>
      </c>
    </row>
    <row r="895" spans="1:9" ht="15" customHeight="1" x14ac:dyDescent="0.35">
      <c r="A895" s="104">
        <v>10</v>
      </c>
      <c r="B895" s="104" t="s">
        <v>280</v>
      </c>
      <c r="C895" s="105" t="s">
        <v>1785</v>
      </c>
      <c r="D895" s="105" t="s">
        <v>1786</v>
      </c>
      <c r="E895" s="104" t="s">
        <v>1774</v>
      </c>
      <c r="F895" s="105" t="s">
        <v>3419</v>
      </c>
      <c r="G895" s="105" t="str">
        <f t="shared" si="26"/>
        <v>Bernardo SILVA - Portugal</v>
      </c>
      <c r="H895" s="105" t="str">
        <f t="shared" si="27"/>
        <v>PRT10</v>
      </c>
      <c r="I895" s="105" t="s">
        <v>3429</v>
      </c>
    </row>
    <row r="896" spans="1:9" ht="15" customHeight="1" x14ac:dyDescent="0.35">
      <c r="A896" s="104">
        <v>11</v>
      </c>
      <c r="B896" s="104" t="s">
        <v>283</v>
      </c>
      <c r="C896" s="105" t="s">
        <v>1787</v>
      </c>
      <c r="D896" s="105" t="s">
        <v>1788</v>
      </c>
      <c r="E896" s="104" t="s">
        <v>1774</v>
      </c>
      <c r="F896" s="105" t="s">
        <v>3419</v>
      </c>
      <c r="G896" s="105" t="str">
        <f t="shared" si="26"/>
        <v>Joao FELIX - Portugal</v>
      </c>
      <c r="H896" s="105" t="str">
        <f t="shared" si="27"/>
        <v>PRT11</v>
      </c>
      <c r="I896" s="105" t="s">
        <v>3430</v>
      </c>
    </row>
    <row r="897" spans="1:9" ht="15" customHeight="1" x14ac:dyDescent="0.35">
      <c r="A897" s="104">
        <v>12</v>
      </c>
      <c r="B897" s="104" t="s">
        <v>267</v>
      </c>
      <c r="C897" s="105" t="s">
        <v>1704</v>
      </c>
      <c r="D897" s="105" t="s">
        <v>1789</v>
      </c>
      <c r="E897" s="104" t="s">
        <v>1774</v>
      </c>
      <c r="F897" s="105" t="s">
        <v>3419</v>
      </c>
      <c r="G897" s="105" t="str">
        <f t="shared" si="26"/>
        <v>Jose SA - Portugal</v>
      </c>
      <c r="H897" s="105" t="str">
        <f t="shared" si="27"/>
        <v>PRT12</v>
      </c>
      <c r="I897" s="105" t="s">
        <v>3431</v>
      </c>
    </row>
    <row r="898" spans="1:9" ht="15" customHeight="1" x14ac:dyDescent="0.35">
      <c r="A898" s="104">
        <v>13</v>
      </c>
      <c r="B898" s="104" t="s">
        <v>271</v>
      </c>
      <c r="C898" s="105" t="s">
        <v>1790</v>
      </c>
      <c r="D898" s="105" t="s">
        <v>1791</v>
      </c>
      <c r="E898" s="104" t="s">
        <v>1774</v>
      </c>
      <c r="F898" s="105" t="s">
        <v>3419</v>
      </c>
      <c r="G898" s="105" t="str">
        <f t="shared" si="26"/>
        <v>Renato VEIGA - Portugal</v>
      </c>
      <c r="H898" s="105" t="str">
        <f t="shared" si="27"/>
        <v>PRT13</v>
      </c>
      <c r="I898" s="105" t="s">
        <v>3432</v>
      </c>
    </row>
    <row r="899" spans="1:9" ht="15" customHeight="1" x14ac:dyDescent="0.35">
      <c r="A899" s="104">
        <v>14</v>
      </c>
      <c r="B899" s="104" t="s">
        <v>271</v>
      </c>
      <c r="C899" s="105" t="s">
        <v>1784</v>
      </c>
      <c r="D899" s="105" t="s">
        <v>1792</v>
      </c>
      <c r="E899" s="104" t="s">
        <v>1774</v>
      </c>
      <c r="F899" s="105" t="s">
        <v>3419</v>
      </c>
      <c r="G899" s="105" t="str">
        <f t="shared" ref="G899:G962" si="28">_xlfn.CONCAT(C899, " ",D899, " - ",F899)</f>
        <v>Goncalo INACIO - Portugal</v>
      </c>
      <c r="H899" s="105" t="str">
        <f t="shared" ref="H899:H962" si="29">_xlfn.CONCAT(E899,A899)</f>
        <v>PRT14</v>
      </c>
      <c r="I899" s="105" t="s">
        <v>3433</v>
      </c>
    </row>
    <row r="900" spans="1:9" ht="15" customHeight="1" x14ac:dyDescent="0.35">
      <c r="A900" s="104">
        <v>15</v>
      </c>
      <c r="B900" s="104" t="s">
        <v>280</v>
      </c>
      <c r="C900" s="105" t="s">
        <v>1787</v>
      </c>
      <c r="D900" s="105" t="s">
        <v>1793</v>
      </c>
      <c r="E900" s="104" t="s">
        <v>1774</v>
      </c>
      <c r="F900" s="105" t="s">
        <v>3419</v>
      </c>
      <c r="G900" s="105" t="str">
        <f t="shared" si="28"/>
        <v>Joao NEVES - Portugal</v>
      </c>
      <c r="H900" s="105" t="str">
        <f t="shared" si="29"/>
        <v>PRT15</v>
      </c>
      <c r="I900" s="105" t="s">
        <v>3434</v>
      </c>
    </row>
    <row r="901" spans="1:9" ht="15" customHeight="1" x14ac:dyDescent="0.35">
      <c r="A901" s="104">
        <v>16</v>
      </c>
      <c r="B901" s="104" t="s">
        <v>283</v>
      </c>
      <c r="C901" s="105" t="s">
        <v>1794</v>
      </c>
      <c r="D901" s="105" t="s">
        <v>1795</v>
      </c>
      <c r="E901" s="104" t="s">
        <v>1774</v>
      </c>
      <c r="F901" s="105" t="s">
        <v>3419</v>
      </c>
      <c r="G901" s="105" t="str">
        <f t="shared" si="28"/>
        <v>Francisco TRINCAO - Portugal</v>
      </c>
      <c r="H901" s="105" t="str">
        <f t="shared" si="29"/>
        <v>PRT16</v>
      </c>
      <c r="I901" s="105" t="s">
        <v>3435</v>
      </c>
    </row>
    <row r="902" spans="1:9" ht="15" customHeight="1" x14ac:dyDescent="0.35">
      <c r="A902" s="104">
        <v>17</v>
      </c>
      <c r="B902" s="104" t="s">
        <v>283</v>
      </c>
      <c r="C902" s="105" t="s">
        <v>1796</v>
      </c>
      <c r="D902" s="105" t="s">
        <v>1797</v>
      </c>
      <c r="E902" s="104" t="s">
        <v>1774</v>
      </c>
      <c r="F902" s="105" t="s">
        <v>3419</v>
      </c>
      <c r="G902" s="105" t="str">
        <f t="shared" si="28"/>
        <v>Rafael LEAO - Portugal</v>
      </c>
      <c r="H902" s="105" t="str">
        <f t="shared" si="29"/>
        <v>PRT17</v>
      </c>
      <c r="I902" s="105" t="s">
        <v>3436</v>
      </c>
    </row>
    <row r="903" spans="1:9" ht="15" customHeight="1" x14ac:dyDescent="0.35">
      <c r="A903" s="104">
        <v>18</v>
      </c>
      <c r="B903" s="104" t="s">
        <v>283</v>
      </c>
      <c r="C903" s="105" t="s">
        <v>1000</v>
      </c>
      <c r="D903" s="105" t="s">
        <v>1798</v>
      </c>
      <c r="E903" s="104" t="s">
        <v>1774</v>
      </c>
      <c r="F903" s="105" t="s">
        <v>3419</v>
      </c>
      <c r="G903" s="105" t="str">
        <f t="shared" si="28"/>
        <v>Pedro NETO - Portugal</v>
      </c>
      <c r="H903" s="105" t="str">
        <f t="shared" si="29"/>
        <v>PRT18</v>
      </c>
      <c r="I903" s="105" t="s">
        <v>3437</v>
      </c>
    </row>
    <row r="904" spans="1:9" ht="15" customHeight="1" x14ac:dyDescent="0.35">
      <c r="A904" s="104">
        <v>19</v>
      </c>
      <c r="B904" s="104" t="s">
        <v>283</v>
      </c>
      <c r="C904" s="105" t="s">
        <v>1784</v>
      </c>
      <c r="D904" s="105" t="s">
        <v>1799</v>
      </c>
      <c r="E904" s="104" t="s">
        <v>1774</v>
      </c>
      <c r="F904" s="105" t="s">
        <v>3419</v>
      </c>
      <c r="G904" s="105" t="str">
        <f t="shared" si="28"/>
        <v>Goncalo GUEDES - Portugal</v>
      </c>
      <c r="H904" s="105" t="str">
        <f t="shared" si="29"/>
        <v>PRT19</v>
      </c>
      <c r="I904" s="105" t="s">
        <v>3438</v>
      </c>
    </row>
    <row r="905" spans="1:9" ht="15" customHeight="1" x14ac:dyDescent="0.35">
      <c r="A905" s="104">
        <v>20</v>
      </c>
      <c r="B905" s="104" t="s">
        <v>271</v>
      </c>
      <c r="C905" s="105" t="s">
        <v>1787</v>
      </c>
      <c r="D905" s="105" t="s">
        <v>1800</v>
      </c>
      <c r="E905" s="104" t="s">
        <v>1774</v>
      </c>
      <c r="F905" s="105" t="s">
        <v>3419</v>
      </c>
      <c r="G905" s="105" t="str">
        <f t="shared" si="28"/>
        <v>Joao CANCELO - Portugal</v>
      </c>
      <c r="H905" s="105" t="str">
        <f t="shared" si="29"/>
        <v>PRT20</v>
      </c>
      <c r="I905" s="105" t="s">
        <v>3439</v>
      </c>
    </row>
    <row r="906" spans="1:9" ht="15" customHeight="1" x14ac:dyDescent="0.35">
      <c r="A906" s="104">
        <v>21</v>
      </c>
      <c r="B906" s="104" t="s">
        <v>280</v>
      </c>
      <c r="C906" s="105" t="s">
        <v>1252</v>
      </c>
      <c r="D906" s="105" t="s">
        <v>1793</v>
      </c>
      <c r="E906" s="104" t="s">
        <v>1774</v>
      </c>
      <c r="F906" s="105" t="s">
        <v>3419</v>
      </c>
      <c r="G906" s="105" t="str">
        <f t="shared" si="28"/>
        <v>Ruben NEVES - Portugal</v>
      </c>
      <c r="H906" s="105" t="str">
        <f t="shared" si="29"/>
        <v>PRT21</v>
      </c>
      <c r="I906" s="105" t="s">
        <v>3440</v>
      </c>
    </row>
    <row r="907" spans="1:9" ht="15" customHeight="1" x14ac:dyDescent="0.35">
      <c r="A907" s="104">
        <v>22</v>
      </c>
      <c r="B907" s="104" t="s">
        <v>267</v>
      </c>
      <c r="C907" s="105" t="s">
        <v>1801</v>
      </c>
      <c r="D907" s="105" t="s">
        <v>1786</v>
      </c>
      <c r="E907" s="104" t="s">
        <v>1774</v>
      </c>
      <c r="F907" s="105" t="s">
        <v>3419</v>
      </c>
      <c r="G907" s="105" t="str">
        <f t="shared" si="28"/>
        <v>Rui SILVA - Portugal</v>
      </c>
      <c r="H907" s="105" t="str">
        <f t="shared" si="29"/>
        <v>PRT22</v>
      </c>
      <c r="I907" s="105" t="s">
        <v>3441</v>
      </c>
    </row>
    <row r="908" spans="1:9" ht="15" customHeight="1" x14ac:dyDescent="0.35">
      <c r="A908" s="104">
        <v>23</v>
      </c>
      <c r="B908" s="104" t="s">
        <v>280</v>
      </c>
      <c r="C908" s="105" t="s">
        <v>1802</v>
      </c>
      <c r="D908" s="105" t="s">
        <v>1803</v>
      </c>
      <c r="E908" s="104" t="s">
        <v>1774</v>
      </c>
      <c r="F908" s="105" t="s">
        <v>3419</v>
      </c>
      <c r="G908" s="105" t="str">
        <f t="shared" si="28"/>
        <v>Vitinha VITINHA - Portugal</v>
      </c>
      <c r="H908" s="105" t="str">
        <f t="shared" si="29"/>
        <v>PRT23</v>
      </c>
      <c r="I908" s="105" t="s">
        <v>3442</v>
      </c>
    </row>
    <row r="909" spans="1:9" ht="15" customHeight="1" x14ac:dyDescent="0.35">
      <c r="A909" s="104">
        <v>24</v>
      </c>
      <c r="B909" s="104" t="s">
        <v>271</v>
      </c>
      <c r="C909" s="105" t="s">
        <v>1804</v>
      </c>
      <c r="D909" s="105" t="s">
        <v>1773</v>
      </c>
      <c r="E909" s="104" t="s">
        <v>1774</v>
      </c>
      <c r="F909" s="105" t="s">
        <v>3419</v>
      </c>
      <c r="G909" s="105" t="str">
        <f t="shared" si="28"/>
        <v>Samu COSTA - Portugal</v>
      </c>
      <c r="H909" s="105" t="str">
        <f t="shared" si="29"/>
        <v>PRT24</v>
      </c>
      <c r="I909" s="105" t="s">
        <v>3443</v>
      </c>
    </row>
    <row r="910" spans="1:9" ht="15" customHeight="1" x14ac:dyDescent="0.35">
      <c r="A910" s="104">
        <v>25</v>
      </c>
      <c r="B910" s="104" t="s">
        <v>271</v>
      </c>
      <c r="C910" s="105" t="s">
        <v>646</v>
      </c>
      <c r="D910" s="105" t="s">
        <v>1805</v>
      </c>
      <c r="E910" s="104" t="s">
        <v>1774</v>
      </c>
      <c r="F910" s="105" t="s">
        <v>3419</v>
      </c>
      <c r="G910" s="105" t="str">
        <f t="shared" si="28"/>
        <v>Nuno MENDES - Portugal</v>
      </c>
      <c r="H910" s="105" t="str">
        <f t="shared" si="29"/>
        <v>PRT25</v>
      </c>
      <c r="I910" s="105" t="s">
        <v>3444</v>
      </c>
    </row>
    <row r="911" spans="1:9" ht="15" customHeight="1" x14ac:dyDescent="0.35">
      <c r="A911" s="104">
        <v>26</v>
      </c>
      <c r="B911" s="104" t="s">
        <v>283</v>
      </c>
      <c r="C911" s="105" t="s">
        <v>1794</v>
      </c>
      <c r="D911" s="105" t="s">
        <v>1806</v>
      </c>
      <c r="E911" s="104" t="s">
        <v>1774</v>
      </c>
      <c r="F911" s="105" t="s">
        <v>3419</v>
      </c>
      <c r="G911" s="105" t="str">
        <f t="shared" si="28"/>
        <v>Francisco CONCEICAO - Portugal</v>
      </c>
      <c r="H911" s="105" t="str">
        <f t="shared" si="29"/>
        <v>PRT26</v>
      </c>
      <c r="I911" s="105" t="s">
        <v>3445</v>
      </c>
    </row>
    <row r="912" spans="1:9" ht="15" customHeight="1" x14ac:dyDescent="0.35">
      <c r="A912" s="62">
        <v>1</v>
      </c>
      <c r="B912" s="62" t="s">
        <v>267</v>
      </c>
      <c r="C912" s="63" t="s">
        <v>1024</v>
      </c>
      <c r="D912" s="63" t="s">
        <v>1807</v>
      </c>
      <c r="E912" s="62" t="s">
        <v>1808</v>
      </c>
      <c r="F912" s="63" t="s">
        <v>3446</v>
      </c>
      <c r="G912" s="63" t="str">
        <f t="shared" si="28"/>
        <v>Mahmoud ABUNADA - Qatar</v>
      </c>
      <c r="H912" s="63" t="str">
        <f t="shared" si="29"/>
        <v>QAT1</v>
      </c>
      <c r="I912" s="63" t="s">
        <v>3447</v>
      </c>
    </row>
    <row r="913" spans="1:9" ht="15" customHeight="1" x14ac:dyDescent="0.35">
      <c r="A913" s="62">
        <v>2</v>
      </c>
      <c r="B913" s="62" t="s">
        <v>271</v>
      </c>
      <c r="C913" s="63" t="s">
        <v>1000</v>
      </c>
      <c r="D913" s="63" t="s">
        <v>1809</v>
      </c>
      <c r="E913" s="62" t="s">
        <v>1808</v>
      </c>
      <c r="F913" s="63" t="s">
        <v>3446</v>
      </c>
      <c r="G913" s="63" t="str">
        <f t="shared" si="28"/>
        <v>Pedro MIGUEL - Qatar</v>
      </c>
      <c r="H913" s="63" t="str">
        <f t="shared" si="29"/>
        <v>QAT2</v>
      </c>
      <c r="I913" s="63" t="s">
        <v>3448</v>
      </c>
    </row>
    <row r="914" spans="1:9" ht="15" customHeight="1" x14ac:dyDescent="0.35">
      <c r="A914" s="62">
        <v>3</v>
      </c>
      <c r="B914" s="62" t="s">
        <v>271</v>
      </c>
      <c r="C914" s="63" t="s">
        <v>414</v>
      </c>
      <c r="D914" s="63" t="s">
        <v>1805</v>
      </c>
      <c r="E914" s="62" t="s">
        <v>1808</v>
      </c>
      <c r="F914" s="63" t="s">
        <v>3446</v>
      </c>
      <c r="G914" s="63" t="str">
        <f t="shared" si="28"/>
        <v>Lucas MENDES - Qatar</v>
      </c>
      <c r="H914" s="63" t="str">
        <f t="shared" si="29"/>
        <v>QAT3</v>
      </c>
      <c r="I914" s="63" t="s">
        <v>3449</v>
      </c>
    </row>
    <row r="915" spans="1:9" ht="15" customHeight="1" x14ac:dyDescent="0.35">
      <c r="A915" s="62">
        <v>4</v>
      </c>
      <c r="B915" s="62" t="s">
        <v>271</v>
      </c>
      <c r="C915" s="63" t="s">
        <v>1810</v>
      </c>
      <c r="D915" s="63" t="s">
        <v>1811</v>
      </c>
      <c r="E915" s="62" t="s">
        <v>1808</v>
      </c>
      <c r="F915" s="63" t="s">
        <v>3446</v>
      </c>
      <c r="G915" s="63" t="str">
        <f t="shared" si="28"/>
        <v>Issa Laye GUEYE - Qatar</v>
      </c>
      <c r="H915" s="63" t="str">
        <f t="shared" si="29"/>
        <v>QAT4</v>
      </c>
      <c r="I915" s="63" t="s">
        <v>3450</v>
      </c>
    </row>
    <row r="916" spans="1:9" ht="15" customHeight="1" x14ac:dyDescent="0.35">
      <c r="A916" s="62">
        <v>5</v>
      </c>
      <c r="B916" s="62" t="s">
        <v>271</v>
      </c>
      <c r="C916" s="63" t="s">
        <v>1812</v>
      </c>
      <c r="D916" s="63" t="s">
        <v>1813</v>
      </c>
      <c r="E916" s="62" t="s">
        <v>1808</v>
      </c>
      <c r="F916" s="63" t="s">
        <v>3446</v>
      </c>
      <c r="G916" s="63" t="str">
        <f t="shared" si="28"/>
        <v>Jassem GABER - Qatar</v>
      </c>
      <c r="H916" s="63" t="str">
        <f t="shared" si="29"/>
        <v>QAT5</v>
      </c>
      <c r="I916" s="63" t="s">
        <v>3451</v>
      </c>
    </row>
    <row r="917" spans="1:9" ht="15" customHeight="1" x14ac:dyDescent="0.35">
      <c r="A917" s="62">
        <v>6</v>
      </c>
      <c r="B917" s="62" t="s">
        <v>280</v>
      </c>
      <c r="C917" s="63" t="s">
        <v>1814</v>
      </c>
      <c r="D917" s="63" t="s">
        <v>1815</v>
      </c>
      <c r="E917" s="62" t="s">
        <v>1808</v>
      </c>
      <c r="F917" s="63" t="s">
        <v>3446</v>
      </c>
      <c r="G917" s="63" t="str">
        <f t="shared" si="28"/>
        <v>Abdulaziz HATEM - Qatar</v>
      </c>
      <c r="H917" s="63" t="str">
        <f t="shared" si="29"/>
        <v>QAT6</v>
      </c>
      <c r="I917" s="63" t="s">
        <v>3452</v>
      </c>
    </row>
    <row r="918" spans="1:9" ht="15" customHeight="1" x14ac:dyDescent="0.35">
      <c r="A918" s="62">
        <v>7</v>
      </c>
      <c r="B918" s="62" t="s">
        <v>283</v>
      </c>
      <c r="C918" s="63" t="s">
        <v>1035</v>
      </c>
      <c r="D918" s="63" t="s">
        <v>1816</v>
      </c>
      <c r="E918" s="62" t="s">
        <v>1808</v>
      </c>
      <c r="F918" s="63" t="s">
        <v>3446</v>
      </c>
      <c r="G918" s="63" t="str">
        <f t="shared" si="28"/>
        <v>Ahmed ALAAELDIN - Qatar</v>
      </c>
      <c r="H918" s="63" t="str">
        <f t="shared" si="29"/>
        <v>QAT7</v>
      </c>
      <c r="I918" s="63" t="s">
        <v>3453</v>
      </c>
    </row>
    <row r="919" spans="1:9" ht="15" customHeight="1" x14ac:dyDescent="0.35">
      <c r="A919" s="62">
        <v>8</v>
      </c>
      <c r="B919" s="62" t="s">
        <v>283</v>
      </c>
      <c r="C919" s="63" t="s">
        <v>1817</v>
      </c>
      <c r="D919" s="63" t="s">
        <v>1818</v>
      </c>
      <c r="E919" s="62" t="s">
        <v>1808</v>
      </c>
      <c r="F919" s="63" t="s">
        <v>3446</v>
      </c>
      <c r="G919" s="63" t="str">
        <f t="shared" si="28"/>
        <v>Edmilson Junior EDMILSON JUNIOR - Qatar</v>
      </c>
      <c r="H919" s="63" t="str">
        <f t="shared" si="29"/>
        <v>QAT8</v>
      </c>
      <c r="I919" s="63" t="s">
        <v>3454</v>
      </c>
    </row>
    <row r="920" spans="1:9" ht="15" customHeight="1" x14ac:dyDescent="0.35">
      <c r="A920" s="62">
        <v>9</v>
      </c>
      <c r="B920" s="62" t="s">
        <v>283</v>
      </c>
      <c r="C920" s="63" t="s">
        <v>1819</v>
      </c>
      <c r="D920" s="63" t="s">
        <v>1820</v>
      </c>
      <c r="E920" s="62" t="s">
        <v>1808</v>
      </c>
      <c r="F920" s="63" t="s">
        <v>3446</v>
      </c>
      <c r="G920" s="63" t="str">
        <f t="shared" si="28"/>
        <v>Mohammed MUNTARI - Qatar</v>
      </c>
      <c r="H920" s="63" t="str">
        <f t="shared" si="29"/>
        <v>QAT9</v>
      </c>
      <c r="I920" s="63" t="s">
        <v>3455</v>
      </c>
    </row>
    <row r="921" spans="1:9" ht="15" customHeight="1" x14ac:dyDescent="0.35">
      <c r="A921" s="62">
        <v>10</v>
      </c>
      <c r="B921" s="62" t="s">
        <v>283</v>
      </c>
      <c r="C921" s="63" t="s">
        <v>1821</v>
      </c>
      <c r="D921" s="63" t="s">
        <v>1822</v>
      </c>
      <c r="E921" s="62" t="s">
        <v>1808</v>
      </c>
      <c r="F921" s="63" t="s">
        <v>3446</v>
      </c>
      <c r="G921" s="63" t="str">
        <f t="shared" si="28"/>
        <v>Hassan ALHAYDOS - Qatar</v>
      </c>
      <c r="H921" s="63" t="str">
        <f t="shared" si="29"/>
        <v>QAT10</v>
      </c>
      <c r="I921" s="63" t="s">
        <v>3456</v>
      </c>
    </row>
    <row r="922" spans="1:9" ht="15" customHeight="1" x14ac:dyDescent="0.35">
      <c r="A922" s="62">
        <v>11</v>
      </c>
      <c r="B922" s="62" t="s">
        <v>283</v>
      </c>
      <c r="C922" s="63" t="s">
        <v>1823</v>
      </c>
      <c r="D922" s="63" t="s">
        <v>1824</v>
      </c>
      <c r="E922" s="62" t="s">
        <v>1808</v>
      </c>
      <c r="F922" s="63" t="s">
        <v>3446</v>
      </c>
      <c r="G922" s="63" t="str">
        <f t="shared" si="28"/>
        <v>Akram AFIF - Qatar</v>
      </c>
      <c r="H922" s="63" t="str">
        <f t="shared" si="29"/>
        <v>QAT11</v>
      </c>
      <c r="I922" s="63" t="s">
        <v>3457</v>
      </c>
    </row>
    <row r="923" spans="1:9" ht="15" customHeight="1" x14ac:dyDescent="0.35">
      <c r="A923" s="62">
        <v>12</v>
      </c>
      <c r="B923" s="62" t="s">
        <v>280</v>
      </c>
      <c r="C923" s="63" t="s">
        <v>1039</v>
      </c>
      <c r="D923" s="63" t="s">
        <v>1825</v>
      </c>
      <c r="E923" s="62" t="s">
        <v>1808</v>
      </c>
      <c r="F923" s="63" t="s">
        <v>3446</v>
      </c>
      <c r="G923" s="63" t="str">
        <f t="shared" si="28"/>
        <v>Karim BOUDIAF - Qatar</v>
      </c>
      <c r="H923" s="63" t="str">
        <f t="shared" si="29"/>
        <v>QAT12</v>
      </c>
      <c r="I923" s="63" t="s">
        <v>3458</v>
      </c>
    </row>
    <row r="924" spans="1:9" ht="15" customHeight="1" x14ac:dyDescent="0.35">
      <c r="A924" s="62">
        <v>13</v>
      </c>
      <c r="B924" s="62" t="s">
        <v>271</v>
      </c>
      <c r="C924" s="63" t="s">
        <v>1550</v>
      </c>
      <c r="D924" s="63" t="s">
        <v>1826</v>
      </c>
      <c r="E924" s="62" t="s">
        <v>1808</v>
      </c>
      <c r="F924" s="63" t="s">
        <v>3446</v>
      </c>
      <c r="G924" s="63" t="str">
        <f t="shared" si="28"/>
        <v>Ayoub ALOUI - Qatar</v>
      </c>
      <c r="H924" s="63" t="str">
        <f t="shared" si="29"/>
        <v>QAT13</v>
      </c>
      <c r="I924" s="63" t="s">
        <v>3459</v>
      </c>
    </row>
    <row r="925" spans="1:9" ht="15" customHeight="1" x14ac:dyDescent="0.35">
      <c r="A925" s="62">
        <v>14</v>
      </c>
      <c r="B925" s="62" t="s">
        <v>271</v>
      </c>
      <c r="C925" s="63" t="s">
        <v>1827</v>
      </c>
      <c r="D925" s="63" t="s">
        <v>697</v>
      </c>
      <c r="E925" s="62" t="s">
        <v>1808</v>
      </c>
      <c r="F925" s="63" t="s">
        <v>3446</v>
      </c>
      <c r="G925" s="63" t="str">
        <f t="shared" si="28"/>
        <v>Homam AHMED - Qatar</v>
      </c>
      <c r="H925" s="63" t="str">
        <f t="shared" si="29"/>
        <v>QAT14</v>
      </c>
      <c r="I925" s="63" t="s">
        <v>3460</v>
      </c>
    </row>
    <row r="926" spans="1:9" ht="15" customHeight="1" x14ac:dyDescent="0.35">
      <c r="A926" s="62">
        <v>15</v>
      </c>
      <c r="B926" s="62" t="s">
        <v>283</v>
      </c>
      <c r="C926" s="63" t="s">
        <v>1828</v>
      </c>
      <c r="D926" s="63" t="s">
        <v>1829</v>
      </c>
      <c r="E926" s="62" t="s">
        <v>1808</v>
      </c>
      <c r="F926" s="63" t="s">
        <v>3446</v>
      </c>
      <c r="G926" s="63" t="str">
        <f t="shared" si="28"/>
        <v>Yusuf ABDURISAG - Qatar</v>
      </c>
      <c r="H926" s="63" t="str">
        <f t="shared" si="29"/>
        <v>QAT15</v>
      </c>
      <c r="I926" s="63" t="s">
        <v>3461</v>
      </c>
    </row>
    <row r="927" spans="1:9" ht="15" customHeight="1" x14ac:dyDescent="0.35">
      <c r="A927" s="62">
        <v>16</v>
      </c>
      <c r="B927" s="62" t="s">
        <v>271</v>
      </c>
      <c r="C927" s="63" t="s">
        <v>1830</v>
      </c>
      <c r="D927" s="63" t="s">
        <v>1831</v>
      </c>
      <c r="E927" s="62" t="s">
        <v>1808</v>
      </c>
      <c r="F927" s="63" t="s">
        <v>3446</v>
      </c>
      <c r="G927" s="63" t="str">
        <f t="shared" si="28"/>
        <v>Boualem KHOUKHI - Qatar</v>
      </c>
      <c r="H927" s="63" t="str">
        <f t="shared" si="29"/>
        <v>QAT16</v>
      </c>
      <c r="I927" s="63" t="s">
        <v>3462</v>
      </c>
    </row>
    <row r="928" spans="1:9" ht="15" customHeight="1" x14ac:dyDescent="0.35">
      <c r="A928" s="62">
        <v>17</v>
      </c>
      <c r="B928" s="62" t="s">
        <v>280</v>
      </c>
      <c r="C928" s="63" t="s">
        <v>1035</v>
      </c>
      <c r="D928" s="63" t="s">
        <v>1832</v>
      </c>
      <c r="E928" s="62" t="s">
        <v>1808</v>
      </c>
      <c r="F928" s="63" t="s">
        <v>3446</v>
      </c>
      <c r="G928" s="63" t="str">
        <f t="shared" si="28"/>
        <v>Ahmed ALGANEHI - Qatar</v>
      </c>
      <c r="H928" s="63" t="str">
        <f t="shared" si="29"/>
        <v>QAT17</v>
      </c>
      <c r="I928" s="63" t="s">
        <v>3463</v>
      </c>
    </row>
    <row r="929" spans="1:9" ht="15" customHeight="1" x14ac:dyDescent="0.35">
      <c r="A929" s="62">
        <v>18</v>
      </c>
      <c r="B929" s="62" t="s">
        <v>271</v>
      </c>
      <c r="C929" s="63" t="s">
        <v>1833</v>
      </c>
      <c r="D929" s="63" t="s">
        <v>1834</v>
      </c>
      <c r="E929" s="62" t="s">
        <v>1808</v>
      </c>
      <c r="F929" s="63" t="s">
        <v>3446</v>
      </c>
      <c r="G929" s="63" t="str">
        <f t="shared" si="28"/>
        <v>Sultan ALBRAKE - Qatar</v>
      </c>
      <c r="H929" s="63" t="str">
        <f t="shared" si="29"/>
        <v>QAT18</v>
      </c>
      <c r="I929" s="63" t="s">
        <v>3464</v>
      </c>
    </row>
    <row r="930" spans="1:9" ht="15" customHeight="1" x14ac:dyDescent="0.35">
      <c r="A930" s="62">
        <v>19</v>
      </c>
      <c r="B930" s="62" t="s">
        <v>283</v>
      </c>
      <c r="C930" s="63" t="s">
        <v>1835</v>
      </c>
      <c r="D930" s="63" t="s">
        <v>1325</v>
      </c>
      <c r="E930" s="62" t="s">
        <v>1808</v>
      </c>
      <c r="F930" s="63" t="s">
        <v>3446</v>
      </c>
      <c r="G930" s="63" t="str">
        <f t="shared" si="28"/>
        <v>Almoez ALI - Qatar</v>
      </c>
      <c r="H930" s="63" t="str">
        <f t="shared" si="29"/>
        <v>QAT19</v>
      </c>
      <c r="I930" s="63" t="s">
        <v>3465</v>
      </c>
    </row>
    <row r="931" spans="1:9" ht="15" customHeight="1" x14ac:dyDescent="0.35">
      <c r="A931" s="62">
        <v>20</v>
      </c>
      <c r="B931" s="62" t="s">
        <v>280</v>
      </c>
      <c r="C931" s="63" t="s">
        <v>1035</v>
      </c>
      <c r="D931" s="63" t="s">
        <v>1038</v>
      </c>
      <c r="E931" s="62" t="s">
        <v>1808</v>
      </c>
      <c r="F931" s="63" t="s">
        <v>3446</v>
      </c>
      <c r="G931" s="63" t="str">
        <f t="shared" si="28"/>
        <v>Ahmed FATHY - Qatar</v>
      </c>
      <c r="H931" s="63" t="str">
        <f t="shared" si="29"/>
        <v>QAT20</v>
      </c>
      <c r="I931" s="63" t="s">
        <v>3466</v>
      </c>
    </row>
    <row r="932" spans="1:9" ht="15" customHeight="1" x14ac:dyDescent="0.35">
      <c r="A932" s="62">
        <v>21</v>
      </c>
      <c r="B932" s="62" t="s">
        <v>267</v>
      </c>
      <c r="C932" s="63" t="s">
        <v>1836</v>
      </c>
      <c r="D932" s="63" t="s">
        <v>1837</v>
      </c>
      <c r="E932" s="62" t="s">
        <v>1808</v>
      </c>
      <c r="F932" s="63" t="s">
        <v>3446</v>
      </c>
      <c r="G932" s="63" t="str">
        <f t="shared" si="28"/>
        <v>Salah ZAKARIA - Qatar</v>
      </c>
      <c r="H932" s="63" t="str">
        <f t="shared" si="29"/>
        <v>QAT21</v>
      </c>
      <c r="I932" s="63" t="s">
        <v>3467</v>
      </c>
    </row>
    <row r="933" spans="1:9" ht="15" customHeight="1" x14ac:dyDescent="0.35">
      <c r="A933" s="62">
        <v>22</v>
      </c>
      <c r="B933" s="62" t="s">
        <v>267</v>
      </c>
      <c r="C933" s="63" t="s">
        <v>1838</v>
      </c>
      <c r="D933" s="63" t="s">
        <v>1839</v>
      </c>
      <c r="E933" s="62" t="s">
        <v>1808</v>
      </c>
      <c r="F933" s="63" t="s">
        <v>3446</v>
      </c>
      <c r="G933" s="63" t="str">
        <f t="shared" si="28"/>
        <v>Meshaal BARSHAM - Qatar</v>
      </c>
      <c r="H933" s="63" t="str">
        <f t="shared" si="29"/>
        <v>QAT22</v>
      </c>
      <c r="I933" s="63" t="s">
        <v>3468</v>
      </c>
    </row>
    <row r="934" spans="1:9" ht="15" customHeight="1" x14ac:dyDescent="0.35">
      <c r="A934" s="62">
        <v>23</v>
      </c>
      <c r="B934" s="62" t="s">
        <v>280</v>
      </c>
      <c r="C934" s="63" t="s">
        <v>1840</v>
      </c>
      <c r="D934" s="63" t="s">
        <v>1841</v>
      </c>
      <c r="E934" s="62" t="s">
        <v>1808</v>
      </c>
      <c r="F934" s="63" t="s">
        <v>3446</v>
      </c>
      <c r="G934" s="63" t="str">
        <f t="shared" si="28"/>
        <v>Assim MADIBO - Qatar</v>
      </c>
      <c r="H934" s="63" t="str">
        <f t="shared" si="29"/>
        <v>QAT23</v>
      </c>
      <c r="I934" s="63" t="s">
        <v>3469</v>
      </c>
    </row>
    <row r="935" spans="1:9" ht="15" customHeight="1" x14ac:dyDescent="0.35">
      <c r="A935" s="62">
        <v>24</v>
      </c>
      <c r="B935" s="62" t="s">
        <v>283</v>
      </c>
      <c r="C935" s="63" t="s">
        <v>1842</v>
      </c>
      <c r="D935" s="63" t="s">
        <v>1843</v>
      </c>
      <c r="E935" s="62" t="s">
        <v>1808</v>
      </c>
      <c r="F935" s="63" t="s">
        <v>3446</v>
      </c>
      <c r="G935" s="63" t="str">
        <f t="shared" si="28"/>
        <v>Tahsin JAMSHID - Qatar</v>
      </c>
      <c r="H935" s="63" t="str">
        <f t="shared" si="29"/>
        <v>QAT24</v>
      </c>
      <c r="I935" s="63" t="s">
        <v>3470</v>
      </c>
    </row>
    <row r="936" spans="1:9" ht="15" customHeight="1" x14ac:dyDescent="0.35">
      <c r="A936" s="62">
        <v>25</v>
      </c>
      <c r="B936" s="62" t="s">
        <v>271</v>
      </c>
      <c r="C936" s="63" t="s">
        <v>1844</v>
      </c>
      <c r="D936" s="63" t="s">
        <v>1845</v>
      </c>
      <c r="E936" s="62" t="s">
        <v>1808</v>
      </c>
      <c r="F936" s="63" t="s">
        <v>3446</v>
      </c>
      <c r="G936" s="63" t="str">
        <f t="shared" si="28"/>
        <v>Alhashmi ALHUSSEIN - Qatar</v>
      </c>
      <c r="H936" s="63" t="str">
        <f t="shared" si="29"/>
        <v>QAT25</v>
      </c>
      <c r="I936" s="63" t="s">
        <v>3471</v>
      </c>
    </row>
    <row r="937" spans="1:9" ht="15" customHeight="1" x14ac:dyDescent="0.35">
      <c r="A937" s="62">
        <v>26</v>
      </c>
      <c r="B937" s="62" t="s">
        <v>283</v>
      </c>
      <c r="C937" s="63" t="s">
        <v>306</v>
      </c>
      <c r="D937" s="63" t="s">
        <v>1846</v>
      </c>
      <c r="E937" s="62" t="s">
        <v>1808</v>
      </c>
      <c r="F937" s="63" t="s">
        <v>3446</v>
      </c>
      <c r="G937" s="63" t="str">
        <f t="shared" si="28"/>
        <v>Mohamed MANAI - Qatar</v>
      </c>
      <c r="H937" s="63" t="str">
        <f t="shared" si="29"/>
        <v>QAT26</v>
      </c>
      <c r="I937" s="63" t="s">
        <v>3472</v>
      </c>
    </row>
    <row r="938" spans="1:9" ht="15" customHeight="1" x14ac:dyDescent="0.35">
      <c r="A938" s="106">
        <v>1</v>
      </c>
      <c r="B938" s="106" t="s">
        <v>267</v>
      </c>
      <c r="C938" s="107" t="s">
        <v>1847</v>
      </c>
      <c r="D938" s="107" t="s">
        <v>1848</v>
      </c>
      <c r="E938" s="106" t="s">
        <v>1849</v>
      </c>
      <c r="F938" s="107" t="s">
        <v>3473</v>
      </c>
      <c r="G938" s="107" t="str">
        <f t="shared" si="28"/>
        <v>Nawaf ALAQIDI - Saudi Arabia</v>
      </c>
      <c r="H938" s="107" t="str">
        <f t="shared" si="29"/>
        <v>SAU1</v>
      </c>
      <c r="I938" s="107" t="s">
        <v>3474</v>
      </c>
    </row>
    <row r="939" spans="1:9" ht="15" customHeight="1" x14ac:dyDescent="0.35">
      <c r="A939" s="106">
        <v>2</v>
      </c>
      <c r="B939" s="106" t="s">
        <v>271</v>
      </c>
      <c r="C939" s="107" t="s">
        <v>696</v>
      </c>
      <c r="D939" s="107" t="s">
        <v>1850</v>
      </c>
      <c r="E939" s="106" t="s">
        <v>1849</v>
      </c>
      <c r="F939" s="107" t="s">
        <v>3473</v>
      </c>
      <c r="G939" s="107" t="str">
        <f t="shared" si="28"/>
        <v>Ali MAJRASHI - Saudi Arabia</v>
      </c>
      <c r="H939" s="107" t="str">
        <f t="shared" si="29"/>
        <v>SAU2</v>
      </c>
      <c r="I939" s="107" t="s">
        <v>3475</v>
      </c>
    </row>
    <row r="940" spans="1:9" ht="15" customHeight="1" x14ac:dyDescent="0.35">
      <c r="A940" s="106">
        <v>3</v>
      </c>
      <c r="B940" s="106" t="s">
        <v>271</v>
      </c>
      <c r="C940" s="107" t="s">
        <v>696</v>
      </c>
      <c r="D940" s="107" t="s">
        <v>1851</v>
      </c>
      <c r="E940" s="106" t="s">
        <v>1849</v>
      </c>
      <c r="F940" s="107" t="s">
        <v>3473</v>
      </c>
      <c r="G940" s="107" t="str">
        <f t="shared" si="28"/>
        <v>Ali LAJAMI - Saudi Arabia</v>
      </c>
      <c r="H940" s="107" t="str">
        <f t="shared" si="29"/>
        <v>SAU3</v>
      </c>
      <c r="I940" s="107" t="s">
        <v>3476</v>
      </c>
    </row>
    <row r="941" spans="1:9" ht="15" customHeight="1" x14ac:dyDescent="0.35">
      <c r="A941" s="106">
        <v>4</v>
      </c>
      <c r="B941" s="106" t="s">
        <v>271</v>
      </c>
      <c r="C941" s="107" t="s">
        <v>1852</v>
      </c>
      <c r="D941" s="107" t="s">
        <v>1853</v>
      </c>
      <c r="E941" s="106" t="s">
        <v>1849</v>
      </c>
      <c r="F941" s="107" t="s">
        <v>3473</v>
      </c>
      <c r="G941" s="107" t="str">
        <f t="shared" si="28"/>
        <v>Abdulelah ALAMRI - Saudi Arabia</v>
      </c>
      <c r="H941" s="107" t="str">
        <f t="shared" si="29"/>
        <v>SAU4</v>
      </c>
      <c r="I941" s="107" t="s">
        <v>3477</v>
      </c>
    </row>
    <row r="942" spans="1:9" ht="15" customHeight="1" x14ac:dyDescent="0.35">
      <c r="A942" s="106">
        <v>5</v>
      </c>
      <c r="B942" s="106" t="s">
        <v>271</v>
      </c>
      <c r="C942" s="107" t="s">
        <v>1821</v>
      </c>
      <c r="D942" s="107" t="s">
        <v>1854</v>
      </c>
      <c r="E942" s="106" t="s">
        <v>1849</v>
      </c>
      <c r="F942" s="107" t="s">
        <v>3473</v>
      </c>
      <c r="G942" s="107" t="str">
        <f t="shared" si="28"/>
        <v>Hassan ALTAMBAKTI - Saudi Arabia</v>
      </c>
      <c r="H942" s="107" t="str">
        <f t="shared" si="29"/>
        <v>SAU5</v>
      </c>
      <c r="I942" s="107" t="s">
        <v>3478</v>
      </c>
    </row>
    <row r="943" spans="1:9" ht="15" customHeight="1" x14ac:dyDescent="0.35">
      <c r="A943" s="106">
        <v>6</v>
      </c>
      <c r="B943" s="106" t="s">
        <v>280</v>
      </c>
      <c r="C943" s="107" t="s">
        <v>1855</v>
      </c>
      <c r="D943" s="107" t="s">
        <v>1856</v>
      </c>
      <c r="E943" s="106" t="s">
        <v>1849</v>
      </c>
      <c r="F943" s="107" t="s">
        <v>3473</v>
      </c>
      <c r="G943" s="107" t="str">
        <f t="shared" si="28"/>
        <v>Nasser ALDAWSARI - Saudi Arabia</v>
      </c>
      <c r="H943" s="107" t="str">
        <f t="shared" si="29"/>
        <v>SAU6</v>
      </c>
      <c r="I943" s="107" t="s">
        <v>3479</v>
      </c>
    </row>
    <row r="944" spans="1:9" ht="15" customHeight="1" x14ac:dyDescent="0.35">
      <c r="A944" s="106">
        <v>7</v>
      </c>
      <c r="B944" s="106" t="s">
        <v>280</v>
      </c>
      <c r="C944" s="107" t="s">
        <v>1857</v>
      </c>
      <c r="D944" s="107" t="s">
        <v>1858</v>
      </c>
      <c r="E944" s="106" t="s">
        <v>1849</v>
      </c>
      <c r="F944" s="107" t="s">
        <v>3473</v>
      </c>
      <c r="G944" s="107" t="str">
        <f t="shared" si="28"/>
        <v>Musab ALJUWAYR - Saudi Arabia</v>
      </c>
      <c r="H944" s="107" t="str">
        <f t="shared" si="29"/>
        <v>SAU7</v>
      </c>
      <c r="I944" s="107" t="s">
        <v>3480</v>
      </c>
    </row>
    <row r="945" spans="1:9" ht="15" customHeight="1" x14ac:dyDescent="0.35">
      <c r="A945" s="106">
        <v>8</v>
      </c>
      <c r="B945" s="106" t="s">
        <v>283</v>
      </c>
      <c r="C945" s="107" t="s">
        <v>1859</v>
      </c>
      <c r="D945" s="107" t="s">
        <v>1341</v>
      </c>
      <c r="E945" s="106" t="s">
        <v>1849</v>
      </c>
      <c r="F945" s="107" t="s">
        <v>3473</v>
      </c>
      <c r="G945" s="107" t="str">
        <f t="shared" si="28"/>
        <v>Aiman YAHYA - Saudi Arabia</v>
      </c>
      <c r="H945" s="107" t="str">
        <f t="shared" si="29"/>
        <v>SAU8</v>
      </c>
      <c r="I945" s="107" t="s">
        <v>3481</v>
      </c>
    </row>
    <row r="946" spans="1:9" ht="15" customHeight="1" x14ac:dyDescent="0.35">
      <c r="A946" s="106">
        <v>9</v>
      </c>
      <c r="B946" s="106" t="s">
        <v>283</v>
      </c>
      <c r="C946" s="107" t="s">
        <v>1860</v>
      </c>
      <c r="D946" s="107" t="s">
        <v>1861</v>
      </c>
      <c r="E946" s="106" t="s">
        <v>1849</v>
      </c>
      <c r="F946" s="107" t="s">
        <v>3473</v>
      </c>
      <c r="G946" s="107" t="str">
        <f t="shared" si="28"/>
        <v>Feras ALBRIKAN - Saudi Arabia</v>
      </c>
      <c r="H946" s="107" t="str">
        <f t="shared" si="29"/>
        <v>SAU9</v>
      </c>
      <c r="I946" s="107" t="s">
        <v>3482</v>
      </c>
    </row>
    <row r="947" spans="1:9" ht="15" customHeight="1" x14ac:dyDescent="0.35">
      <c r="A947" s="106">
        <v>10</v>
      </c>
      <c r="B947" s="106" t="s">
        <v>283</v>
      </c>
      <c r="C947" s="107" t="s">
        <v>1862</v>
      </c>
      <c r="D947" s="107" t="s">
        <v>1856</v>
      </c>
      <c r="E947" s="106" t="s">
        <v>1849</v>
      </c>
      <c r="F947" s="107" t="s">
        <v>3473</v>
      </c>
      <c r="G947" s="107" t="str">
        <f t="shared" si="28"/>
        <v>Salem ALDAWSARI - Saudi Arabia</v>
      </c>
      <c r="H947" s="107" t="str">
        <f t="shared" si="29"/>
        <v>SAU10</v>
      </c>
      <c r="I947" s="107" t="s">
        <v>3483</v>
      </c>
    </row>
    <row r="948" spans="1:9" ht="15" customHeight="1" x14ac:dyDescent="0.35">
      <c r="A948" s="106">
        <v>11</v>
      </c>
      <c r="B948" s="106" t="s">
        <v>283</v>
      </c>
      <c r="C948" s="107" t="s">
        <v>1277</v>
      </c>
      <c r="D948" s="107" t="s">
        <v>1863</v>
      </c>
      <c r="E948" s="106" t="s">
        <v>1849</v>
      </c>
      <c r="F948" s="107" t="s">
        <v>3473</v>
      </c>
      <c r="G948" s="107" t="str">
        <f t="shared" si="28"/>
        <v>Saleh ALSHEHRI - Saudi Arabia</v>
      </c>
      <c r="H948" s="107" t="str">
        <f t="shared" si="29"/>
        <v>SAU11</v>
      </c>
      <c r="I948" s="107" t="s">
        <v>3484</v>
      </c>
    </row>
    <row r="949" spans="1:9" ht="15" customHeight="1" x14ac:dyDescent="0.35">
      <c r="A949" s="106">
        <v>12</v>
      </c>
      <c r="B949" s="106" t="s">
        <v>271</v>
      </c>
      <c r="C949" s="107" t="s">
        <v>1864</v>
      </c>
      <c r="D949" s="107" t="s">
        <v>1865</v>
      </c>
      <c r="E949" s="106" t="s">
        <v>1849</v>
      </c>
      <c r="F949" s="107" t="s">
        <v>3473</v>
      </c>
      <c r="G949" s="107" t="str">
        <f t="shared" si="28"/>
        <v>Saud ABDULHAMID - Saudi Arabia</v>
      </c>
      <c r="H949" s="107" t="str">
        <f t="shared" si="29"/>
        <v>SAU12</v>
      </c>
      <c r="I949" s="107" t="s">
        <v>3485</v>
      </c>
    </row>
    <row r="950" spans="1:9" ht="15" customHeight="1" x14ac:dyDescent="0.35">
      <c r="A950" s="106">
        <v>13</v>
      </c>
      <c r="B950" s="106" t="s">
        <v>271</v>
      </c>
      <c r="C950" s="107" t="s">
        <v>1847</v>
      </c>
      <c r="D950" s="107" t="s">
        <v>1866</v>
      </c>
      <c r="E950" s="106" t="s">
        <v>1849</v>
      </c>
      <c r="F950" s="107" t="s">
        <v>3473</v>
      </c>
      <c r="G950" s="107" t="str">
        <f t="shared" si="28"/>
        <v>Nawaf BU WASHL - Saudi Arabia</v>
      </c>
      <c r="H950" s="107" t="str">
        <f t="shared" si="29"/>
        <v>SAU13</v>
      </c>
      <c r="I950" s="107" t="s">
        <v>3486</v>
      </c>
    </row>
    <row r="951" spans="1:9" ht="15" customHeight="1" x14ac:dyDescent="0.35">
      <c r="A951" s="106">
        <v>14</v>
      </c>
      <c r="B951" s="106" t="s">
        <v>271</v>
      </c>
      <c r="C951" s="107" t="s">
        <v>1821</v>
      </c>
      <c r="D951" s="107" t="s">
        <v>1867</v>
      </c>
      <c r="E951" s="106" t="s">
        <v>1849</v>
      </c>
      <c r="F951" s="107" t="s">
        <v>3473</v>
      </c>
      <c r="G951" s="107" t="str">
        <f t="shared" si="28"/>
        <v>Hassan KADISH - Saudi Arabia</v>
      </c>
      <c r="H951" s="107" t="str">
        <f t="shared" si="29"/>
        <v>SAU14</v>
      </c>
      <c r="I951" s="107" t="s">
        <v>3487</v>
      </c>
    </row>
    <row r="952" spans="1:9" ht="15" customHeight="1" x14ac:dyDescent="0.35">
      <c r="A952" s="106">
        <v>15</v>
      </c>
      <c r="B952" s="106" t="s">
        <v>280</v>
      </c>
      <c r="C952" s="107" t="s">
        <v>1868</v>
      </c>
      <c r="D952" s="107" t="s">
        <v>1869</v>
      </c>
      <c r="E952" s="106" t="s">
        <v>1849</v>
      </c>
      <c r="F952" s="107" t="s">
        <v>3473</v>
      </c>
      <c r="G952" s="107" t="str">
        <f t="shared" si="28"/>
        <v>Abdullah ALKHAIBARI - Saudi Arabia</v>
      </c>
      <c r="H952" s="107" t="str">
        <f t="shared" si="29"/>
        <v>SAU15</v>
      </c>
      <c r="I952" s="107" t="s">
        <v>3488</v>
      </c>
    </row>
    <row r="953" spans="1:9" ht="15" customHeight="1" x14ac:dyDescent="0.35">
      <c r="A953" s="106">
        <v>16</v>
      </c>
      <c r="B953" s="106" t="s">
        <v>280</v>
      </c>
      <c r="C953" s="107" t="s">
        <v>1870</v>
      </c>
      <c r="D953" s="107" t="s">
        <v>1871</v>
      </c>
      <c r="E953" s="106" t="s">
        <v>1849</v>
      </c>
      <c r="F953" s="107" t="s">
        <v>3473</v>
      </c>
      <c r="G953" s="107" t="str">
        <f t="shared" si="28"/>
        <v>Ziyad ALJOHANI - Saudi Arabia</v>
      </c>
      <c r="H953" s="107" t="str">
        <f t="shared" si="29"/>
        <v>SAU16</v>
      </c>
      <c r="I953" s="107" t="s">
        <v>3489</v>
      </c>
    </row>
    <row r="954" spans="1:9" ht="15" customHeight="1" x14ac:dyDescent="0.35">
      <c r="A954" s="106">
        <v>17</v>
      </c>
      <c r="B954" s="106" t="s">
        <v>283</v>
      </c>
      <c r="C954" s="107" t="s">
        <v>1872</v>
      </c>
      <c r="D954" s="107" t="s">
        <v>1873</v>
      </c>
      <c r="E954" s="106" t="s">
        <v>1849</v>
      </c>
      <c r="F954" s="107" t="s">
        <v>3473</v>
      </c>
      <c r="G954" s="107" t="str">
        <f t="shared" si="28"/>
        <v>Khalid ALGHANNAM - Saudi Arabia</v>
      </c>
      <c r="H954" s="107" t="str">
        <f t="shared" si="29"/>
        <v>SAU17</v>
      </c>
      <c r="I954" s="107" t="s">
        <v>3490</v>
      </c>
    </row>
    <row r="955" spans="1:9" ht="15" customHeight="1" x14ac:dyDescent="0.35">
      <c r="A955" s="106">
        <v>18</v>
      </c>
      <c r="B955" s="106" t="s">
        <v>280</v>
      </c>
      <c r="C955" s="107" t="s">
        <v>1874</v>
      </c>
      <c r="D955" s="107" t="s">
        <v>1875</v>
      </c>
      <c r="E955" s="106" t="s">
        <v>1849</v>
      </c>
      <c r="F955" s="107" t="s">
        <v>3473</v>
      </c>
      <c r="G955" s="107" t="str">
        <f t="shared" si="28"/>
        <v>Ala ALHAJJI - Saudi Arabia</v>
      </c>
      <c r="H955" s="107" t="str">
        <f t="shared" si="29"/>
        <v>SAU18</v>
      </c>
      <c r="I955" s="107" t="s">
        <v>3491</v>
      </c>
    </row>
    <row r="956" spans="1:9" ht="15" customHeight="1" x14ac:dyDescent="0.35">
      <c r="A956" s="106">
        <v>19</v>
      </c>
      <c r="B956" s="106" t="s">
        <v>283</v>
      </c>
      <c r="C956" s="107" t="s">
        <v>1868</v>
      </c>
      <c r="D956" s="107" t="s">
        <v>1876</v>
      </c>
      <c r="E956" s="106" t="s">
        <v>1849</v>
      </c>
      <c r="F956" s="107" t="s">
        <v>3473</v>
      </c>
      <c r="G956" s="107" t="str">
        <f t="shared" si="28"/>
        <v>Abdullah ALHAMDDAN - Saudi Arabia</v>
      </c>
      <c r="H956" s="107" t="str">
        <f t="shared" si="29"/>
        <v>SAU19</v>
      </c>
      <c r="I956" s="107" t="s">
        <v>3492</v>
      </c>
    </row>
    <row r="957" spans="1:9" ht="15" customHeight="1" x14ac:dyDescent="0.35">
      <c r="A957" s="106">
        <v>20</v>
      </c>
      <c r="B957" s="106" t="s">
        <v>283</v>
      </c>
      <c r="C957" s="107" t="s">
        <v>1833</v>
      </c>
      <c r="D957" s="107" t="s">
        <v>1877</v>
      </c>
      <c r="E957" s="106" t="s">
        <v>1849</v>
      </c>
      <c r="F957" s="107" t="s">
        <v>3473</v>
      </c>
      <c r="G957" s="107" t="str">
        <f t="shared" si="28"/>
        <v>Sultan MANDASH - Saudi Arabia</v>
      </c>
      <c r="H957" s="107" t="str">
        <f t="shared" si="29"/>
        <v>SAU20</v>
      </c>
      <c r="I957" s="107" t="s">
        <v>3493</v>
      </c>
    </row>
    <row r="958" spans="1:9" ht="15" customHeight="1" x14ac:dyDescent="0.35">
      <c r="A958" s="106">
        <v>21</v>
      </c>
      <c r="B958" s="106" t="s">
        <v>267</v>
      </c>
      <c r="C958" s="107" t="s">
        <v>1819</v>
      </c>
      <c r="D958" s="107" t="s">
        <v>1878</v>
      </c>
      <c r="E958" s="106" t="s">
        <v>1849</v>
      </c>
      <c r="F958" s="107" t="s">
        <v>3473</v>
      </c>
      <c r="G958" s="107" t="str">
        <f t="shared" si="28"/>
        <v>Mohammed ALOWAIS - Saudi Arabia</v>
      </c>
      <c r="H958" s="107" t="str">
        <f t="shared" si="29"/>
        <v>SAU21</v>
      </c>
      <c r="I958" s="107" t="s">
        <v>3494</v>
      </c>
    </row>
    <row r="959" spans="1:9" ht="15" customHeight="1" x14ac:dyDescent="0.35">
      <c r="A959" s="106">
        <v>22</v>
      </c>
      <c r="B959" s="106" t="s">
        <v>267</v>
      </c>
      <c r="C959" s="107" t="s">
        <v>1035</v>
      </c>
      <c r="D959" s="107" t="s">
        <v>1879</v>
      </c>
      <c r="E959" s="106" t="s">
        <v>1849</v>
      </c>
      <c r="F959" s="107" t="s">
        <v>3473</v>
      </c>
      <c r="G959" s="107" t="str">
        <f t="shared" si="28"/>
        <v>Ahmed ALKASSAR - Saudi Arabia</v>
      </c>
      <c r="H959" s="107" t="str">
        <f t="shared" si="29"/>
        <v>SAU22</v>
      </c>
      <c r="I959" s="107" t="s">
        <v>3495</v>
      </c>
    </row>
    <row r="960" spans="1:9" ht="15" customHeight="1" x14ac:dyDescent="0.35">
      <c r="A960" s="106">
        <v>23</v>
      </c>
      <c r="B960" s="106" t="s">
        <v>280</v>
      </c>
      <c r="C960" s="107" t="s">
        <v>306</v>
      </c>
      <c r="D960" s="107" t="s">
        <v>1880</v>
      </c>
      <c r="E960" s="106" t="s">
        <v>1849</v>
      </c>
      <c r="F960" s="107" t="s">
        <v>3473</v>
      </c>
      <c r="G960" s="107" t="str">
        <f t="shared" si="28"/>
        <v>Mohamed KANNO - Saudi Arabia</v>
      </c>
      <c r="H960" s="107" t="str">
        <f t="shared" si="29"/>
        <v>SAU23</v>
      </c>
      <c r="I960" s="107" t="s">
        <v>3496</v>
      </c>
    </row>
    <row r="961" spans="1:9" ht="15" customHeight="1" x14ac:dyDescent="0.35">
      <c r="A961" s="106">
        <v>24</v>
      </c>
      <c r="B961" s="106" t="s">
        <v>271</v>
      </c>
      <c r="C961" s="107" t="s">
        <v>1881</v>
      </c>
      <c r="D961" s="107" t="s">
        <v>1882</v>
      </c>
      <c r="E961" s="106" t="s">
        <v>1849</v>
      </c>
      <c r="F961" s="107" t="s">
        <v>3473</v>
      </c>
      <c r="G961" s="107" t="str">
        <f t="shared" si="28"/>
        <v>Moteb ALHARBI - Saudi Arabia</v>
      </c>
      <c r="H961" s="107" t="str">
        <f t="shared" si="29"/>
        <v>SAU24</v>
      </c>
      <c r="I961" s="107" t="s">
        <v>3497</v>
      </c>
    </row>
    <row r="962" spans="1:9" ht="15" customHeight="1" x14ac:dyDescent="0.35">
      <c r="A962" s="106">
        <v>25</v>
      </c>
      <c r="B962" s="106" t="s">
        <v>271</v>
      </c>
      <c r="C962" s="107" t="s">
        <v>1883</v>
      </c>
      <c r="D962" s="107" t="s">
        <v>1884</v>
      </c>
      <c r="E962" s="106" t="s">
        <v>1849</v>
      </c>
      <c r="F962" s="107" t="s">
        <v>3473</v>
      </c>
      <c r="G962" s="107" t="str">
        <f t="shared" si="28"/>
        <v>Jehad THIKRI - Saudi Arabia</v>
      </c>
      <c r="H962" s="107" t="str">
        <f t="shared" si="29"/>
        <v>SAU25</v>
      </c>
      <c r="I962" s="107" t="s">
        <v>3498</v>
      </c>
    </row>
    <row r="963" spans="1:9" ht="15" customHeight="1" x14ac:dyDescent="0.35">
      <c r="A963" s="106">
        <v>26</v>
      </c>
      <c r="B963" s="106" t="s">
        <v>271</v>
      </c>
      <c r="C963" s="107" t="s">
        <v>1819</v>
      </c>
      <c r="D963" s="107" t="s">
        <v>1885</v>
      </c>
      <c r="E963" s="106" t="s">
        <v>1849</v>
      </c>
      <c r="F963" s="107" t="s">
        <v>3473</v>
      </c>
      <c r="G963" s="107" t="str">
        <f t="shared" ref="G963:G1026" si="30">_xlfn.CONCAT(C963, " ",D963, " - ",F963)</f>
        <v>Mohammed ABU ALSHAMAT - Saudi Arabia</v>
      </c>
      <c r="H963" s="107" t="str">
        <f t="shared" ref="H963:H1026" si="31">_xlfn.CONCAT(E963,A963)</f>
        <v>SAU26</v>
      </c>
      <c r="I963" s="107" t="s">
        <v>3499</v>
      </c>
    </row>
    <row r="964" spans="1:9" ht="15" customHeight="1" x14ac:dyDescent="0.35">
      <c r="A964" s="60">
        <v>1</v>
      </c>
      <c r="B964" s="60" t="s">
        <v>267</v>
      </c>
      <c r="C964" s="61" t="s">
        <v>1886</v>
      </c>
      <c r="D964" s="61" t="s">
        <v>1887</v>
      </c>
      <c r="E964" s="60" t="s">
        <v>1888</v>
      </c>
      <c r="F964" s="61" t="s">
        <v>3500</v>
      </c>
      <c r="G964" s="61" t="str">
        <f t="shared" si="30"/>
        <v>Angus GUNN - Scotland</v>
      </c>
      <c r="H964" s="61" t="str">
        <f t="shared" si="31"/>
        <v>SCO1</v>
      </c>
      <c r="I964" s="61" t="s">
        <v>3501</v>
      </c>
    </row>
    <row r="965" spans="1:9" ht="15" customHeight="1" x14ac:dyDescent="0.35">
      <c r="A965" s="60">
        <v>2</v>
      </c>
      <c r="B965" s="60" t="s">
        <v>271</v>
      </c>
      <c r="C965" s="61" t="s">
        <v>752</v>
      </c>
      <c r="D965" s="61" t="s">
        <v>1889</v>
      </c>
      <c r="E965" s="60" t="s">
        <v>1888</v>
      </c>
      <c r="F965" s="61" t="s">
        <v>3500</v>
      </c>
      <c r="G965" s="61" t="str">
        <f t="shared" si="30"/>
        <v>Aaron HICKEY - Scotland</v>
      </c>
      <c r="H965" s="61" t="str">
        <f t="shared" si="31"/>
        <v>SCO2</v>
      </c>
      <c r="I965" s="61" t="s">
        <v>3502</v>
      </c>
    </row>
    <row r="966" spans="1:9" ht="15" customHeight="1" x14ac:dyDescent="0.35">
      <c r="A966" s="60">
        <v>3</v>
      </c>
      <c r="B966" s="60" t="s">
        <v>271</v>
      </c>
      <c r="C966" s="61" t="s">
        <v>1890</v>
      </c>
      <c r="D966" s="61" t="s">
        <v>1891</v>
      </c>
      <c r="E966" s="60" t="s">
        <v>1888</v>
      </c>
      <c r="F966" s="61" t="s">
        <v>3500</v>
      </c>
      <c r="G966" s="61" t="str">
        <f t="shared" si="30"/>
        <v>Andy ROBERTSON - Scotland</v>
      </c>
      <c r="H966" s="61" t="str">
        <f t="shared" si="31"/>
        <v>SCO3</v>
      </c>
      <c r="I966" s="61" t="s">
        <v>3503</v>
      </c>
    </row>
    <row r="967" spans="1:9" ht="15" customHeight="1" x14ac:dyDescent="0.35">
      <c r="A967" s="60">
        <v>4</v>
      </c>
      <c r="B967" s="60" t="s">
        <v>280</v>
      </c>
      <c r="C967" s="61" t="s">
        <v>1892</v>
      </c>
      <c r="D967" s="61" t="s">
        <v>1893</v>
      </c>
      <c r="E967" s="60" t="s">
        <v>1888</v>
      </c>
      <c r="F967" s="61" t="s">
        <v>3500</v>
      </c>
      <c r="G967" s="61" t="str">
        <f t="shared" si="30"/>
        <v>Scott McTOMINAY - Scotland</v>
      </c>
      <c r="H967" s="61" t="str">
        <f t="shared" si="31"/>
        <v>SCO4</v>
      </c>
      <c r="I967" s="61" t="s">
        <v>3504</v>
      </c>
    </row>
    <row r="968" spans="1:9" ht="15" customHeight="1" x14ac:dyDescent="0.35">
      <c r="A968" s="60">
        <v>5</v>
      </c>
      <c r="B968" s="60" t="s">
        <v>271</v>
      </c>
      <c r="C968" s="61" t="s">
        <v>1894</v>
      </c>
      <c r="D968" s="61" t="s">
        <v>1895</v>
      </c>
      <c r="E968" s="60" t="s">
        <v>1888</v>
      </c>
      <c r="F968" s="61" t="s">
        <v>3500</v>
      </c>
      <c r="G968" s="61" t="str">
        <f t="shared" si="30"/>
        <v>Grant HANLEY - Scotland</v>
      </c>
      <c r="H968" s="61" t="str">
        <f t="shared" si="31"/>
        <v>SCO5</v>
      </c>
      <c r="I968" s="61" t="s">
        <v>3505</v>
      </c>
    </row>
    <row r="969" spans="1:9" ht="15" customHeight="1" x14ac:dyDescent="0.35">
      <c r="A969" s="60">
        <v>6</v>
      </c>
      <c r="B969" s="60" t="s">
        <v>271</v>
      </c>
      <c r="C969" s="61" t="s">
        <v>1896</v>
      </c>
      <c r="D969" s="61" t="s">
        <v>1897</v>
      </c>
      <c r="E969" s="60" t="s">
        <v>1888</v>
      </c>
      <c r="F969" s="61" t="s">
        <v>3500</v>
      </c>
      <c r="G969" s="61" t="str">
        <f t="shared" si="30"/>
        <v>Kieran TIERNEY - Scotland</v>
      </c>
      <c r="H969" s="61" t="str">
        <f t="shared" si="31"/>
        <v>SCO6</v>
      </c>
      <c r="I969" s="61" t="s">
        <v>3506</v>
      </c>
    </row>
    <row r="970" spans="1:9" ht="15" customHeight="1" x14ac:dyDescent="0.35">
      <c r="A970" s="60">
        <v>7</v>
      </c>
      <c r="B970" s="60" t="s">
        <v>280</v>
      </c>
      <c r="C970" s="61" t="s">
        <v>991</v>
      </c>
      <c r="D970" s="61" t="s">
        <v>1898</v>
      </c>
      <c r="E970" s="60" t="s">
        <v>1888</v>
      </c>
      <c r="F970" s="61" t="s">
        <v>3500</v>
      </c>
      <c r="G970" s="61" t="str">
        <f t="shared" si="30"/>
        <v>John McGINN - Scotland</v>
      </c>
      <c r="H970" s="61" t="str">
        <f t="shared" si="31"/>
        <v>SCO7</v>
      </c>
      <c r="I970" s="61" t="s">
        <v>3507</v>
      </c>
    </row>
    <row r="971" spans="1:9" ht="15" customHeight="1" x14ac:dyDescent="0.35">
      <c r="A971" s="60">
        <v>8</v>
      </c>
      <c r="B971" s="60" t="s">
        <v>280</v>
      </c>
      <c r="C971" s="61" t="s">
        <v>1617</v>
      </c>
      <c r="D971" s="61" t="s">
        <v>1899</v>
      </c>
      <c r="E971" s="60" t="s">
        <v>1888</v>
      </c>
      <c r="F971" s="61" t="s">
        <v>3500</v>
      </c>
      <c r="G971" s="61" t="str">
        <f t="shared" si="30"/>
        <v>Tyler FLETCHER - Scotland</v>
      </c>
      <c r="H971" s="61" t="str">
        <f t="shared" si="31"/>
        <v>SCO8</v>
      </c>
      <c r="I971" s="61" t="s">
        <v>3508</v>
      </c>
    </row>
    <row r="972" spans="1:9" ht="15" customHeight="1" x14ac:dyDescent="0.35">
      <c r="A972" s="60">
        <v>9</v>
      </c>
      <c r="B972" s="60" t="s">
        <v>283</v>
      </c>
      <c r="C972" s="61" t="s">
        <v>1900</v>
      </c>
      <c r="D972" s="61" t="s">
        <v>1901</v>
      </c>
      <c r="E972" s="60" t="s">
        <v>1888</v>
      </c>
      <c r="F972" s="61" t="s">
        <v>3500</v>
      </c>
      <c r="G972" s="61" t="str">
        <f t="shared" si="30"/>
        <v>Lyndon DYKES - Scotland</v>
      </c>
      <c r="H972" s="61" t="str">
        <f t="shared" si="31"/>
        <v>SCO9</v>
      </c>
      <c r="I972" s="61" t="s">
        <v>3509</v>
      </c>
    </row>
    <row r="973" spans="1:9" ht="15" customHeight="1" x14ac:dyDescent="0.35">
      <c r="A973" s="60">
        <v>10</v>
      </c>
      <c r="B973" s="60" t="s">
        <v>283</v>
      </c>
      <c r="C973" s="61" t="s">
        <v>1902</v>
      </c>
      <c r="D973" s="61" t="s">
        <v>1903</v>
      </c>
      <c r="E973" s="60" t="s">
        <v>1888</v>
      </c>
      <c r="F973" s="61" t="s">
        <v>3500</v>
      </c>
      <c r="G973" s="61" t="str">
        <f t="shared" si="30"/>
        <v>Che ADAMS - Scotland</v>
      </c>
      <c r="H973" s="61" t="str">
        <f t="shared" si="31"/>
        <v>SCO10</v>
      </c>
      <c r="I973" s="61" t="s">
        <v>3510</v>
      </c>
    </row>
    <row r="974" spans="1:9" ht="15" customHeight="1" x14ac:dyDescent="0.35">
      <c r="A974" s="60">
        <v>11</v>
      </c>
      <c r="B974" s="60" t="s">
        <v>280</v>
      </c>
      <c r="C974" s="61" t="s">
        <v>644</v>
      </c>
      <c r="D974" s="61" t="s">
        <v>1904</v>
      </c>
      <c r="E974" s="60" t="s">
        <v>1888</v>
      </c>
      <c r="F974" s="61" t="s">
        <v>3500</v>
      </c>
      <c r="G974" s="61" t="str">
        <f t="shared" si="30"/>
        <v>Ryan CHRISTIE - Scotland</v>
      </c>
      <c r="H974" s="61" t="str">
        <f t="shared" si="31"/>
        <v>SCO11</v>
      </c>
      <c r="I974" s="61" t="s">
        <v>3511</v>
      </c>
    </row>
    <row r="975" spans="1:9" ht="15" customHeight="1" x14ac:dyDescent="0.35">
      <c r="A975" s="60">
        <v>12</v>
      </c>
      <c r="B975" s="60" t="s">
        <v>267</v>
      </c>
      <c r="C975" s="61" t="s">
        <v>679</v>
      </c>
      <c r="D975" s="61" t="s">
        <v>1905</v>
      </c>
      <c r="E975" s="60" t="s">
        <v>1888</v>
      </c>
      <c r="F975" s="61" t="s">
        <v>3500</v>
      </c>
      <c r="G975" s="61" t="str">
        <f t="shared" si="30"/>
        <v>Liam KELLY - Scotland</v>
      </c>
      <c r="H975" s="61" t="str">
        <f t="shared" si="31"/>
        <v>SCO12</v>
      </c>
      <c r="I975" s="61" t="s">
        <v>3512</v>
      </c>
    </row>
    <row r="976" spans="1:9" ht="15" customHeight="1" x14ac:dyDescent="0.35">
      <c r="A976" s="60">
        <v>13</v>
      </c>
      <c r="B976" s="60" t="s">
        <v>271</v>
      </c>
      <c r="C976" s="61" t="s">
        <v>1906</v>
      </c>
      <c r="D976" s="61" t="s">
        <v>1907</v>
      </c>
      <c r="E976" s="60" t="s">
        <v>1888</v>
      </c>
      <c r="F976" s="61" t="s">
        <v>3500</v>
      </c>
      <c r="G976" s="61" t="str">
        <f t="shared" si="30"/>
        <v>Jack HENDRY - Scotland</v>
      </c>
      <c r="H976" s="61" t="str">
        <f t="shared" si="31"/>
        <v>SCO13</v>
      </c>
      <c r="I976" s="61" t="s">
        <v>3513</v>
      </c>
    </row>
    <row r="977" spans="1:9" ht="15" customHeight="1" x14ac:dyDescent="0.35">
      <c r="A977" s="60">
        <v>14</v>
      </c>
      <c r="B977" s="60" t="s">
        <v>283</v>
      </c>
      <c r="C977" s="61" t="s">
        <v>1908</v>
      </c>
      <c r="D977" s="61" t="s">
        <v>1909</v>
      </c>
      <c r="E977" s="60" t="s">
        <v>1888</v>
      </c>
      <c r="F977" s="61" t="s">
        <v>3500</v>
      </c>
      <c r="G977" s="61" t="str">
        <f t="shared" si="30"/>
        <v>Ross STEWART - Scotland</v>
      </c>
      <c r="H977" s="61" t="str">
        <f t="shared" si="31"/>
        <v>SCO14</v>
      </c>
      <c r="I977" s="61" t="s">
        <v>3514</v>
      </c>
    </row>
    <row r="978" spans="1:9" ht="15" customHeight="1" x14ac:dyDescent="0.35">
      <c r="A978" s="60">
        <v>15</v>
      </c>
      <c r="B978" s="60" t="s">
        <v>271</v>
      </c>
      <c r="C978" s="61" t="s">
        <v>991</v>
      </c>
      <c r="D978" s="61" t="s">
        <v>406</v>
      </c>
      <c r="E978" s="60" t="s">
        <v>1888</v>
      </c>
      <c r="F978" s="61" t="s">
        <v>3500</v>
      </c>
      <c r="G978" s="61" t="str">
        <f t="shared" si="30"/>
        <v>John SOUTTAR - Scotland</v>
      </c>
      <c r="H978" s="61" t="str">
        <f t="shared" si="31"/>
        <v>SCO15</v>
      </c>
      <c r="I978" s="61" t="s">
        <v>3515</v>
      </c>
    </row>
    <row r="979" spans="1:9" ht="15" customHeight="1" x14ac:dyDescent="0.35">
      <c r="A979" s="60">
        <v>16</v>
      </c>
      <c r="B979" s="60" t="s">
        <v>271</v>
      </c>
      <c r="C979" s="61" t="s">
        <v>1910</v>
      </c>
      <c r="D979" s="61" t="s">
        <v>1911</v>
      </c>
      <c r="E979" s="60" t="s">
        <v>1888</v>
      </c>
      <c r="F979" s="61" t="s">
        <v>3500</v>
      </c>
      <c r="G979" s="61" t="str">
        <f t="shared" si="30"/>
        <v>Dominic HYAM - Scotland</v>
      </c>
      <c r="H979" s="61" t="str">
        <f t="shared" si="31"/>
        <v>SCO16</v>
      </c>
      <c r="I979" s="61" t="s">
        <v>3516</v>
      </c>
    </row>
    <row r="980" spans="1:9" ht="15" customHeight="1" x14ac:dyDescent="0.35">
      <c r="A980" s="60">
        <v>17</v>
      </c>
      <c r="B980" s="60" t="s">
        <v>283</v>
      </c>
      <c r="C980" s="61" t="s">
        <v>1640</v>
      </c>
      <c r="D980" s="61" t="s">
        <v>1912</v>
      </c>
      <c r="E980" s="60" t="s">
        <v>1888</v>
      </c>
      <c r="F980" s="61" t="s">
        <v>3500</v>
      </c>
      <c r="G980" s="61" t="str">
        <f t="shared" si="30"/>
        <v>Ben GANNON-DOAK - Scotland</v>
      </c>
      <c r="H980" s="61" t="str">
        <f t="shared" si="31"/>
        <v>SCO17</v>
      </c>
      <c r="I980" s="61" t="s">
        <v>3517</v>
      </c>
    </row>
    <row r="981" spans="1:9" ht="15" customHeight="1" x14ac:dyDescent="0.35">
      <c r="A981" s="60">
        <v>18</v>
      </c>
      <c r="B981" s="60" t="s">
        <v>283</v>
      </c>
      <c r="C981" s="61" t="s">
        <v>1913</v>
      </c>
      <c r="D981" s="61" t="s">
        <v>1914</v>
      </c>
      <c r="E981" s="60" t="s">
        <v>1888</v>
      </c>
      <c r="F981" s="61" t="s">
        <v>3500</v>
      </c>
      <c r="G981" s="61" t="str">
        <f t="shared" si="30"/>
        <v>George HIRST - Scotland</v>
      </c>
      <c r="H981" s="61" t="str">
        <f t="shared" si="31"/>
        <v>SCO18</v>
      </c>
      <c r="I981" s="61" t="s">
        <v>3518</v>
      </c>
    </row>
    <row r="982" spans="1:9" ht="15" customHeight="1" x14ac:dyDescent="0.35">
      <c r="A982" s="60">
        <v>19</v>
      </c>
      <c r="B982" s="60" t="s">
        <v>280</v>
      </c>
      <c r="C982" s="61" t="s">
        <v>1915</v>
      </c>
      <c r="D982" s="61" t="s">
        <v>1916</v>
      </c>
      <c r="E982" s="60" t="s">
        <v>1888</v>
      </c>
      <c r="F982" s="61" t="s">
        <v>3500</v>
      </c>
      <c r="G982" s="61" t="str">
        <f t="shared" si="30"/>
        <v>Lewis FERGUSON - Scotland</v>
      </c>
      <c r="H982" s="61" t="str">
        <f t="shared" si="31"/>
        <v>SCO19</v>
      </c>
      <c r="I982" s="61" t="s">
        <v>3519</v>
      </c>
    </row>
    <row r="983" spans="1:9" ht="15" customHeight="1" x14ac:dyDescent="0.35">
      <c r="A983" s="60">
        <v>20</v>
      </c>
      <c r="B983" s="60" t="s">
        <v>283</v>
      </c>
      <c r="C983" s="61" t="s">
        <v>1917</v>
      </c>
      <c r="D983" s="61" t="s">
        <v>1918</v>
      </c>
      <c r="E983" s="60" t="s">
        <v>1888</v>
      </c>
      <c r="F983" s="61" t="s">
        <v>3500</v>
      </c>
      <c r="G983" s="61" t="str">
        <f t="shared" si="30"/>
        <v>Lawrence SHANKLAND - Scotland</v>
      </c>
      <c r="H983" s="61" t="str">
        <f t="shared" si="31"/>
        <v>SCO20</v>
      </c>
      <c r="I983" s="61" t="s">
        <v>3520</v>
      </c>
    </row>
    <row r="984" spans="1:9" ht="15" customHeight="1" x14ac:dyDescent="0.35">
      <c r="A984" s="60">
        <v>21</v>
      </c>
      <c r="B984" s="60" t="s">
        <v>267</v>
      </c>
      <c r="C984" s="61" t="s">
        <v>1919</v>
      </c>
      <c r="D984" s="61" t="s">
        <v>1083</v>
      </c>
      <c r="E984" s="60" t="s">
        <v>1888</v>
      </c>
      <c r="F984" s="61" t="s">
        <v>3500</v>
      </c>
      <c r="G984" s="61" t="str">
        <f t="shared" si="30"/>
        <v>Craig GORDON - Scotland</v>
      </c>
      <c r="H984" s="61" t="str">
        <f t="shared" si="31"/>
        <v>SCO21</v>
      </c>
      <c r="I984" s="61" t="s">
        <v>3521</v>
      </c>
    </row>
    <row r="985" spans="1:9" ht="15" customHeight="1" x14ac:dyDescent="0.35">
      <c r="A985" s="60">
        <v>22</v>
      </c>
      <c r="B985" s="60" t="s">
        <v>271</v>
      </c>
      <c r="C985" s="61" t="s">
        <v>504</v>
      </c>
      <c r="D985" s="61" t="s">
        <v>1920</v>
      </c>
      <c r="E985" s="60" t="s">
        <v>1888</v>
      </c>
      <c r="F985" s="61" t="s">
        <v>3500</v>
      </c>
      <c r="G985" s="61" t="str">
        <f t="shared" si="30"/>
        <v>Nathan PATTERSON - Scotland</v>
      </c>
      <c r="H985" s="61" t="str">
        <f t="shared" si="31"/>
        <v>SCO22</v>
      </c>
      <c r="I985" s="61" t="s">
        <v>3522</v>
      </c>
    </row>
    <row r="986" spans="1:9" ht="15" customHeight="1" x14ac:dyDescent="0.35">
      <c r="A986" s="60">
        <v>23</v>
      </c>
      <c r="B986" s="60" t="s">
        <v>280</v>
      </c>
      <c r="C986" s="61" t="s">
        <v>1921</v>
      </c>
      <c r="D986" s="61" t="s">
        <v>1922</v>
      </c>
      <c r="E986" s="60" t="s">
        <v>1888</v>
      </c>
      <c r="F986" s="61" t="s">
        <v>3500</v>
      </c>
      <c r="G986" s="61" t="str">
        <f t="shared" si="30"/>
        <v>Kenny McLEAN - Scotland</v>
      </c>
      <c r="H986" s="61" t="str">
        <f t="shared" si="31"/>
        <v>SCO23</v>
      </c>
      <c r="I986" s="61" t="s">
        <v>3523</v>
      </c>
    </row>
    <row r="987" spans="1:9" ht="15" customHeight="1" x14ac:dyDescent="0.35">
      <c r="A987" s="60">
        <v>24</v>
      </c>
      <c r="B987" s="60" t="s">
        <v>271</v>
      </c>
      <c r="C987" s="61" t="s">
        <v>989</v>
      </c>
      <c r="D987" s="61" t="s">
        <v>1923</v>
      </c>
      <c r="E987" s="60" t="s">
        <v>1888</v>
      </c>
      <c r="F987" s="61" t="s">
        <v>3500</v>
      </c>
      <c r="G987" s="61" t="str">
        <f t="shared" si="30"/>
        <v>Anthony RALSTON - Scotland</v>
      </c>
      <c r="H987" s="61" t="str">
        <f t="shared" si="31"/>
        <v>SCO24</v>
      </c>
      <c r="I987" s="61" t="s">
        <v>3524</v>
      </c>
    </row>
    <row r="988" spans="1:9" ht="15" customHeight="1" x14ac:dyDescent="0.35">
      <c r="A988" s="60">
        <v>25</v>
      </c>
      <c r="B988" s="60" t="s">
        <v>283</v>
      </c>
      <c r="C988" s="61" t="s">
        <v>1924</v>
      </c>
      <c r="D988" s="61" t="s">
        <v>1925</v>
      </c>
      <c r="E988" s="60" t="s">
        <v>1888</v>
      </c>
      <c r="F988" s="61" t="s">
        <v>3500</v>
      </c>
      <c r="G988" s="61" t="str">
        <f t="shared" si="30"/>
        <v>Findlay CURTIS - Scotland</v>
      </c>
      <c r="H988" s="61" t="str">
        <f t="shared" si="31"/>
        <v>SCO25</v>
      </c>
      <c r="I988" s="61" t="s">
        <v>3525</v>
      </c>
    </row>
    <row r="989" spans="1:9" ht="15" customHeight="1" x14ac:dyDescent="0.35">
      <c r="A989" s="60">
        <v>26</v>
      </c>
      <c r="B989" s="60" t="s">
        <v>271</v>
      </c>
      <c r="C989" s="61" t="s">
        <v>1892</v>
      </c>
      <c r="D989" s="61" t="s">
        <v>1926</v>
      </c>
      <c r="E989" s="60" t="s">
        <v>1888</v>
      </c>
      <c r="F989" s="61" t="s">
        <v>3500</v>
      </c>
      <c r="G989" s="61" t="str">
        <f t="shared" si="30"/>
        <v>Scott McKENNA - Scotland</v>
      </c>
      <c r="H989" s="61" t="str">
        <f t="shared" si="31"/>
        <v>SCO26</v>
      </c>
      <c r="I989" s="61" t="s">
        <v>3526</v>
      </c>
    </row>
    <row r="990" spans="1:9" ht="15" customHeight="1" x14ac:dyDescent="0.35">
      <c r="A990" s="108">
        <v>1</v>
      </c>
      <c r="B990" s="108" t="s">
        <v>267</v>
      </c>
      <c r="C990" s="109" t="s">
        <v>1927</v>
      </c>
      <c r="D990" s="109" t="s">
        <v>1928</v>
      </c>
      <c r="E990" s="108" t="s">
        <v>1929</v>
      </c>
      <c r="F990" s="109" t="s">
        <v>3527</v>
      </c>
      <c r="G990" s="109" t="str">
        <f t="shared" si="30"/>
        <v>Yehvann DIOUF - Senegal</v>
      </c>
      <c r="H990" s="109" t="str">
        <f t="shared" si="31"/>
        <v>SEN1</v>
      </c>
      <c r="I990" s="109" t="s">
        <v>3528</v>
      </c>
    </row>
    <row r="991" spans="1:9" ht="15" customHeight="1" x14ac:dyDescent="0.35">
      <c r="A991" s="108">
        <v>2</v>
      </c>
      <c r="B991" s="108" t="s">
        <v>271</v>
      </c>
      <c r="C991" s="109" t="s">
        <v>1930</v>
      </c>
      <c r="D991" s="109" t="s">
        <v>1931</v>
      </c>
      <c r="E991" s="108" t="s">
        <v>1929</v>
      </c>
      <c r="F991" s="109" t="s">
        <v>3527</v>
      </c>
      <c r="G991" s="109" t="str">
        <f t="shared" si="30"/>
        <v>Mamadou SARR - Senegal</v>
      </c>
      <c r="H991" s="109" t="str">
        <f t="shared" si="31"/>
        <v>SEN2</v>
      </c>
      <c r="I991" s="109" t="s">
        <v>3529</v>
      </c>
    </row>
    <row r="992" spans="1:9" ht="15" customHeight="1" x14ac:dyDescent="0.35">
      <c r="A992" s="108">
        <v>3</v>
      </c>
      <c r="B992" s="108" t="s">
        <v>271</v>
      </c>
      <c r="C992" s="109" t="s">
        <v>1932</v>
      </c>
      <c r="D992" s="109" t="s">
        <v>1933</v>
      </c>
      <c r="E992" s="108" t="s">
        <v>1929</v>
      </c>
      <c r="F992" s="109" t="s">
        <v>3527</v>
      </c>
      <c r="G992" s="109" t="str">
        <f t="shared" si="30"/>
        <v>Kalidou KOULIBALY - Senegal</v>
      </c>
      <c r="H992" s="109" t="str">
        <f t="shared" si="31"/>
        <v>SEN3</v>
      </c>
      <c r="I992" s="109" t="s">
        <v>3530</v>
      </c>
    </row>
    <row r="993" spans="1:9" ht="15" customHeight="1" x14ac:dyDescent="0.35">
      <c r="A993" s="108">
        <v>4</v>
      </c>
      <c r="B993" s="108" t="s">
        <v>271</v>
      </c>
      <c r="C993" s="109" t="s">
        <v>1934</v>
      </c>
      <c r="D993" s="109" t="s">
        <v>1935</v>
      </c>
      <c r="E993" s="108" t="s">
        <v>1929</v>
      </c>
      <c r="F993" s="109" t="s">
        <v>3527</v>
      </c>
      <c r="G993" s="109" t="str">
        <f t="shared" si="30"/>
        <v>Abdoulaye SECK - Senegal</v>
      </c>
      <c r="H993" s="109" t="str">
        <f t="shared" si="31"/>
        <v>SEN4</v>
      </c>
      <c r="I993" s="109" t="s">
        <v>3531</v>
      </c>
    </row>
    <row r="994" spans="1:9" ht="15" customHeight="1" x14ac:dyDescent="0.35">
      <c r="A994" s="108">
        <v>5</v>
      </c>
      <c r="B994" s="108" t="s">
        <v>280</v>
      </c>
      <c r="C994" s="109" t="s">
        <v>1936</v>
      </c>
      <c r="D994" s="109" t="s">
        <v>1811</v>
      </c>
      <c r="E994" s="108" t="s">
        <v>1929</v>
      </c>
      <c r="F994" s="109" t="s">
        <v>3527</v>
      </c>
      <c r="G994" s="109" t="str">
        <f t="shared" si="30"/>
        <v>Idrissa GUEYE - Senegal</v>
      </c>
      <c r="H994" s="109" t="str">
        <f t="shared" si="31"/>
        <v>SEN5</v>
      </c>
      <c r="I994" s="109" t="s">
        <v>3532</v>
      </c>
    </row>
    <row r="995" spans="1:9" ht="15" customHeight="1" x14ac:dyDescent="0.35">
      <c r="A995" s="108">
        <v>6</v>
      </c>
      <c r="B995" s="108" t="s">
        <v>280</v>
      </c>
      <c r="C995" s="109" t="s">
        <v>1937</v>
      </c>
      <c r="D995" s="109" t="s">
        <v>1938</v>
      </c>
      <c r="E995" s="108" t="s">
        <v>1929</v>
      </c>
      <c r="F995" s="109" t="s">
        <v>3527</v>
      </c>
      <c r="G995" s="109" t="str">
        <f t="shared" si="30"/>
        <v>Pathe CISS - Senegal</v>
      </c>
      <c r="H995" s="109" t="str">
        <f t="shared" si="31"/>
        <v>SEN6</v>
      </c>
      <c r="I995" s="109" t="s">
        <v>3533</v>
      </c>
    </row>
    <row r="996" spans="1:9" ht="15" customHeight="1" x14ac:dyDescent="0.35">
      <c r="A996" s="108">
        <v>7</v>
      </c>
      <c r="B996" s="108" t="s">
        <v>283</v>
      </c>
      <c r="C996" s="109" t="s">
        <v>1939</v>
      </c>
      <c r="D996" s="109" t="s">
        <v>1940</v>
      </c>
      <c r="E996" s="108" t="s">
        <v>1929</v>
      </c>
      <c r="F996" s="109" t="s">
        <v>3527</v>
      </c>
      <c r="G996" s="109" t="str">
        <f t="shared" si="30"/>
        <v>Assane DIAO - Senegal</v>
      </c>
      <c r="H996" s="109" t="str">
        <f t="shared" si="31"/>
        <v>SEN7</v>
      </c>
      <c r="I996" s="109" t="s">
        <v>3534</v>
      </c>
    </row>
    <row r="997" spans="1:9" ht="15" customHeight="1" x14ac:dyDescent="0.35">
      <c r="A997" s="108">
        <v>8</v>
      </c>
      <c r="B997" s="108" t="s">
        <v>280</v>
      </c>
      <c r="C997" s="109" t="s">
        <v>1941</v>
      </c>
      <c r="D997" s="109" t="s">
        <v>1942</v>
      </c>
      <c r="E997" s="108" t="s">
        <v>1929</v>
      </c>
      <c r="F997" s="109" t="s">
        <v>3527</v>
      </c>
      <c r="G997" s="109" t="str">
        <f t="shared" si="30"/>
        <v>Lamine CAMARA - Senegal</v>
      </c>
      <c r="H997" s="109" t="str">
        <f t="shared" si="31"/>
        <v>SEN8</v>
      </c>
      <c r="I997" s="109" t="s">
        <v>3535</v>
      </c>
    </row>
    <row r="998" spans="1:9" ht="15" customHeight="1" x14ac:dyDescent="0.35">
      <c r="A998" s="108">
        <v>9</v>
      </c>
      <c r="B998" s="108" t="s">
        <v>283</v>
      </c>
      <c r="C998" s="109" t="s">
        <v>1943</v>
      </c>
      <c r="D998" s="109" t="s">
        <v>1944</v>
      </c>
      <c r="E998" s="108" t="s">
        <v>1929</v>
      </c>
      <c r="F998" s="109" t="s">
        <v>3527</v>
      </c>
      <c r="G998" s="109" t="str">
        <f t="shared" si="30"/>
        <v>Bamba DIENG - Senegal</v>
      </c>
      <c r="H998" s="109" t="str">
        <f t="shared" si="31"/>
        <v>SEN9</v>
      </c>
      <c r="I998" s="109" t="s">
        <v>3536</v>
      </c>
    </row>
    <row r="999" spans="1:9" ht="15" customHeight="1" x14ac:dyDescent="0.35">
      <c r="A999" s="108">
        <v>10</v>
      </c>
      <c r="B999" s="108" t="s">
        <v>283</v>
      </c>
      <c r="C999" s="109" t="s">
        <v>1945</v>
      </c>
      <c r="D999" s="109" t="s">
        <v>1946</v>
      </c>
      <c r="E999" s="108" t="s">
        <v>1929</v>
      </c>
      <c r="F999" s="109" t="s">
        <v>3527</v>
      </c>
      <c r="G999" s="109" t="str">
        <f t="shared" si="30"/>
        <v>Sadio MANE - Senegal</v>
      </c>
      <c r="H999" s="109" t="str">
        <f t="shared" si="31"/>
        <v>SEN10</v>
      </c>
      <c r="I999" s="109" t="s">
        <v>3537</v>
      </c>
    </row>
    <row r="1000" spans="1:9" ht="15" customHeight="1" x14ac:dyDescent="0.35">
      <c r="A1000" s="108">
        <v>11</v>
      </c>
      <c r="B1000" s="108" t="s">
        <v>283</v>
      </c>
      <c r="C1000" s="109" t="s">
        <v>326</v>
      </c>
      <c r="D1000" s="109" t="s">
        <v>1947</v>
      </c>
      <c r="E1000" s="108" t="s">
        <v>1929</v>
      </c>
      <c r="F1000" s="109" t="s">
        <v>3527</v>
      </c>
      <c r="G1000" s="109" t="str">
        <f t="shared" si="30"/>
        <v>Nicolas JACKSON - Senegal</v>
      </c>
      <c r="H1000" s="109" t="str">
        <f t="shared" si="31"/>
        <v>SEN11</v>
      </c>
      <c r="I1000" s="109" t="s">
        <v>3538</v>
      </c>
    </row>
    <row r="1001" spans="1:9" ht="15" customHeight="1" x14ac:dyDescent="0.35">
      <c r="A1001" s="108">
        <v>12</v>
      </c>
      <c r="B1001" s="108" t="s">
        <v>283</v>
      </c>
      <c r="C1001" s="109" t="s">
        <v>1948</v>
      </c>
      <c r="D1001" s="109" t="s">
        <v>1949</v>
      </c>
      <c r="E1001" s="108" t="s">
        <v>1929</v>
      </c>
      <c r="F1001" s="109" t="s">
        <v>3527</v>
      </c>
      <c r="G1001" s="109" t="str">
        <f t="shared" si="30"/>
        <v>Pape Cherif NDIAYE - Senegal</v>
      </c>
      <c r="H1001" s="109" t="str">
        <f t="shared" si="31"/>
        <v>SEN12</v>
      </c>
      <c r="I1001" s="109" t="s">
        <v>3539</v>
      </c>
    </row>
    <row r="1002" spans="1:9" ht="15" customHeight="1" x14ac:dyDescent="0.35">
      <c r="A1002" s="108">
        <v>13</v>
      </c>
      <c r="B1002" s="108" t="s">
        <v>283</v>
      </c>
      <c r="C1002" s="109" t="s">
        <v>1950</v>
      </c>
      <c r="D1002" s="109" t="s">
        <v>1949</v>
      </c>
      <c r="E1002" s="108" t="s">
        <v>1929</v>
      </c>
      <c r="F1002" s="109" t="s">
        <v>3527</v>
      </c>
      <c r="G1002" s="109" t="str">
        <f t="shared" si="30"/>
        <v>Iliman NDIAYE - Senegal</v>
      </c>
      <c r="H1002" s="109" t="str">
        <f t="shared" si="31"/>
        <v>SEN13</v>
      </c>
      <c r="I1002" s="109" t="s">
        <v>3540</v>
      </c>
    </row>
    <row r="1003" spans="1:9" ht="15" customHeight="1" x14ac:dyDescent="0.35">
      <c r="A1003" s="108">
        <v>14</v>
      </c>
      <c r="B1003" s="108" t="s">
        <v>271</v>
      </c>
      <c r="C1003" s="109" t="s">
        <v>1951</v>
      </c>
      <c r="D1003" s="109" t="s">
        <v>1952</v>
      </c>
      <c r="E1003" s="108" t="s">
        <v>1929</v>
      </c>
      <c r="F1003" s="109" t="s">
        <v>3527</v>
      </c>
      <c r="G1003" s="109" t="str">
        <f t="shared" si="30"/>
        <v>Ismail JAKOBS - Senegal</v>
      </c>
      <c r="H1003" s="109" t="str">
        <f t="shared" si="31"/>
        <v>SEN14</v>
      </c>
      <c r="I1003" s="109" t="s">
        <v>3541</v>
      </c>
    </row>
    <row r="1004" spans="1:9" ht="15" customHeight="1" x14ac:dyDescent="0.35">
      <c r="A1004" s="108">
        <v>15</v>
      </c>
      <c r="B1004" s="108" t="s">
        <v>271</v>
      </c>
      <c r="C1004" s="109" t="s">
        <v>1953</v>
      </c>
      <c r="D1004" s="109" t="s">
        <v>1954</v>
      </c>
      <c r="E1004" s="108" t="s">
        <v>1929</v>
      </c>
      <c r="F1004" s="109" t="s">
        <v>3527</v>
      </c>
      <c r="G1004" s="109" t="str">
        <f t="shared" si="30"/>
        <v>Krepin DIATTA - Senegal</v>
      </c>
      <c r="H1004" s="109" t="str">
        <f t="shared" si="31"/>
        <v>SEN15</v>
      </c>
      <c r="I1004" s="109" t="s">
        <v>3542</v>
      </c>
    </row>
    <row r="1005" spans="1:9" ht="15" customHeight="1" x14ac:dyDescent="0.35">
      <c r="A1005" s="108">
        <v>16</v>
      </c>
      <c r="B1005" s="108" t="s">
        <v>267</v>
      </c>
      <c r="C1005" s="109" t="s">
        <v>1955</v>
      </c>
      <c r="D1005" s="109" t="s">
        <v>1956</v>
      </c>
      <c r="E1005" s="108" t="s">
        <v>1929</v>
      </c>
      <c r="F1005" s="109" t="s">
        <v>3527</v>
      </c>
      <c r="G1005" s="109" t="str">
        <f t="shared" si="30"/>
        <v>Edouard MENDY - Senegal</v>
      </c>
      <c r="H1005" s="109" t="str">
        <f t="shared" si="31"/>
        <v>SEN16</v>
      </c>
      <c r="I1005" s="109" t="s">
        <v>3543</v>
      </c>
    </row>
    <row r="1006" spans="1:9" ht="15" customHeight="1" x14ac:dyDescent="0.35">
      <c r="A1006" s="108">
        <v>17</v>
      </c>
      <c r="B1006" s="108" t="s">
        <v>280</v>
      </c>
      <c r="C1006" s="109" t="s">
        <v>1957</v>
      </c>
      <c r="D1006" s="109" t="s">
        <v>1931</v>
      </c>
      <c r="E1006" s="108" t="s">
        <v>1929</v>
      </c>
      <c r="F1006" s="109" t="s">
        <v>3527</v>
      </c>
      <c r="G1006" s="109" t="str">
        <f t="shared" si="30"/>
        <v>Pape Matar SARR - Senegal</v>
      </c>
      <c r="H1006" s="109" t="str">
        <f t="shared" si="31"/>
        <v>SEN17</v>
      </c>
      <c r="I1006" s="109" t="s">
        <v>3544</v>
      </c>
    </row>
    <row r="1007" spans="1:9" ht="15" customHeight="1" x14ac:dyDescent="0.35">
      <c r="A1007" s="108">
        <v>18</v>
      </c>
      <c r="B1007" s="108" t="s">
        <v>283</v>
      </c>
      <c r="C1007" s="109" t="s">
        <v>1958</v>
      </c>
      <c r="D1007" s="109" t="s">
        <v>1931</v>
      </c>
      <c r="E1007" s="108" t="s">
        <v>1929</v>
      </c>
      <c r="F1007" s="109" t="s">
        <v>3527</v>
      </c>
      <c r="G1007" s="109" t="str">
        <f t="shared" si="30"/>
        <v>Ismaila SARR - Senegal</v>
      </c>
      <c r="H1007" s="109" t="str">
        <f t="shared" si="31"/>
        <v>SEN18</v>
      </c>
      <c r="I1007" s="109" t="s">
        <v>3545</v>
      </c>
    </row>
    <row r="1008" spans="1:9" ht="15" customHeight="1" x14ac:dyDescent="0.35">
      <c r="A1008" s="108">
        <v>19</v>
      </c>
      <c r="B1008" s="108" t="s">
        <v>271</v>
      </c>
      <c r="C1008" s="109" t="s">
        <v>1959</v>
      </c>
      <c r="D1008" s="109" t="s">
        <v>1960</v>
      </c>
      <c r="E1008" s="108" t="s">
        <v>1929</v>
      </c>
      <c r="F1008" s="109" t="s">
        <v>3527</v>
      </c>
      <c r="G1008" s="109" t="str">
        <f t="shared" si="30"/>
        <v>Moussa NIAKHATE - Senegal</v>
      </c>
      <c r="H1008" s="109" t="str">
        <f t="shared" si="31"/>
        <v>SEN19</v>
      </c>
      <c r="I1008" s="109" t="s">
        <v>3546</v>
      </c>
    </row>
    <row r="1009" spans="1:9" ht="15" customHeight="1" x14ac:dyDescent="0.35">
      <c r="A1009" s="108">
        <v>20</v>
      </c>
      <c r="B1009" s="108" t="s">
        <v>283</v>
      </c>
      <c r="C1009" s="109" t="s">
        <v>314</v>
      </c>
      <c r="D1009" s="109" t="s">
        <v>1961</v>
      </c>
      <c r="E1009" s="108" t="s">
        <v>1929</v>
      </c>
      <c r="F1009" s="109" t="s">
        <v>3527</v>
      </c>
      <c r="G1009" s="109" t="str">
        <f t="shared" si="30"/>
        <v>Ibrahim MBAYE - Senegal</v>
      </c>
      <c r="H1009" s="109" t="str">
        <f t="shared" si="31"/>
        <v>SEN20</v>
      </c>
      <c r="I1009" s="109" t="s">
        <v>3547</v>
      </c>
    </row>
    <row r="1010" spans="1:9" ht="15" customHeight="1" x14ac:dyDescent="0.35">
      <c r="A1010" s="108">
        <v>21</v>
      </c>
      <c r="B1010" s="108" t="s">
        <v>280</v>
      </c>
      <c r="C1010" s="109" t="s">
        <v>1962</v>
      </c>
      <c r="D1010" s="109" t="s">
        <v>1963</v>
      </c>
      <c r="E1010" s="108" t="s">
        <v>1929</v>
      </c>
      <c r="F1010" s="109" t="s">
        <v>3527</v>
      </c>
      <c r="G1010" s="109" t="str">
        <f t="shared" si="30"/>
        <v>Habib DIARRA - Senegal</v>
      </c>
      <c r="H1010" s="109" t="str">
        <f t="shared" si="31"/>
        <v>SEN21</v>
      </c>
      <c r="I1010" s="109" t="s">
        <v>3548</v>
      </c>
    </row>
    <row r="1011" spans="1:9" ht="15" customHeight="1" x14ac:dyDescent="0.35">
      <c r="A1011" s="108">
        <v>22</v>
      </c>
      <c r="B1011" s="108" t="s">
        <v>280</v>
      </c>
      <c r="C1011" s="109" t="s">
        <v>1964</v>
      </c>
      <c r="D1011" s="109" t="s">
        <v>1949</v>
      </c>
      <c r="E1011" s="108" t="s">
        <v>1929</v>
      </c>
      <c r="F1011" s="109" t="s">
        <v>3527</v>
      </c>
      <c r="G1011" s="109" t="str">
        <f t="shared" si="30"/>
        <v>Bara Sapoko NDIAYE - Senegal</v>
      </c>
      <c r="H1011" s="109" t="str">
        <f t="shared" si="31"/>
        <v>SEN22</v>
      </c>
      <c r="I1011" s="109" t="s">
        <v>3549</v>
      </c>
    </row>
    <row r="1012" spans="1:9" ht="15" customHeight="1" x14ac:dyDescent="0.35">
      <c r="A1012" s="108">
        <v>23</v>
      </c>
      <c r="B1012" s="108" t="s">
        <v>267</v>
      </c>
      <c r="C1012" s="109" t="s">
        <v>1965</v>
      </c>
      <c r="D1012" s="109" t="s">
        <v>1966</v>
      </c>
      <c r="E1012" s="108" t="s">
        <v>1929</v>
      </c>
      <c r="F1012" s="109" t="s">
        <v>3527</v>
      </c>
      <c r="G1012" s="109" t="str">
        <f t="shared" si="30"/>
        <v>Mory DIAW - Senegal</v>
      </c>
      <c r="H1012" s="109" t="str">
        <f t="shared" si="31"/>
        <v>SEN23</v>
      </c>
      <c r="I1012" s="109" t="s">
        <v>3550</v>
      </c>
    </row>
    <row r="1013" spans="1:9" ht="15" customHeight="1" x14ac:dyDescent="0.35">
      <c r="A1013" s="108">
        <v>24</v>
      </c>
      <c r="B1013" s="108" t="s">
        <v>271</v>
      </c>
      <c r="C1013" s="109" t="s">
        <v>1197</v>
      </c>
      <c r="D1013" s="109" t="s">
        <v>1956</v>
      </c>
      <c r="E1013" s="108" t="s">
        <v>1929</v>
      </c>
      <c r="F1013" s="109" t="s">
        <v>3527</v>
      </c>
      <c r="G1013" s="109" t="str">
        <f t="shared" si="30"/>
        <v>Antoine MENDY - Senegal</v>
      </c>
      <c r="H1013" s="109" t="str">
        <f t="shared" si="31"/>
        <v>SEN24</v>
      </c>
      <c r="I1013" s="109" t="s">
        <v>3551</v>
      </c>
    </row>
    <row r="1014" spans="1:9" ht="15" customHeight="1" x14ac:dyDescent="0.35">
      <c r="A1014" s="108">
        <v>25</v>
      </c>
      <c r="B1014" s="108" t="s">
        <v>271</v>
      </c>
      <c r="C1014" s="109" t="s">
        <v>1967</v>
      </c>
      <c r="D1014" s="109" t="s">
        <v>1928</v>
      </c>
      <c r="E1014" s="108" t="s">
        <v>1929</v>
      </c>
      <c r="F1014" s="109" t="s">
        <v>3527</v>
      </c>
      <c r="G1014" s="109" t="str">
        <f t="shared" si="30"/>
        <v>El Hadji Malick DIOUF - Senegal</v>
      </c>
      <c r="H1014" s="109" t="str">
        <f t="shared" si="31"/>
        <v>SEN25</v>
      </c>
      <c r="I1014" s="109" t="s">
        <v>3552</v>
      </c>
    </row>
    <row r="1015" spans="1:9" ht="15" customHeight="1" x14ac:dyDescent="0.35">
      <c r="A1015" s="108">
        <v>26</v>
      </c>
      <c r="B1015" s="108" t="s">
        <v>280</v>
      </c>
      <c r="C1015" s="109" t="s">
        <v>1968</v>
      </c>
      <c r="D1015" s="109" t="s">
        <v>1811</v>
      </c>
      <c r="E1015" s="108" t="s">
        <v>1929</v>
      </c>
      <c r="F1015" s="109" t="s">
        <v>3527</v>
      </c>
      <c r="G1015" s="109" t="str">
        <f t="shared" si="30"/>
        <v>Pape GUEYE - Senegal</v>
      </c>
      <c r="H1015" s="109" t="str">
        <f t="shared" si="31"/>
        <v>SEN26</v>
      </c>
      <c r="I1015" s="109" t="s">
        <v>3553</v>
      </c>
    </row>
    <row r="1016" spans="1:9" ht="15" customHeight="1" x14ac:dyDescent="0.35">
      <c r="A1016" s="110">
        <v>1</v>
      </c>
      <c r="B1016" s="110" t="s">
        <v>267</v>
      </c>
      <c r="C1016" s="111" t="s">
        <v>1969</v>
      </c>
      <c r="D1016" s="111" t="s">
        <v>1213</v>
      </c>
      <c r="E1016" s="110" t="s">
        <v>1970</v>
      </c>
      <c r="F1016" s="111" t="s">
        <v>3554</v>
      </c>
      <c r="G1016" s="111" t="str">
        <f t="shared" si="30"/>
        <v>Ronwen WILLIAMS - South Africa</v>
      </c>
      <c r="H1016" s="111" t="str">
        <f t="shared" si="31"/>
        <v>ZAF1</v>
      </c>
      <c r="I1016" s="111" t="s">
        <v>3555</v>
      </c>
    </row>
    <row r="1017" spans="1:9" ht="15" customHeight="1" x14ac:dyDescent="0.35">
      <c r="A1017" s="110">
        <v>2</v>
      </c>
      <c r="B1017" s="110" t="s">
        <v>271</v>
      </c>
      <c r="C1017" s="111" t="s">
        <v>1971</v>
      </c>
      <c r="D1017" s="111" t="s">
        <v>1972</v>
      </c>
      <c r="E1017" s="110" t="s">
        <v>1970</v>
      </c>
      <c r="F1017" s="111" t="s">
        <v>3554</v>
      </c>
      <c r="G1017" s="111" t="str">
        <f t="shared" si="30"/>
        <v>Thabang MATULUDI - South Africa</v>
      </c>
      <c r="H1017" s="111" t="str">
        <f t="shared" si="31"/>
        <v>ZAF2</v>
      </c>
      <c r="I1017" s="111" t="s">
        <v>3556</v>
      </c>
    </row>
    <row r="1018" spans="1:9" ht="15" customHeight="1" x14ac:dyDescent="0.35">
      <c r="A1018" s="110">
        <v>3</v>
      </c>
      <c r="B1018" s="110" t="s">
        <v>271</v>
      </c>
      <c r="C1018" s="111" t="s">
        <v>1973</v>
      </c>
      <c r="D1018" s="111" t="s">
        <v>1974</v>
      </c>
      <c r="E1018" s="110" t="s">
        <v>1970</v>
      </c>
      <c r="F1018" s="111" t="s">
        <v>3554</v>
      </c>
      <c r="G1018" s="111" t="str">
        <f t="shared" si="30"/>
        <v>Khulumani NDAMANE - South Africa</v>
      </c>
      <c r="H1018" s="111" t="str">
        <f t="shared" si="31"/>
        <v>ZAF3</v>
      </c>
      <c r="I1018" s="111" t="s">
        <v>3557</v>
      </c>
    </row>
    <row r="1019" spans="1:9" ht="15" customHeight="1" x14ac:dyDescent="0.35">
      <c r="A1019" s="110">
        <v>4</v>
      </c>
      <c r="B1019" s="110" t="s">
        <v>280</v>
      </c>
      <c r="C1019" s="111" t="s">
        <v>1975</v>
      </c>
      <c r="D1019" s="111" t="s">
        <v>1976</v>
      </c>
      <c r="E1019" s="110" t="s">
        <v>1970</v>
      </c>
      <c r="F1019" s="111" t="s">
        <v>3554</v>
      </c>
      <c r="G1019" s="111" t="str">
        <f t="shared" si="30"/>
        <v>Teboho MOKOENA - South Africa</v>
      </c>
      <c r="H1019" s="111" t="str">
        <f t="shared" si="31"/>
        <v>ZAF4</v>
      </c>
      <c r="I1019" s="111" t="s">
        <v>3558</v>
      </c>
    </row>
    <row r="1020" spans="1:9" ht="15" customHeight="1" x14ac:dyDescent="0.35">
      <c r="A1020" s="110">
        <v>5</v>
      </c>
      <c r="B1020" s="110" t="s">
        <v>280</v>
      </c>
      <c r="C1020" s="111" t="s">
        <v>1977</v>
      </c>
      <c r="D1020" s="111" t="s">
        <v>1978</v>
      </c>
      <c r="E1020" s="110" t="s">
        <v>1970</v>
      </c>
      <c r="F1020" s="111" t="s">
        <v>3554</v>
      </c>
      <c r="G1020" s="111" t="str">
        <f t="shared" si="30"/>
        <v>Thalente MBATHA - South Africa</v>
      </c>
      <c r="H1020" s="111" t="str">
        <f t="shared" si="31"/>
        <v>ZAF5</v>
      </c>
      <c r="I1020" s="111" t="s">
        <v>3559</v>
      </c>
    </row>
    <row r="1021" spans="1:9" ht="15" customHeight="1" x14ac:dyDescent="0.35">
      <c r="A1021" s="110">
        <v>6</v>
      </c>
      <c r="B1021" s="110" t="s">
        <v>271</v>
      </c>
      <c r="C1021" s="111" t="s">
        <v>1979</v>
      </c>
      <c r="D1021" s="111" t="s">
        <v>1980</v>
      </c>
      <c r="E1021" s="110" t="s">
        <v>1970</v>
      </c>
      <c r="F1021" s="111" t="s">
        <v>3554</v>
      </c>
      <c r="G1021" s="111" t="str">
        <f t="shared" si="30"/>
        <v>Aubrey MODIBA - South Africa</v>
      </c>
      <c r="H1021" s="111" t="str">
        <f t="shared" si="31"/>
        <v>ZAF6</v>
      </c>
      <c r="I1021" s="111" t="s">
        <v>3560</v>
      </c>
    </row>
    <row r="1022" spans="1:9" ht="15" customHeight="1" x14ac:dyDescent="0.35">
      <c r="A1022" s="110">
        <v>7</v>
      </c>
      <c r="B1022" s="110" t="s">
        <v>283</v>
      </c>
      <c r="C1022" s="111" t="s">
        <v>1981</v>
      </c>
      <c r="D1022" s="111" t="s">
        <v>1982</v>
      </c>
      <c r="E1022" s="110" t="s">
        <v>1970</v>
      </c>
      <c r="F1022" s="111" t="s">
        <v>3554</v>
      </c>
      <c r="G1022" s="111" t="str">
        <f t="shared" si="30"/>
        <v>Oswin APPOLLIS - South Africa</v>
      </c>
      <c r="H1022" s="111" t="str">
        <f t="shared" si="31"/>
        <v>ZAF7</v>
      </c>
      <c r="I1022" s="111" t="s">
        <v>3561</v>
      </c>
    </row>
    <row r="1023" spans="1:9" ht="15" customHeight="1" x14ac:dyDescent="0.35">
      <c r="A1023" s="110">
        <v>8</v>
      </c>
      <c r="B1023" s="110" t="s">
        <v>283</v>
      </c>
      <c r="C1023" s="111" t="s">
        <v>1983</v>
      </c>
      <c r="D1023" s="111" t="s">
        <v>1984</v>
      </c>
      <c r="E1023" s="110" t="s">
        <v>1970</v>
      </c>
      <c r="F1023" s="111" t="s">
        <v>3554</v>
      </c>
      <c r="G1023" s="111" t="str">
        <f t="shared" si="30"/>
        <v>Tshepang MOREMI - South Africa</v>
      </c>
      <c r="H1023" s="111" t="str">
        <f t="shared" si="31"/>
        <v>ZAF8</v>
      </c>
      <c r="I1023" s="111" t="s">
        <v>3562</v>
      </c>
    </row>
    <row r="1024" spans="1:9" ht="15" customHeight="1" x14ac:dyDescent="0.35">
      <c r="A1024" s="110">
        <v>9</v>
      </c>
      <c r="B1024" s="110" t="s">
        <v>283</v>
      </c>
      <c r="C1024" s="111" t="s">
        <v>1985</v>
      </c>
      <c r="D1024" s="111" t="s">
        <v>1986</v>
      </c>
      <c r="E1024" s="110" t="s">
        <v>1970</v>
      </c>
      <c r="F1024" s="111" t="s">
        <v>3554</v>
      </c>
      <c r="G1024" s="111" t="str">
        <f t="shared" si="30"/>
        <v>Lyle FOSTER - South Africa</v>
      </c>
      <c r="H1024" s="111" t="str">
        <f t="shared" si="31"/>
        <v>ZAF9</v>
      </c>
      <c r="I1024" s="111" t="s">
        <v>3563</v>
      </c>
    </row>
    <row r="1025" spans="1:9" ht="15" customHeight="1" x14ac:dyDescent="0.35">
      <c r="A1025" s="110">
        <v>10</v>
      </c>
      <c r="B1025" s="110" t="s">
        <v>283</v>
      </c>
      <c r="C1025" s="111" t="s">
        <v>1987</v>
      </c>
      <c r="D1025" s="111" t="s">
        <v>1988</v>
      </c>
      <c r="E1025" s="110" t="s">
        <v>1970</v>
      </c>
      <c r="F1025" s="111" t="s">
        <v>3554</v>
      </c>
      <c r="G1025" s="111" t="str">
        <f t="shared" si="30"/>
        <v>Relebohile MOFOKENG - South Africa</v>
      </c>
      <c r="H1025" s="111" t="str">
        <f t="shared" si="31"/>
        <v>ZAF10</v>
      </c>
      <c r="I1025" s="111" t="s">
        <v>3564</v>
      </c>
    </row>
    <row r="1026" spans="1:9" ht="15" customHeight="1" x14ac:dyDescent="0.35">
      <c r="A1026" s="110">
        <v>11</v>
      </c>
      <c r="B1026" s="110" t="s">
        <v>280</v>
      </c>
      <c r="C1026" s="111" t="s">
        <v>1989</v>
      </c>
      <c r="D1026" s="111" t="s">
        <v>1990</v>
      </c>
      <c r="E1026" s="110" t="s">
        <v>1970</v>
      </c>
      <c r="F1026" s="111" t="s">
        <v>3554</v>
      </c>
      <c r="G1026" s="111" t="str">
        <f t="shared" si="30"/>
        <v>Themba ZWANE - South Africa</v>
      </c>
      <c r="H1026" s="111" t="str">
        <f t="shared" si="31"/>
        <v>ZAF11</v>
      </c>
      <c r="I1026" s="111" t="s">
        <v>3565</v>
      </c>
    </row>
    <row r="1027" spans="1:9" ht="15" customHeight="1" x14ac:dyDescent="0.35">
      <c r="A1027" s="110">
        <v>12</v>
      </c>
      <c r="B1027" s="110" t="s">
        <v>283</v>
      </c>
      <c r="C1027" s="111" t="s">
        <v>1991</v>
      </c>
      <c r="D1027" s="111" t="s">
        <v>1992</v>
      </c>
      <c r="E1027" s="110" t="s">
        <v>1970</v>
      </c>
      <c r="F1027" s="111" t="s">
        <v>3554</v>
      </c>
      <c r="G1027" s="111" t="str">
        <f t="shared" ref="G1027:G1090" si="32">_xlfn.CONCAT(C1027, " ",D1027, " - ",F1027)</f>
        <v>Thapelo MASEKO - South Africa</v>
      </c>
      <c r="H1027" s="111" t="str">
        <f t="shared" ref="H1027:H1090" si="33">_xlfn.CONCAT(E1027,A1027)</f>
        <v>ZAF12</v>
      </c>
      <c r="I1027" s="111" t="s">
        <v>3566</v>
      </c>
    </row>
    <row r="1028" spans="1:9" ht="15" customHeight="1" x14ac:dyDescent="0.35">
      <c r="A1028" s="110">
        <v>13</v>
      </c>
      <c r="B1028" s="110" t="s">
        <v>280</v>
      </c>
      <c r="C1028" s="111" t="s">
        <v>1993</v>
      </c>
      <c r="D1028" s="111" t="s">
        <v>1994</v>
      </c>
      <c r="E1028" s="110" t="s">
        <v>1970</v>
      </c>
      <c r="F1028" s="111" t="s">
        <v>3554</v>
      </c>
      <c r="G1028" s="111" t="str">
        <f t="shared" si="32"/>
        <v>Sphephelo SITHOLE - South Africa</v>
      </c>
      <c r="H1028" s="111" t="str">
        <f t="shared" si="33"/>
        <v>ZAF13</v>
      </c>
      <c r="I1028" s="111" t="s">
        <v>3567</v>
      </c>
    </row>
    <row r="1029" spans="1:9" ht="15" customHeight="1" x14ac:dyDescent="0.35">
      <c r="A1029" s="110">
        <v>14</v>
      </c>
      <c r="B1029" s="110" t="s">
        <v>271</v>
      </c>
      <c r="C1029" s="111" t="s">
        <v>1995</v>
      </c>
      <c r="D1029" s="111" t="s">
        <v>1996</v>
      </c>
      <c r="E1029" s="110" t="s">
        <v>1970</v>
      </c>
      <c r="F1029" s="111" t="s">
        <v>3554</v>
      </c>
      <c r="G1029" s="111" t="str">
        <f t="shared" si="32"/>
        <v>Mbekezeli MBOKAZI - South Africa</v>
      </c>
      <c r="H1029" s="111" t="str">
        <f t="shared" si="33"/>
        <v>ZAF14</v>
      </c>
      <c r="I1029" s="111" t="s">
        <v>3568</v>
      </c>
    </row>
    <row r="1030" spans="1:9" ht="15" customHeight="1" x14ac:dyDescent="0.35">
      <c r="A1030" s="110">
        <v>15</v>
      </c>
      <c r="B1030" s="110" t="s">
        <v>283</v>
      </c>
      <c r="C1030" s="111" t="s">
        <v>1997</v>
      </c>
      <c r="D1030" s="111" t="s">
        <v>1998</v>
      </c>
      <c r="E1030" s="110" t="s">
        <v>1970</v>
      </c>
      <c r="F1030" s="111" t="s">
        <v>3554</v>
      </c>
      <c r="G1030" s="111" t="str">
        <f t="shared" si="32"/>
        <v>Iqraam RAYNERS - South Africa</v>
      </c>
      <c r="H1030" s="111" t="str">
        <f t="shared" si="33"/>
        <v>ZAF15</v>
      </c>
      <c r="I1030" s="111" t="s">
        <v>3569</v>
      </c>
    </row>
    <row r="1031" spans="1:9" ht="15" customHeight="1" x14ac:dyDescent="0.35">
      <c r="A1031" s="110">
        <v>16</v>
      </c>
      <c r="B1031" s="110" t="s">
        <v>267</v>
      </c>
      <c r="C1031" s="111" t="s">
        <v>1999</v>
      </c>
      <c r="D1031" s="111" t="s">
        <v>2000</v>
      </c>
      <c r="E1031" s="110" t="s">
        <v>1970</v>
      </c>
      <c r="F1031" s="111" t="s">
        <v>3554</v>
      </c>
      <c r="G1031" s="111" t="str">
        <f t="shared" si="32"/>
        <v>Sipho CHAINE - South Africa</v>
      </c>
      <c r="H1031" s="111" t="str">
        <f t="shared" si="33"/>
        <v>ZAF16</v>
      </c>
      <c r="I1031" s="111" t="s">
        <v>3570</v>
      </c>
    </row>
    <row r="1032" spans="1:9" ht="15" customHeight="1" x14ac:dyDescent="0.35">
      <c r="A1032" s="110">
        <v>17</v>
      </c>
      <c r="B1032" s="110" t="s">
        <v>283</v>
      </c>
      <c r="C1032" s="111" t="s">
        <v>2001</v>
      </c>
      <c r="D1032" s="111" t="s">
        <v>2002</v>
      </c>
      <c r="E1032" s="110" t="s">
        <v>1970</v>
      </c>
      <c r="F1032" s="111" t="s">
        <v>3554</v>
      </c>
      <c r="G1032" s="111" t="str">
        <f t="shared" si="32"/>
        <v>Evidence MAKGOPA - South Africa</v>
      </c>
      <c r="H1032" s="111" t="str">
        <f t="shared" si="33"/>
        <v>ZAF17</v>
      </c>
      <c r="I1032" s="111" t="s">
        <v>3571</v>
      </c>
    </row>
    <row r="1033" spans="1:9" ht="15" customHeight="1" x14ac:dyDescent="0.35">
      <c r="A1033" s="110">
        <v>18</v>
      </c>
      <c r="B1033" s="110" t="s">
        <v>271</v>
      </c>
      <c r="C1033" s="111" t="s">
        <v>2003</v>
      </c>
      <c r="D1033" s="111" t="s">
        <v>2004</v>
      </c>
      <c r="E1033" s="110" t="s">
        <v>1970</v>
      </c>
      <c r="F1033" s="111" t="s">
        <v>3554</v>
      </c>
      <c r="G1033" s="111" t="str">
        <f t="shared" si="32"/>
        <v>Samukelo KABINI - South Africa</v>
      </c>
      <c r="H1033" s="111" t="str">
        <f t="shared" si="33"/>
        <v>ZAF18</v>
      </c>
      <c r="I1033" s="111" t="s">
        <v>3572</v>
      </c>
    </row>
    <row r="1034" spans="1:9" ht="15" customHeight="1" x14ac:dyDescent="0.35">
      <c r="A1034" s="110">
        <v>19</v>
      </c>
      <c r="B1034" s="110" t="s">
        <v>271</v>
      </c>
      <c r="C1034" s="111" t="s">
        <v>2005</v>
      </c>
      <c r="D1034" s="111" t="s">
        <v>2006</v>
      </c>
      <c r="E1034" s="110" t="s">
        <v>1970</v>
      </c>
      <c r="F1034" s="111" t="s">
        <v>3554</v>
      </c>
      <c r="G1034" s="111" t="str">
        <f t="shared" si="32"/>
        <v>Nkosinathi SIBISI - South Africa</v>
      </c>
      <c r="H1034" s="111" t="str">
        <f t="shared" si="33"/>
        <v>ZAF19</v>
      </c>
      <c r="I1034" s="111" t="s">
        <v>3573</v>
      </c>
    </row>
    <row r="1035" spans="1:9" ht="15" customHeight="1" x14ac:dyDescent="0.35">
      <c r="A1035" s="110">
        <v>20</v>
      </c>
      <c r="B1035" s="110" t="s">
        <v>271</v>
      </c>
      <c r="C1035" s="111" t="s">
        <v>2007</v>
      </c>
      <c r="D1035" s="111" t="s">
        <v>2008</v>
      </c>
      <c r="E1035" s="110" t="s">
        <v>1970</v>
      </c>
      <c r="F1035" s="111" t="s">
        <v>3554</v>
      </c>
      <c r="G1035" s="111" t="str">
        <f t="shared" si="32"/>
        <v>Khuliso MUDAU - South Africa</v>
      </c>
      <c r="H1035" s="111" t="str">
        <f t="shared" si="33"/>
        <v>ZAF20</v>
      </c>
      <c r="I1035" s="111" t="s">
        <v>3574</v>
      </c>
    </row>
    <row r="1036" spans="1:9" ht="15" customHeight="1" x14ac:dyDescent="0.35">
      <c r="A1036" s="110">
        <v>21</v>
      </c>
      <c r="B1036" s="110" t="s">
        <v>271</v>
      </c>
      <c r="C1036" s="111" t="s">
        <v>2009</v>
      </c>
      <c r="D1036" s="111" t="s">
        <v>2010</v>
      </c>
      <c r="E1036" s="110" t="s">
        <v>1970</v>
      </c>
      <c r="F1036" s="111" t="s">
        <v>3554</v>
      </c>
      <c r="G1036" s="111" t="str">
        <f t="shared" si="32"/>
        <v>Ime OKON - South Africa</v>
      </c>
      <c r="H1036" s="111" t="str">
        <f t="shared" si="33"/>
        <v>ZAF21</v>
      </c>
      <c r="I1036" s="111" t="s">
        <v>3575</v>
      </c>
    </row>
    <row r="1037" spans="1:9" ht="15" customHeight="1" x14ac:dyDescent="0.35">
      <c r="A1037" s="110">
        <v>22</v>
      </c>
      <c r="B1037" s="110" t="s">
        <v>267</v>
      </c>
      <c r="C1037" s="111" t="s">
        <v>1235</v>
      </c>
      <c r="D1037" s="111" t="s">
        <v>2011</v>
      </c>
      <c r="E1037" s="110" t="s">
        <v>1970</v>
      </c>
      <c r="F1037" s="111" t="s">
        <v>3554</v>
      </c>
      <c r="G1037" s="111" t="str">
        <f t="shared" si="32"/>
        <v>Ricardo GOSS - South Africa</v>
      </c>
      <c r="H1037" s="111" t="str">
        <f t="shared" si="33"/>
        <v>ZAF22</v>
      </c>
      <c r="I1037" s="111" t="s">
        <v>3576</v>
      </c>
    </row>
    <row r="1038" spans="1:9" ht="15" customHeight="1" x14ac:dyDescent="0.35">
      <c r="A1038" s="110">
        <v>23</v>
      </c>
      <c r="B1038" s="110" t="s">
        <v>280</v>
      </c>
      <c r="C1038" s="111" t="s">
        <v>2012</v>
      </c>
      <c r="D1038" s="111" t="s">
        <v>1903</v>
      </c>
      <c r="E1038" s="110" t="s">
        <v>1970</v>
      </c>
      <c r="F1038" s="111" t="s">
        <v>3554</v>
      </c>
      <c r="G1038" s="111" t="str">
        <f t="shared" si="32"/>
        <v>Jayden ADAMS - South Africa</v>
      </c>
      <c r="H1038" s="111" t="str">
        <f t="shared" si="33"/>
        <v>ZAF23</v>
      </c>
      <c r="I1038" s="111" t="s">
        <v>3577</v>
      </c>
    </row>
    <row r="1039" spans="1:9" ht="15" customHeight="1" x14ac:dyDescent="0.35">
      <c r="A1039" s="110">
        <v>24</v>
      </c>
      <c r="B1039" s="110" t="s">
        <v>271</v>
      </c>
      <c r="C1039" s="111" t="s">
        <v>2013</v>
      </c>
      <c r="D1039" s="111" t="s">
        <v>2014</v>
      </c>
      <c r="E1039" s="110" t="s">
        <v>1970</v>
      </c>
      <c r="F1039" s="111" t="s">
        <v>3554</v>
      </c>
      <c r="G1039" s="111" t="str">
        <f t="shared" si="32"/>
        <v>Olwethu MAKHANYA - South Africa</v>
      </c>
      <c r="H1039" s="111" t="str">
        <f t="shared" si="33"/>
        <v>ZAF24</v>
      </c>
      <c r="I1039" s="111" t="s">
        <v>3578</v>
      </c>
    </row>
    <row r="1040" spans="1:9" ht="15" customHeight="1" x14ac:dyDescent="0.35">
      <c r="A1040" s="110">
        <v>25</v>
      </c>
      <c r="B1040" s="110" t="s">
        <v>283</v>
      </c>
      <c r="C1040" s="111" t="s">
        <v>2015</v>
      </c>
      <c r="D1040" s="111" t="s">
        <v>2016</v>
      </c>
      <c r="E1040" s="110" t="s">
        <v>1970</v>
      </c>
      <c r="F1040" s="111" t="s">
        <v>3554</v>
      </c>
      <c r="G1040" s="111" t="str">
        <f t="shared" si="32"/>
        <v>Kamogelo SEBELEBELE - South Africa</v>
      </c>
      <c r="H1040" s="111" t="str">
        <f t="shared" si="33"/>
        <v>ZAF25</v>
      </c>
      <c r="I1040" s="111" t="s">
        <v>3579</v>
      </c>
    </row>
    <row r="1041" spans="1:9" ht="15" customHeight="1" x14ac:dyDescent="0.35">
      <c r="A1041" s="110">
        <v>26</v>
      </c>
      <c r="B1041" s="110" t="s">
        <v>271</v>
      </c>
      <c r="C1041" s="111" t="s">
        <v>1116</v>
      </c>
      <c r="D1041" s="111" t="s">
        <v>2017</v>
      </c>
      <c r="E1041" s="110" t="s">
        <v>1970</v>
      </c>
      <c r="F1041" s="111" t="s">
        <v>3554</v>
      </c>
      <c r="G1041" s="111" t="str">
        <f t="shared" si="32"/>
        <v>Bradley CROSS - South Africa</v>
      </c>
      <c r="H1041" s="111" t="str">
        <f t="shared" si="33"/>
        <v>ZAF26</v>
      </c>
      <c r="I1041" s="111" t="s">
        <v>3580</v>
      </c>
    </row>
    <row r="1042" spans="1:9" ht="15" customHeight="1" x14ac:dyDescent="0.35">
      <c r="A1042" s="112">
        <v>1</v>
      </c>
      <c r="B1042" s="112" t="s">
        <v>267</v>
      </c>
      <c r="C1042" s="113" t="s">
        <v>421</v>
      </c>
      <c r="D1042" s="113" t="s">
        <v>2018</v>
      </c>
      <c r="E1042" s="112" t="s">
        <v>2019</v>
      </c>
      <c r="F1042" s="113" t="s">
        <v>3581</v>
      </c>
      <c r="G1042" s="113" t="str">
        <f t="shared" si="32"/>
        <v>David RAYA - Spain</v>
      </c>
      <c r="H1042" s="113" t="str">
        <f t="shared" si="33"/>
        <v>ESP1</v>
      </c>
      <c r="I1042" s="113" t="s">
        <v>3582</v>
      </c>
    </row>
    <row r="1043" spans="1:9" ht="15" customHeight="1" x14ac:dyDescent="0.35">
      <c r="A1043" s="112">
        <v>2</v>
      </c>
      <c r="B1043" s="112" t="s">
        <v>271</v>
      </c>
      <c r="C1043" s="113" t="s">
        <v>1064</v>
      </c>
      <c r="D1043" s="113" t="s">
        <v>2020</v>
      </c>
      <c r="E1043" s="112" t="s">
        <v>2019</v>
      </c>
      <c r="F1043" s="113" t="s">
        <v>3581</v>
      </c>
      <c r="G1043" s="113" t="str">
        <f t="shared" si="32"/>
        <v>Marc PUBILL - Spain</v>
      </c>
      <c r="H1043" s="113" t="str">
        <f t="shared" si="33"/>
        <v>ESP2</v>
      </c>
      <c r="I1043" s="113" t="s">
        <v>3583</v>
      </c>
    </row>
    <row r="1044" spans="1:9" ht="15" customHeight="1" x14ac:dyDescent="0.35">
      <c r="A1044" s="112">
        <v>3</v>
      </c>
      <c r="B1044" s="112" t="s">
        <v>271</v>
      </c>
      <c r="C1044" s="113" t="s">
        <v>1629</v>
      </c>
      <c r="D1044" s="113" t="s">
        <v>2021</v>
      </c>
      <c r="E1044" s="112" t="s">
        <v>2019</v>
      </c>
      <c r="F1044" s="113" t="s">
        <v>3581</v>
      </c>
      <c r="G1044" s="113" t="str">
        <f t="shared" si="32"/>
        <v>Alex GRIMALDO - Spain</v>
      </c>
      <c r="H1044" s="113" t="str">
        <f t="shared" si="33"/>
        <v>ESP3</v>
      </c>
      <c r="I1044" s="113" t="s">
        <v>3584</v>
      </c>
    </row>
    <row r="1045" spans="1:9" ht="15" customHeight="1" x14ac:dyDescent="0.35">
      <c r="A1045" s="112">
        <v>4</v>
      </c>
      <c r="B1045" s="112" t="s">
        <v>271</v>
      </c>
      <c r="C1045" s="113" t="s">
        <v>1718</v>
      </c>
      <c r="D1045" s="113" t="s">
        <v>2022</v>
      </c>
      <c r="E1045" s="112" t="s">
        <v>2019</v>
      </c>
      <c r="F1045" s="113" t="s">
        <v>3581</v>
      </c>
      <c r="G1045" s="113" t="str">
        <f t="shared" si="32"/>
        <v>Eric GARCIA - Spain</v>
      </c>
      <c r="H1045" s="113" t="str">
        <f t="shared" si="33"/>
        <v>ESP4</v>
      </c>
      <c r="I1045" s="113" t="s">
        <v>3585</v>
      </c>
    </row>
    <row r="1046" spans="1:9" ht="15" customHeight="1" x14ac:dyDescent="0.35">
      <c r="A1046" s="112">
        <v>5</v>
      </c>
      <c r="B1046" s="112" t="s">
        <v>271</v>
      </c>
      <c r="C1046" s="113" t="s">
        <v>2023</v>
      </c>
      <c r="D1046" s="113" t="s">
        <v>2024</v>
      </c>
      <c r="E1046" s="112" t="s">
        <v>2019</v>
      </c>
      <c r="F1046" s="113" t="s">
        <v>3581</v>
      </c>
      <c r="G1046" s="113" t="str">
        <f t="shared" si="32"/>
        <v>Marcos LLORENTE - Spain</v>
      </c>
      <c r="H1046" s="113" t="str">
        <f t="shared" si="33"/>
        <v>ESP5</v>
      </c>
      <c r="I1046" s="113" t="s">
        <v>3586</v>
      </c>
    </row>
    <row r="1047" spans="1:9" ht="15" customHeight="1" x14ac:dyDescent="0.35">
      <c r="A1047" s="112">
        <v>6</v>
      </c>
      <c r="B1047" s="112" t="s">
        <v>280</v>
      </c>
      <c r="C1047" s="113" t="s">
        <v>2025</v>
      </c>
      <c r="D1047" s="113" t="s">
        <v>2026</v>
      </c>
      <c r="E1047" s="112" t="s">
        <v>2019</v>
      </c>
      <c r="F1047" s="113" t="s">
        <v>3581</v>
      </c>
      <c r="G1047" s="113" t="str">
        <f t="shared" si="32"/>
        <v>Mikel MERINO - Spain</v>
      </c>
      <c r="H1047" s="113" t="str">
        <f t="shared" si="33"/>
        <v>ESP6</v>
      </c>
      <c r="I1047" s="113" t="s">
        <v>3587</v>
      </c>
    </row>
    <row r="1048" spans="1:9" ht="15" customHeight="1" x14ac:dyDescent="0.35">
      <c r="A1048" s="112">
        <v>7</v>
      </c>
      <c r="B1048" s="112" t="s">
        <v>283</v>
      </c>
      <c r="C1048" s="113" t="s">
        <v>2027</v>
      </c>
      <c r="D1048" s="113" t="s">
        <v>979</v>
      </c>
      <c r="E1048" s="112" t="s">
        <v>2019</v>
      </c>
      <c r="F1048" s="113" t="s">
        <v>3581</v>
      </c>
      <c r="G1048" s="113" t="str">
        <f t="shared" si="32"/>
        <v>Ferran TORRES - Spain</v>
      </c>
      <c r="H1048" s="113" t="str">
        <f t="shared" si="33"/>
        <v>ESP7</v>
      </c>
      <c r="I1048" s="113" t="s">
        <v>3588</v>
      </c>
    </row>
    <row r="1049" spans="1:9" ht="15" customHeight="1" x14ac:dyDescent="0.35">
      <c r="A1049" s="112">
        <v>8</v>
      </c>
      <c r="B1049" s="112" t="s">
        <v>280</v>
      </c>
      <c r="C1049" s="113" t="s">
        <v>1740</v>
      </c>
      <c r="D1049" s="113" t="s">
        <v>2028</v>
      </c>
      <c r="E1049" s="112" t="s">
        <v>2019</v>
      </c>
      <c r="F1049" s="113" t="s">
        <v>3581</v>
      </c>
      <c r="G1049" s="113" t="str">
        <f t="shared" si="32"/>
        <v>Fabian RUIZ - Spain</v>
      </c>
      <c r="H1049" s="113" t="str">
        <f t="shared" si="33"/>
        <v>ESP8</v>
      </c>
      <c r="I1049" s="113" t="s">
        <v>3589</v>
      </c>
    </row>
    <row r="1050" spans="1:9" ht="15" customHeight="1" x14ac:dyDescent="0.35">
      <c r="A1050" s="112">
        <v>9</v>
      </c>
      <c r="B1050" s="112" t="s">
        <v>280</v>
      </c>
      <c r="C1050" s="113" t="s">
        <v>2029</v>
      </c>
      <c r="D1050" s="113" t="s">
        <v>2030</v>
      </c>
      <c r="E1050" s="112" t="s">
        <v>2019</v>
      </c>
      <c r="F1050" s="113" t="s">
        <v>3581</v>
      </c>
      <c r="G1050" s="113" t="str">
        <f t="shared" si="32"/>
        <v>Gavi GAVI - Spain</v>
      </c>
      <c r="H1050" s="113" t="str">
        <f t="shared" si="33"/>
        <v>ESP9</v>
      </c>
      <c r="I1050" s="113" t="s">
        <v>3590</v>
      </c>
    </row>
    <row r="1051" spans="1:9" ht="15" customHeight="1" x14ac:dyDescent="0.35">
      <c r="A1051" s="112">
        <v>10</v>
      </c>
      <c r="B1051" s="112" t="s">
        <v>283</v>
      </c>
      <c r="C1051" s="113" t="s">
        <v>2031</v>
      </c>
      <c r="D1051" s="113" t="s">
        <v>2032</v>
      </c>
      <c r="E1051" s="112" t="s">
        <v>2019</v>
      </c>
      <c r="F1051" s="113" t="s">
        <v>3581</v>
      </c>
      <c r="G1051" s="113" t="str">
        <f t="shared" si="32"/>
        <v>Dani OLMO - Spain</v>
      </c>
      <c r="H1051" s="113" t="str">
        <f t="shared" si="33"/>
        <v>ESP10</v>
      </c>
      <c r="I1051" s="113" t="s">
        <v>3591</v>
      </c>
    </row>
    <row r="1052" spans="1:9" ht="15" customHeight="1" x14ac:dyDescent="0.35">
      <c r="A1052" s="112">
        <v>11</v>
      </c>
      <c r="B1052" s="112" t="s">
        <v>283</v>
      </c>
      <c r="C1052" s="113" t="s">
        <v>2033</v>
      </c>
      <c r="D1052" s="113" t="s">
        <v>2034</v>
      </c>
      <c r="E1052" s="112" t="s">
        <v>2019</v>
      </c>
      <c r="F1052" s="113" t="s">
        <v>3581</v>
      </c>
      <c r="G1052" s="113" t="str">
        <f t="shared" si="32"/>
        <v>Yeremy PINO - Spain</v>
      </c>
      <c r="H1052" s="113" t="str">
        <f t="shared" si="33"/>
        <v>ESP11</v>
      </c>
      <c r="I1052" s="113" t="s">
        <v>3592</v>
      </c>
    </row>
    <row r="1053" spans="1:9" ht="15" customHeight="1" x14ac:dyDescent="0.35">
      <c r="A1053" s="112">
        <v>12</v>
      </c>
      <c r="B1053" s="112" t="s">
        <v>271</v>
      </c>
      <c r="C1053" s="113" t="s">
        <v>1000</v>
      </c>
      <c r="D1053" s="113" t="s">
        <v>2035</v>
      </c>
      <c r="E1053" s="112" t="s">
        <v>2019</v>
      </c>
      <c r="F1053" s="113" t="s">
        <v>3581</v>
      </c>
      <c r="G1053" s="113" t="str">
        <f t="shared" si="32"/>
        <v>Pedro PORRO - Spain</v>
      </c>
      <c r="H1053" s="113" t="str">
        <f t="shared" si="33"/>
        <v>ESP12</v>
      </c>
      <c r="I1053" s="113" t="s">
        <v>3593</v>
      </c>
    </row>
    <row r="1054" spans="1:9" ht="15" customHeight="1" x14ac:dyDescent="0.35">
      <c r="A1054" s="112">
        <v>13</v>
      </c>
      <c r="B1054" s="112" t="s">
        <v>267</v>
      </c>
      <c r="C1054" s="113" t="s">
        <v>2036</v>
      </c>
      <c r="D1054" s="113" t="s">
        <v>2022</v>
      </c>
      <c r="E1054" s="112" t="s">
        <v>2019</v>
      </c>
      <c r="F1054" s="113" t="s">
        <v>3581</v>
      </c>
      <c r="G1054" s="113" t="str">
        <f t="shared" si="32"/>
        <v>Joan GARCIA - Spain</v>
      </c>
      <c r="H1054" s="113" t="str">
        <f t="shared" si="33"/>
        <v>ESP13</v>
      </c>
      <c r="I1054" s="113" t="s">
        <v>3594</v>
      </c>
    </row>
    <row r="1055" spans="1:9" ht="15" customHeight="1" x14ac:dyDescent="0.35">
      <c r="A1055" s="112">
        <v>14</v>
      </c>
      <c r="B1055" s="112" t="s">
        <v>271</v>
      </c>
      <c r="C1055" s="113" t="s">
        <v>2037</v>
      </c>
      <c r="D1055" s="113" t="s">
        <v>2038</v>
      </c>
      <c r="E1055" s="112" t="s">
        <v>2019</v>
      </c>
      <c r="F1055" s="113" t="s">
        <v>3581</v>
      </c>
      <c r="G1055" s="113" t="str">
        <f t="shared" si="32"/>
        <v>Aymeric LAPORTE - Spain</v>
      </c>
      <c r="H1055" s="113" t="str">
        <f t="shared" si="33"/>
        <v>ESP14</v>
      </c>
      <c r="I1055" s="113" t="s">
        <v>3595</v>
      </c>
    </row>
    <row r="1056" spans="1:9" ht="15" customHeight="1" x14ac:dyDescent="0.35">
      <c r="A1056" s="112">
        <v>15</v>
      </c>
      <c r="B1056" s="112" t="s">
        <v>280</v>
      </c>
      <c r="C1056" s="113" t="s">
        <v>1629</v>
      </c>
      <c r="D1056" s="113" t="s">
        <v>2039</v>
      </c>
      <c r="E1056" s="112" t="s">
        <v>2019</v>
      </c>
      <c r="F1056" s="113" t="s">
        <v>3581</v>
      </c>
      <c r="G1056" s="113" t="str">
        <f t="shared" si="32"/>
        <v>Alex BAENA - Spain</v>
      </c>
      <c r="H1056" s="113" t="str">
        <f t="shared" si="33"/>
        <v>ESP15</v>
      </c>
      <c r="I1056" s="113" t="s">
        <v>3596</v>
      </c>
    </row>
    <row r="1057" spans="1:9" ht="15" customHeight="1" x14ac:dyDescent="0.35">
      <c r="A1057" s="112">
        <v>16</v>
      </c>
      <c r="B1057" s="112" t="s">
        <v>280</v>
      </c>
      <c r="C1057" s="113" t="s">
        <v>2040</v>
      </c>
      <c r="D1057" s="113" t="s">
        <v>2041</v>
      </c>
      <c r="E1057" s="112" t="s">
        <v>2019</v>
      </c>
      <c r="F1057" s="113" t="s">
        <v>3581</v>
      </c>
      <c r="G1057" s="113" t="str">
        <f t="shared" si="32"/>
        <v>Rodri RODRI - Spain</v>
      </c>
      <c r="H1057" s="113" t="str">
        <f t="shared" si="33"/>
        <v>ESP16</v>
      </c>
      <c r="I1057" s="113" t="s">
        <v>3597</v>
      </c>
    </row>
    <row r="1058" spans="1:9" ht="15" customHeight="1" x14ac:dyDescent="0.35">
      <c r="A1058" s="112">
        <v>17</v>
      </c>
      <c r="B1058" s="112" t="s">
        <v>283</v>
      </c>
      <c r="C1058" s="113" t="s">
        <v>350</v>
      </c>
      <c r="D1058" s="113" t="s">
        <v>1213</v>
      </c>
      <c r="E1058" s="112" t="s">
        <v>2019</v>
      </c>
      <c r="F1058" s="113" t="s">
        <v>3581</v>
      </c>
      <c r="G1058" s="113" t="str">
        <f t="shared" si="32"/>
        <v>Nico WILLIAMS - Spain</v>
      </c>
      <c r="H1058" s="113" t="str">
        <f t="shared" si="33"/>
        <v>ESP17</v>
      </c>
      <c r="I1058" s="113" t="s">
        <v>3598</v>
      </c>
    </row>
    <row r="1059" spans="1:9" ht="15" customHeight="1" x14ac:dyDescent="0.35">
      <c r="A1059" s="112">
        <v>18</v>
      </c>
      <c r="B1059" s="112" t="s">
        <v>280</v>
      </c>
      <c r="C1059" s="113" t="s">
        <v>548</v>
      </c>
      <c r="D1059" s="113" t="s">
        <v>2042</v>
      </c>
      <c r="E1059" s="112" t="s">
        <v>2019</v>
      </c>
      <c r="F1059" s="113" t="s">
        <v>3581</v>
      </c>
      <c r="G1059" s="113" t="str">
        <f t="shared" si="32"/>
        <v>Martin ZUBIMENDI - Spain</v>
      </c>
      <c r="H1059" s="113" t="str">
        <f t="shared" si="33"/>
        <v>ESP18</v>
      </c>
      <c r="I1059" s="113" t="s">
        <v>3599</v>
      </c>
    </row>
    <row r="1060" spans="1:9" ht="15" customHeight="1" x14ac:dyDescent="0.35">
      <c r="A1060" s="112">
        <v>19</v>
      </c>
      <c r="B1060" s="112" t="s">
        <v>283</v>
      </c>
      <c r="C1060" s="113" t="s">
        <v>1941</v>
      </c>
      <c r="D1060" s="113" t="s">
        <v>2043</v>
      </c>
      <c r="E1060" s="112" t="s">
        <v>2019</v>
      </c>
      <c r="F1060" s="113" t="s">
        <v>3581</v>
      </c>
      <c r="G1060" s="113" t="str">
        <f t="shared" si="32"/>
        <v>Lamine YAMAL - Spain</v>
      </c>
      <c r="H1060" s="113" t="str">
        <f t="shared" si="33"/>
        <v>ESP19</v>
      </c>
      <c r="I1060" s="113" t="s">
        <v>3600</v>
      </c>
    </row>
    <row r="1061" spans="1:9" ht="15" customHeight="1" x14ac:dyDescent="0.35">
      <c r="A1061" s="112">
        <v>20</v>
      </c>
      <c r="B1061" s="112" t="s">
        <v>280</v>
      </c>
      <c r="C1061" s="113" t="s">
        <v>2044</v>
      </c>
      <c r="D1061" s="113" t="s">
        <v>2045</v>
      </c>
      <c r="E1061" s="112" t="s">
        <v>2019</v>
      </c>
      <c r="F1061" s="113" t="s">
        <v>3581</v>
      </c>
      <c r="G1061" s="113" t="str">
        <f t="shared" si="32"/>
        <v>Pedri PEDRI - Spain</v>
      </c>
      <c r="H1061" s="113" t="str">
        <f t="shared" si="33"/>
        <v>ESP20</v>
      </c>
      <c r="I1061" s="113" t="s">
        <v>3601</v>
      </c>
    </row>
    <row r="1062" spans="1:9" ht="15" customHeight="1" x14ac:dyDescent="0.35">
      <c r="A1062" s="112">
        <v>21</v>
      </c>
      <c r="B1062" s="112" t="s">
        <v>283</v>
      </c>
      <c r="C1062" s="113" t="s">
        <v>2025</v>
      </c>
      <c r="D1062" s="113" t="s">
        <v>2046</v>
      </c>
      <c r="E1062" s="112" t="s">
        <v>2019</v>
      </c>
      <c r="F1062" s="113" t="s">
        <v>3581</v>
      </c>
      <c r="G1062" s="113" t="str">
        <f t="shared" si="32"/>
        <v>Mikel OYARZABAL - Spain</v>
      </c>
      <c r="H1062" s="113" t="str">
        <f t="shared" si="33"/>
        <v>ESP21</v>
      </c>
      <c r="I1062" s="113" t="s">
        <v>3602</v>
      </c>
    </row>
    <row r="1063" spans="1:9" ht="15" customHeight="1" x14ac:dyDescent="0.35">
      <c r="A1063" s="112">
        <v>22</v>
      </c>
      <c r="B1063" s="112" t="s">
        <v>271</v>
      </c>
      <c r="C1063" s="113" t="s">
        <v>2047</v>
      </c>
      <c r="D1063" s="113" t="s">
        <v>2048</v>
      </c>
      <c r="E1063" s="112" t="s">
        <v>2019</v>
      </c>
      <c r="F1063" s="113" t="s">
        <v>3581</v>
      </c>
      <c r="G1063" s="113" t="str">
        <f t="shared" si="32"/>
        <v>Pau CUBARSI - Spain</v>
      </c>
      <c r="H1063" s="113" t="str">
        <f t="shared" si="33"/>
        <v>ESP22</v>
      </c>
      <c r="I1063" s="113" t="s">
        <v>3603</v>
      </c>
    </row>
    <row r="1064" spans="1:9" ht="15" customHeight="1" x14ac:dyDescent="0.35">
      <c r="A1064" s="112">
        <v>23</v>
      </c>
      <c r="B1064" s="112" t="s">
        <v>267</v>
      </c>
      <c r="C1064" s="113" t="s">
        <v>2049</v>
      </c>
      <c r="D1064" s="113" t="s">
        <v>1272</v>
      </c>
      <c r="E1064" s="112" t="s">
        <v>2019</v>
      </c>
      <c r="F1064" s="113" t="s">
        <v>3581</v>
      </c>
      <c r="G1064" s="113" t="str">
        <f t="shared" si="32"/>
        <v>Unai SIMON - Spain</v>
      </c>
      <c r="H1064" s="113" t="str">
        <f t="shared" si="33"/>
        <v>ESP23</v>
      </c>
      <c r="I1064" s="113" t="s">
        <v>3604</v>
      </c>
    </row>
    <row r="1065" spans="1:9" ht="15" customHeight="1" x14ac:dyDescent="0.35">
      <c r="A1065" s="112">
        <v>24</v>
      </c>
      <c r="B1065" s="112" t="s">
        <v>271</v>
      </c>
      <c r="C1065" s="113" t="s">
        <v>1064</v>
      </c>
      <c r="D1065" s="113" t="s">
        <v>2050</v>
      </c>
      <c r="E1065" s="112" t="s">
        <v>2019</v>
      </c>
      <c r="F1065" s="113" t="s">
        <v>3581</v>
      </c>
      <c r="G1065" s="113" t="str">
        <f t="shared" si="32"/>
        <v>Marc CUCURELLA - Spain</v>
      </c>
      <c r="H1065" s="113" t="str">
        <f t="shared" si="33"/>
        <v>ESP24</v>
      </c>
      <c r="I1065" s="113" t="s">
        <v>3605</v>
      </c>
    </row>
    <row r="1066" spans="1:9" ht="15" customHeight="1" x14ac:dyDescent="0.35">
      <c r="A1066" s="112">
        <v>25</v>
      </c>
      <c r="B1066" s="112" t="s">
        <v>283</v>
      </c>
      <c r="C1066" s="113" t="s">
        <v>2051</v>
      </c>
      <c r="D1066" s="113" t="s">
        <v>708</v>
      </c>
      <c r="E1066" s="112" t="s">
        <v>2019</v>
      </c>
      <c r="F1066" s="113" t="s">
        <v>3581</v>
      </c>
      <c r="G1066" s="113" t="str">
        <f t="shared" si="32"/>
        <v>Victor MUNOZ - Spain</v>
      </c>
      <c r="H1066" s="113" t="str">
        <f t="shared" si="33"/>
        <v>ESP25</v>
      </c>
      <c r="I1066" s="113" t="s">
        <v>3606</v>
      </c>
    </row>
    <row r="1067" spans="1:9" ht="15" customHeight="1" x14ac:dyDescent="0.35">
      <c r="A1067" s="112">
        <v>26</v>
      </c>
      <c r="B1067" s="112" t="s">
        <v>283</v>
      </c>
      <c r="C1067" s="113" t="s">
        <v>2052</v>
      </c>
      <c r="D1067" s="113" t="s">
        <v>2053</v>
      </c>
      <c r="E1067" s="112" t="s">
        <v>2019</v>
      </c>
      <c r="F1067" s="113" t="s">
        <v>3581</v>
      </c>
      <c r="G1067" s="113" t="str">
        <f t="shared" si="32"/>
        <v>Borja IGLESIAS - Spain</v>
      </c>
      <c r="H1067" s="113" t="str">
        <f t="shared" si="33"/>
        <v>ESP26</v>
      </c>
      <c r="I1067" s="113" t="s">
        <v>3607</v>
      </c>
    </row>
    <row r="1068" spans="1:9" ht="15" customHeight="1" x14ac:dyDescent="0.35">
      <c r="A1068" s="114">
        <v>1</v>
      </c>
      <c r="B1068" s="114" t="s">
        <v>267</v>
      </c>
      <c r="C1068" s="115" t="s">
        <v>377</v>
      </c>
      <c r="D1068" s="115" t="s">
        <v>2054</v>
      </c>
      <c r="E1068" s="114" t="s">
        <v>2055</v>
      </c>
      <c r="F1068" s="115" t="s">
        <v>3608</v>
      </c>
      <c r="G1068" s="115" t="str">
        <f t="shared" si="32"/>
        <v>Jacob WIDELL ZETTERSTROM - Sweden</v>
      </c>
      <c r="H1068" s="115" t="str">
        <f t="shared" si="33"/>
        <v>SWE1</v>
      </c>
      <c r="I1068" s="115" t="s">
        <v>3609</v>
      </c>
    </row>
    <row r="1069" spans="1:9" ht="15" customHeight="1" x14ac:dyDescent="0.35">
      <c r="A1069" s="114">
        <v>2</v>
      </c>
      <c r="B1069" s="114" t="s">
        <v>271</v>
      </c>
      <c r="C1069" s="115" t="s">
        <v>2056</v>
      </c>
      <c r="D1069" s="115" t="s">
        <v>2057</v>
      </c>
      <c r="E1069" s="114" t="s">
        <v>2055</v>
      </c>
      <c r="F1069" s="115" t="s">
        <v>3608</v>
      </c>
      <c r="G1069" s="115" t="str">
        <f t="shared" si="32"/>
        <v>Gustaf LAGERBIELKE - Sweden</v>
      </c>
      <c r="H1069" s="115" t="str">
        <f t="shared" si="33"/>
        <v>SWE2</v>
      </c>
      <c r="I1069" s="115" t="s">
        <v>3610</v>
      </c>
    </row>
    <row r="1070" spans="1:9" ht="15" customHeight="1" x14ac:dyDescent="0.35">
      <c r="A1070" s="114">
        <v>3</v>
      </c>
      <c r="B1070" s="114" t="s">
        <v>271</v>
      </c>
      <c r="C1070" s="115" t="s">
        <v>2051</v>
      </c>
      <c r="D1070" s="115" t="s">
        <v>2058</v>
      </c>
      <c r="E1070" s="114" t="s">
        <v>2055</v>
      </c>
      <c r="F1070" s="115" t="s">
        <v>3608</v>
      </c>
      <c r="G1070" s="115" t="str">
        <f t="shared" si="32"/>
        <v>Victor LINDELOF - Sweden</v>
      </c>
      <c r="H1070" s="115" t="str">
        <f t="shared" si="33"/>
        <v>SWE3</v>
      </c>
      <c r="I1070" s="115" t="s">
        <v>3611</v>
      </c>
    </row>
    <row r="1071" spans="1:9" ht="15" customHeight="1" x14ac:dyDescent="0.35">
      <c r="A1071" s="114">
        <v>4</v>
      </c>
      <c r="B1071" s="114" t="s">
        <v>271</v>
      </c>
      <c r="C1071" s="115" t="s">
        <v>2059</v>
      </c>
      <c r="D1071" s="115" t="s">
        <v>2060</v>
      </c>
      <c r="E1071" s="114" t="s">
        <v>2055</v>
      </c>
      <c r="F1071" s="115" t="s">
        <v>3608</v>
      </c>
      <c r="G1071" s="115" t="str">
        <f t="shared" si="32"/>
        <v>Isak HIEN - Sweden</v>
      </c>
      <c r="H1071" s="115" t="str">
        <f t="shared" si="33"/>
        <v>SWE4</v>
      </c>
      <c r="I1071" s="115" t="s">
        <v>3612</v>
      </c>
    </row>
    <row r="1072" spans="1:9" ht="15" customHeight="1" x14ac:dyDescent="0.35">
      <c r="A1072" s="114">
        <v>5</v>
      </c>
      <c r="B1072" s="114" t="s">
        <v>271</v>
      </c>
      <c r="C1072" s="115" t="s">
        <v>560</v>
      </c>
      <c r="D1072" s="115" t="s">
        <v>2061</v>
      </c>
      <c r="E1072" s="114" t="s">
        <v>2055</v>
      </c>
      <c r="F1072" s="115" t="s">
        <v>3608</v>
      </c>
      <c r="G1072" s="115" t="str">
        <f t="shared" si="32"/>
        <v>Gabriel GUDMUNDSSON - Sweden</v>
      </c>
      <c r="H1072" s="115" t="str">
        <f t="shared" si="33"/>
        <v>SWE5</v>
      </c>
      <c r="I1072" s="115" t="s">
        <v>3613</v>
      </c>
    </row>
    <row r="1073" spans="1:9" ht="15" customHeight="1" x14ac:dyDescent="0.35">
      <c r="A1073" s="114">
        <v>6</v>
      </c>
      <c r="B1073" s="114" t="s">
        <v>271</v>
      </c>
      <c r="C1073" s="115" t="s">
        <v>2062</v>
      </c>
      <c r="D1073" s="115" t="s">
        <v>2063</v>
      </c>
      <c r="E1073" s="114" t="s">
        <v>2055</v>
      </c>
      <c r="F1073" s="115" t="s">
        <v>3608</v>
      </c>
      <c r="G1073" s="115" t="str">
        <f t="shared" si="32"/>
        <v>Herman JOHANSSON - Sweden</v>
      </c>
      <c r="H1073" s="115" t="str">
        <f t="shared" si="33"/>
        <v>SWE6</v>
      </c>
      <c r="I1073" s="115" t="s">
        <v>3614</v>
      </c>
    </row>
    <row r="1074" spans="1:9" ht="15" customHeight="1" x14ac:dyDescent="0.35">
      <c r="A1074" s="114">
        <v>7</v>
      </c>
      <c r="B1074" s="114" t="s">
        <v>280</v>
      </c>
      <c r="C1074" s="115" t="s">
        <v>414</v>
      </c>
      <c r="D1074" s="115" t="s">
        <v>2064</v>
      </c>
      <c r="E1074" s="114" t="s">
        <v>2055</v>
      </c>
      <c r="F1074" s="115" t="s">
        <v>3608</v>
      </c>
      <c r="G1074" s="115" t="str">
        <f t="shared" si="32"/>
        <v>Lucas BERGVALL - Sweden</v>
      </c>
      <c r="H1074" s="115" t="str">
        <f t="shared" si="33"/>
        <v>SWE7</v>
      </c>
      <c r="I1074" s="115" t="s">
        <v>3615</v>
      </c>
    </row>
    <row r="1075" spans="1:9" ht="15" customHeight="1" x14ac:dyDescent="0.35">
      <c r="A1075" s="114">
        <v>8</v>
      </c>
      <c r="B1075" s="114" t="s">
        <v>271</v>
      </c>
      <c r="C1075" s="115" t="s">
        <v>707</v>
      </c>
      <c r="D1075" s="115" t="s">
        <v>2065</v>
      </c>
      <c r="E1075" s="114" t="s">
        <v>2055</v>
      </c>
      <c r="F1075" s="115" t="s">
        <v>3608</v>
      </c>
      <c r="G1075" s="115" t="str">
        <f t="shared" si="32"/>
        <v>Daniel SVENSSON - Sweden</v>
      </c>
      <c r="H1075" s="115" t="str">
        <f t="shared" si="33"/>
        <v>SWE8</v>
      </c>
      <c r="I1075" s="115" t="s">
        <v>3616</v>
      </c>
    </row>
    <row r="1076" spans="1:9" ht="15" customHeight="1" x14ac:dyDescent="0.35">
      <c r="A1076" s="114">
        <v>9</v>
      </c>
      <c r="B1076" s="114" t="s">
        <v>283</v>
      </c>
      <c r="C1076" s="115" t="s">
        <v>418</v>
      </c>
      <c r="D1076" s="115" t="s">
        <v>2066</v>
      </c>
      <c r="E1076" s="114" t="s">
        <v>2055</v>
      </c>
      <c r="F1076" s="115" t="s">
        <v>3608</v>
      </c>
      <c r="G1076" s="115" t="str">
        <f t="shared" si="32"/>
        <v>Alexander ISAK - Sweden</v>
      </c>
      <c r="H1076" s="115" t="str">
        <f t="shared" si="33"/>
        <v>SWE9</v>
      </c>
      <c r="I1076" s="115" t="s">
        <v>3617</v>
      </c>
    </row>
    <row r="1077" spans="1:9" ht="15" customHeight="1" x14ac:dyDescent="0.35">
      <c r="A1077" s="114">
        <v>10</v>
      </c>
      <c r="B1077" s="114" t="s">
        <v>280</v>
      </c>
      <c r="C1077" s="115" t="s">
        <v>519</v>
      </c>
      <c r="D1077" s="115" t="s">
        <v>2067</v>
      </c>
      <c r="E1077" s="114" t="s">
        <v>2055</v>
      </c>
      <c r="F1077" s="115" t="s">
        <v>3608</v>
      </c>
      <c r="G1077" s="115" t="str">
        <f t="shared" si="32"/>
        <v>Benjamin NYGREN - Sweden</v>
      </c>
      <c r="H1077" s="115" t="str">
        <f t="shared" si="33"/>
        <v>SWE10</v>
      </c>
      <c r="I1077" s="115" t="s">
        <v>3618</v>
      </c>
    </row>
    <row r="1078" spans="1:9" ht="15" customHeight="1" x14ac:dyDescent="0.35">
      <c r="A1078" s="114">
        <v>11</v>
      </c>
      <c r="B1078" s="114" t="s">
        <v>283</v>
      </c>
      <c r="C1078" s="115" t="s">
        <v>989</v>
      </c>
      <c r="D1078" s="115" t="s">
        <v>2068</v>
      </c>
      <c r="E1078" s="114" t="s">
        <v>2055</v>
      </c>
      <c r="F1078" s="115" t="s">
        <v>3608</v>
      </c>
      <c r="G1078" s="115" t="str">
        <f t="shared" si="32"/>
        <v>Anthony ELANGA - Sweden</v>
      </c>
      <c r="H1078" s="115" t="str">
        <f t="shared" si="33"/>
        <v>SWE11</v>
      </c>
      <c r="I1078" s="115" t="s">
        <v>3619</v>
      </c>
    </row>
    <row r="1079" spans="1:9" ht="15" customHeight="1" x14ac:dyDescent="0.35">
      <c r="A1079" s="114">
        <v>12</v>
      </c>
      <c r="B1079" s="114" t="s">
        <v>267</v>
      </c>
      <c r="C1079" s="115" t="s">
        <v>2069</v>
      </c>
      <c r="D1079" s="115" t="s">
        <v>2063</v>
      </c>
      <c r="E1079" s="114" t="s">
        <v>2055</v>
      </c>
      <c r="F1079" s="115" t="s">
        <v>3608</v>
      </c>
      <c r="G1079" s="115" t="str">
        <f t="shared" si="32"/>
        <v>Viktor JOHANSSON - Sweden</v>
      </c>
      <c r="H1079" s="115" t="str">
        <f t="shared" si="33"/>
        <v>SWE12</v>
      </c>
      <c r="I1079" s="115" t="s">
        <v>3620</v>
      </c>
    </row>
    <row r="1080" spans="1:9" ht="15" customHeight="1" x14ac:dyDescent="0.35">
      <c r="A1080" s="114">
        <v>13</v>
      </c>
      <c r="B1080" s="114" t="s">
        <v>280</v>
      </c>
      <c r="C1080" s="115" t="s">
        <v>2070</v>
      </c>
      <c r="D1080" s="115" t="s">
        <v>2071</v>
      </c>
      <c r="E1080" s="114" t="s">
        <v>2055</v>
      </c>
      <c r="F1080" s="115" t="s">
        <v>3608</v>
      </c>
      <c r="G1080" s="115" t="str">
        <f t="shared" si="32"/>
        <v>Ken SEMA - Sweden</v>
      </c>
      <c r="H1080" s="115" t="str">
        <f t="shared" si="33"/>
        <v>SWE13</v>
      </c>
      <c r="I1080" s="115" t="s">
        <v>3621</v>
      </c>
    </row>
    <row r="1081" spans="1:9" ht="15" customHeight="1" x14ac:dyDescent="0.35">
      <c r="A1081" s="114">
        <v>14</v>
      </c>
      <c r="B1081" s="114" t="s">
        <v>271</v>
      </c>
      <c r="C1081" s="115" t="s">
        <v>2072</v>
      </c>
      <c r="D1081" s="115" t="s">
        <v>2073</v>
      </c>
      <c r="E1081" s="114" t="s">
        <v>2055</v>
      </c>
      <c r="F1081" s="115" t="s">
        <v>3608</v>
      </c>
      <c r="G1081" s="115" t="str">
        <f t="shared" si="32"/>
        <v>Hjalmar EKDAL - Sweden</v>
      </c>
      <c r="H1081" s="115" t="str">
        <f t="shared" si="33"/>
        <v>SWE14</v>
      </c>
      <c r="I1081" s="115" t="s">
        <v>3622</v>
      </c>
    </row>
    <row r="1082" spans="1:9" ht="15" customHeight="1" x14ac:dyDescent="0.35">
      <c r="A1082" s="114">
        <v>15</v>
      </c>
      <c r="B1082" s="114" t="s">
        <v>271</v>
      </c>
      <c r="C1082" s="115" t="s">
        <v>1239</v>
      </c>
      <c r="D1082" s="115" t="s">
        <v>2074</v>
      </c>
      <c r="E1082" s="114" t="s">
        <v>2055</v>
      </c>
      <c r="F1082" s="115" t="s">
        <v>3608</v>
      </c>
      <c r="G1082" s="115" t="str">
        <f t="shared" si="32"/>
        <v>Carl STARFELT - Sweden</v>
      </c>
      <c r="H1082" s="115" t="str">
        <f t="shared" si="33"/>
        <v>SWE15</v>
      </c>
      <c r="I1082" s="115" t="s">
        <v>3623</v>
      </c>
    </row>
    <row r="1083" spans="1:9" ht="15" customHeight="1" x14ac:dyDescent="0.35">
      <c r="A1083" s="114">
        <v>16</v>
      </c>
      <c r="B1083" s="114" t="s">
        <v>280</v>
      </c>
      <c r="C1083" s="115" t="s">
        <v>2075</v>
      </c>
      <c r="D1083" s="115" t="s">
        <v>2076</v>
      </c>
      <c r="E1083" s="114" t="s">
        <v>2055</v>
      </c>
      <c r="F1083" s="115" t="s">
        <v>3608</v>
      </c>
      <c r="G1083" s="115" t="str">
        <f t="shared" si="32"/>
        <v>Jesper KARLSTROM - Sweden</v>
      </c>
      <c r="H1083" s="115" t="str">
        <f t="shared" si="33"/>
        <v>SWE16</v>
      </c>
      <c r="I1083" s="115" t="s">
        <v>3624</v>
      </c>
    </row>
    <row r="1084" spans="1:9" ht="15" customHeight="1" x14ac:dyDescent="0.35">
      <c r="A1084" s="114">
        <v>17</v>
      </c>
      <c r="B1084" s="114" t="s">
        <v>283</v>
      </c>
      <c r="C1084" s="115" t="s">
        <v>2069</v>
      </c>
      <c r="D1084" s="115" t="s">
        <v>2077</v>
      </c>
      <c r="E1084" s="114" t="s">
        <v>2055</v>
      </c>
      <c r="F1084" s="115" t="s">
        <v>3608</v>
      </c>
      <c r="G1084" s="115" t="str">
        <f t="shared" si="32"/>
        <v>Viktor GYOKERES - Sweden</v>
      </c>
      <c r="H1084" s="115" t="str">
        <f t="shared" si="33"/>
        <v>SWE17</v>
      </c>
      <c r="I1084" s="115" t="s">
        <v>3625</v>
      </c>
    </row>
    <row r="1085" spans="1:9" ht="15" customHeight="1" x14ac:dyDescent="0.35">
      <c r="A1085" s="114">
        <v>18</v>
      </c>
      <c r="B1085" s="114" t="s">
        <v>280</v>
      </c>
      <c r="C1085" s="115" t="s">
        <v>2078</v>
      </c>
      <c r="D1085" s="115" t="s">
        <v>2079</v>
      </c>
      <c r="E1085" s="114" t="s">
        <v>2055</v>
      </c>
      <c r="F1085" s="115" t="s">
        <v>3608</v>
      </c>
      <c r="G1085" s="115" t="str">
        <f t="shared" si="32"/>
        <v>Yasin AYARI - Sweden</v>
      </c>
      <c r="H1085" s="115" t="str">
        <f t="shared" si="33"/>
        <v>SWE18</v>
      </c>
      <c r="I1085" s="115" t="s">
        <v>3626</v>
      </c>
    </row>
    <row r="1086" spans="1:9" ht="15" customHeight="1" x14ac:dyDescent="0.35">
      <c r="A1086" s="114">
        <v>19</v>
      </c>
      <c r="B1086" s="114" t="s">
        <v>280</v>
      </c>
      <c r="C1086" s="115" t="s">
        <v>2080</v>
      </c>
      <c r="D1086" s="115" t="s">
        <v>2081</v>
      </c>
      <c r="E1086" s="114" t="s">
        <v>2055</v>
      </c>
      <c r="F1086" s="115" t="s">
        <v>3608</v>
      </c>
      <c r="G1086" s="115" t="str">
        <f t="shared" si="32"/>
        <v>Mattias SVANBERG - Sweden</v>
      </c>
      <c r="H1086" s="115" t="str">
        <f t="shared" si="33"/>
        <v>SWE19</v>
      </c>
      <c r="I1086" s="115" t="s">
        <v>3627</v>
      </c>
    </row>
    <row r="1087" spans="1:9" ht="15" customHeight="1" x14ac:dyDescent="0.35">
      <c r="A1087" s="114">
        <v>20</v>
      </c>
      <c r="B1087" s="114" t="s">
        <v>271</v>
      </c>
      <c r="C1087" s="115" t="s">
        <v>1718</v>
      </c>
      <c r="D1087" s="115" t="s">
        <v>1654</v>
      </c>
      <c r="E1087" s="114" t="s">
        <v>2055</v>
      </c>
      <c r="F1087" s="115" t="s">
        <v>3608</v>
      </c>
      <c r="G1087" s="115" t="str">
        <f t="shared" si="32"/>
        <v>Eric SMITH - Sweden</v>
      </c>
      <c r="H1087" s="115" t="str">
        <f t="shared" si="33"/>
        <v>SWE20</v>
      </c>
      <c r="I1087" s="115" t="s">
        <v>3628</v>
      </c>
    </row>
    <row r="1088" spans="1:9" ht="15" customHeight="1" x14ac:dyDescent="0.35">
      <c r="A1088" s="114">
        <v>21</v>
      </c>
      <c r="B1088" s="114" t="s">
        <v>271</v>
      </c>
      <c r="C1088" s="115" t="s">
        <v>418</v>
      </c>
      <c r="D1088" s="115" t="s">
        <v>2082</v>
      </c>
      <c r="E1088" s="114" t="s">
        <v>2055</v>
      </c>
      <c r="F1088" s="115" t="s">
        <v>3608</v>
      </c>
      <c r="G1088" s="115" t="str">
        <f t="shared" si="32"/>
        <v>Alexander BERNHARDSSON - Sweden</v>
      </c>
      <c r="H1088" s="115" t="str">
        <f t="shared" si="33"/>
        <v>SWE21</v>
      </c>
      <c r="I1088" s="115" t="s">
        <v>3629</v>
      </c>
    </row>
    <row r="1089" spans="1:9" ht="15" customHeight="1" x14ac:dyDescent="0.35">
      <c r="A1089" s="114">
        <v>22</v>
      </c>
      <c r="B1089" s="114" t="s">
        <v>280</v>
      </c>
      <c r="C1089" s="115" t="s">
        <v>2083</v>
      </c>
      <c r="D1089" s="115" t="s">
        <v>2084</v>
      </c>
      <c r="E1089" s="114" t="s">
        <v>2055</v>
      </c>
      <c r="F1089" s="115" t="s">
        <v>3608</v>
      </c>
      <c r="G1089" s="115" t="str">
        <f t="shared" si="32"/>
        <v>Besfort ZENELI - Sweden</v>
      </c>
      <c r="H1089" s="115" t="str">
        <f t="shared" si="33"/>
        <v>SWE22</v>
      </c>
      <c r="I1089" s="115" t="s">
        <v>3630</v>
      </c>
    </row>
    <row r="1090" spans="1:9" ht="15" customHeight="1" x14ac:dyDescent="0.35">
      <c r="A1090" s="114">
        <v>23</v>
      </c>
      <c r="B1090" s="114" t="s">
        <v>267</v>
      </c>
      <c r="C1090" s="115" t="s">
        <v>1660</v>
      </c>
      <c r="D1090" s="115" t="s">
        <v>2085</v>
      </c>
      <c r="E1090" s="114" t="s">
        <v>2055</v>
      </c>
      <c r="F1090" s="115" t="s">
        <v>3608</v>
      </c>
      <c r="G1090" s="115" t="str">
        <f t="shared" si="32"/>
        <v>Kristoffer NORDFELDT - Sweden</v>
      </c>
      <c r="H1090" s="115" t="str">
        <f t="shared" si="33"/>
        <v>SWE23</v>
      </c>
      <c r="I1090" s="115" t="s">
        <v>3631</v>
      </c>
    </row>
    <row r="1091" spans="1:9" ht="15" customHeight="1" x14ac:dyDescent="0.35">
      <c r="A1091" s="114">
        <v>24</v>
      </c>
      <c r="B1091" s="114" t="s">
        <v>271</v>
      </c>
      <c r="C1091" s="115" t="s">
        <v>1068</v>
      </c>
      <c r="D1091" s="115" t="s">
        <v>2086</v>
      </c>
      <c r="E1091" s="114" t="s">
        <v>2055</v>
      </c>
      <c r="F1091" s="115" t="s">
        <v>3608</v>
      </c>
      <c r="G1091" s="115" t="str">
        <f t="shared" ref="G1091:G1154" si="34">_xlfn.CONCAT(C1091, " ",D1091, " - ",F1091)</f>
        <v>Elliot STROUD - Sweden</v>
      </c>
      <c r="H1091" s="115" t="str">
        <f t="shared" ref="H1091:H1154" si="35">_xlfn.CONCAT(E1091,A1091)</f>
        <v>SWE24</v>
      </c>
      <c r="I1091" s="115" t="s">
        <v>3632</v>
      </c>
    </row>
    <row r="1092" spans="1:9" ht="15" customHeight="1" x14ac:dyDescent="0.35">
      <c r="A1092" s="114">
        <v>25</v>
      </c>
      <c r="B1092" s="114" t="s">
        <v>283</v>
      </c>
      <c r="C1092" s="115" t="s">
        <v>2056</v>
      </c>
      <c r="D1092" s="115" t="s">
        <v>2087</v>
      </c>
      <c r="E1092" s="114" t="s">
        <v>2055</v>
      </c>
      <c r="F1092" s="115" t="s">
        <v>3608</v>
      </c>
      <c r="G1092" s="115" t="str">
        <f t="shared" si="34"/>
        <v>Gustaf NILSSON - Sweden</v>
      </c>
      <c r="H1092" s="115" t="str">
        <f t="shared" si="35"/>
        <v>SWE25</v>
      </c>
      <c r="I1092" s="115" t="s">
        <v>3633</v>
      </c>
    </row>
    <row r="1093" spans="1:9" ht="15" customHeight="1" x14ac:dyDescent="0.35">
      <c r="A1093" s="114">
        <v>26</v>
      </c>
      <c r="B1093" s="114" t="s">
        <v>283</v>
      </c>
      <c r="C1093" s="115" t="s">
        <v>2088</v>
      </c>
      <c r="D1093" s="115" t="s">
        <v>1325</v>
      </c>
      <c r="E1093" s="114" t="s">
        <v>2055</v>
      </c>
      <c r="F1093" s="115" t="s">
        <v>3608</v>
      </c>
      <c r="G1093" s="115" t="str">
        <f t="shared" si="34"/>
        <v>Taha ALI - Sweden</v>
      </c>
      <c r="H1093" s="115" t="str">
        <f t="shared" si="35"/>
        <v>SWE26</v>
      </c>
      <c r="I1093" s="115" t="s">
        <v>3634</v>
      </c>
    </row>
    <row r="1094" spans="1:9" ht="15" customHeight="1" x14ac:dyDescent="0.35">
      <c r="A1094" s="116">
        <v>1</v>
      </c>
      <c r="B1094" s="116" t="s">
        <v>267</v>
      </c>
      <c r="C1094" s="117" t="s">
        <v>2089</v>
      </c>
      <c r="D1094" s="117" t="s">
        <v>2090</v>
      </c>
      <c r="E1094" s="116" t="s">
        <v>2091</v>
      </c>
      <c r="F1094" s="117" t="s">
        <v>3635</v>
      </c>
      <c r="G1094" s="117" t="str">
        <f t="shared" si="34"/>
        <v>Gregor KOBEL - Switzerland</v>
      </c>
      <c r="H1094" s="117" t="str">
        <f t="shared" si="35"/>
        <v>CHE1</v>
      </c>
      <c r="I1094" s="117" t="s">
        <v>3636</v>
      </c>
    </row>
    <row r="1095" spans="1:9" ht="15" customHeight="1" x14ac:dyDescent="0.35">
      <c r="A1095" s="116">
        <v>2</v>
      </c>
      <c r="B1095" s="116" t="s">
        <v>271</v>
      </c>
      <c r="C1095" s="117" t="s">
        <v>2092</v>
      </c>
      <c r="D1095" s="117" t="s">
        <v>2093</v>
      </c>
      <c r="E1095" s="116" t="s">
        <v>2091</v>
      </c>
      <c r="F1095" s="117" t="s">
        <v>3635</v>
      </c>
      <c r="G1095" s="117" t="str">
        <f t="shared" si="34"/>
        <v>Miro MUHEIM - Switzerland</v>
      </c>
      <c r="H1095" s="117" t="str">
        <f t="shared" si="35"/>
        <v>CHE2</v>
      </c>
      <c r="I1095" s="117" t="s">
        <v>3637</v>
      </c>
    </row>
    <row r="1096" spans="1:9" ht="15" customHeight="1" x14ac:dyDescent="0.35">
      <c r="A1096" s="116">
        <v>3</v>
      </c>
      <c r="B1096" s="116" t="s">
        <v>271</v>
      </c>
      <c r="C1096" s="117" t="s">
        <v>2094</v>
      </c>
      <c r="D1096" s="117" t="s">
        <v>2095</v>
      </c>
      <c r="E1096" s="116" t="s">
        <v>2091</v>
      </c>
      <c r="F1096" s="117" t="s">
        <v>3635</v>
      </c>
      <c r="G1096" s="117" t="str">
        <f t="shared" si="34"/>
        <v>Silvan WIDMER - Switzerland</v>
      </c>
      <c r="H1096" s="117" t="str">
        <f t="shared" si="35"/>
        <v>CHE3</v>
      </c>
      <c r="I1096" s="117" t="s">
        <v>3638</v>
      </c>
    </row>
    <row r="1097" spans="1:9" ht="15" customHeight="1" x14ac:dyDescent="0.35">
      <c r="A1097" s="116">
        <v>4</v>
      </c>
      <c r="B1097" s="116" t="s">
        <v>271</v>
      </c>
      <c r="C1097" s="117" t="s">
        <v>350</v>
      </c>
      <c r="D1097" s="117" t="s">
        <v>2096</v>
      </c>
      <c r="E1097" s="116" t="s">
        <v>2091</v>
      </c>
      <c r="F1097" s="117" t="s">
        <v>3635</v>
      </c>
      <c r="G1097" s="117" t="str">
        <f t="shared" si="34"/>
        <v>Nico ELVEDI - Switzerland</v>
      </c>
      <c r="H1097" s="117" t="str">
        <f t="shared" si="35"/>
        <v>CHE4</v>
      </c>
      <c r="I1097" s="117" t="s">
        <v>3639</v>
      </c>
    </row>
    <row r="1098" spans="1:9" ht="15" customHeight="1" x14ac:dyDescent="0.35">
      <c r="A1098" s="116">
        <v>5</v>
      </c>
      <c r="B1098" s="116" t="s">
        <v>271</v>
      </c>
      <c r="C1098" s="117" t="s">
        <v>1137</v>
      </c>
      <c r="D1098" s="117" t="s">
        <v>2097</v>
      </c>
      <c r="E1098" s="116" t="s">
        <v>2091</v>
      </c>
      <c r="F1098" s="117" t="s">
        <v>3635</v>
      </c>
      <c r="G1098" s="117" t="str">
        <f t="shared" si="34"/>
        <v>Manuel AKANJI - Switzerland</v>
      </c>
      <c r="H1098" s="117" t="str">
        <f t="shared" si="35"/>
        <v>CHE5</v>
      </c>
      <c r="I1098" s="117" t="s">
        <v>3640</v>
      </c>
    </row>
    <row r="1099" spans="1:9" ht="15" customHeight="1" x14ac:dyDescent="0.35">
      <c r="A1099" s="116">
        <v>6</v>
      </c>
      <c r="B1099" s="116" t="s">
        <v>280</v>
      </c>
      <c r="C1099" s="117" t="s">
        <v>973</v>
      </c>
      <c r="D1099" s="117" t="s">
        <v>1837</v>
      </c>
      <c r="E1099" s="116" t="s">
        <v>2091</v>
      </c>
      <c r="F1099" s="117" t="s">
        <v>3635</v>
      </c>
      <c r="G1099" s="117" t="str">
        <f t="shared" si="34"/>
        <v>Denis ZAKARIA - Switzerland</v>
      </c>
      <c r="H1099" s="117" t="str">
        <f t="shared" si="35"/>
        <v>CHE6</v>
      </c>
      <c r="I1099" s="117" t="s">
        <v>3641</v>
      </c>
    </row>
    <row r="1100" spans="1:9" ht="15" customHeight="1" x14ac:dyDescent="0.35">
      <c r="A1100" s="116">
        <v>7</v>
      </c>
      <c r="B1100" s="116" t="s">
        <v>283</v>
      </c>
      <c r="C1100" s="117" t="s">
        <v>2098</v>
      </c>
      <c r="D1100" s="117" t="s">
        <v>2099</v>
      </c>
      <c r="E1100" s="116" t="s">
        <v>2091</v>
      </c>
      <c r="F1100" s="117" t="s">
        <v>3635</v>
      </c>
      <c r="G1100" s="117" t="str">
        <f t="shared" si="34"/>
        <v>Breel EMBOLO - Switzerland</v>
      </c>
      <c r="H1100" s="117" t="str">
        <f t="shared" si="35"/>
        <v>CHE7</v>
      </c>
      <c r="I1100" s="117" t="s">
        <v>3642</v>
      </c>
    </row>
    <row r="1101" spans="1:9" ht="15" customHeight="1" x14ac:dyDescent="0.35">
      <c r="A1101" s="116">
        <v>8</v>
      </c>
      <c r="B1101" s="116" t="s">
        <v>280</v>
      </c>
      <c r="C1101" s="117" t="s">
        <v>2100</v>
      </c>
      <c r="D1101" s="117" t="s">
        <v>2101</v>
      </c>
      <c r="E1101" s="116" t="s">
        <v>2091</v>
      </c>
      <c r="F1101" s="117" t="s">
        <v>3635</v>
      </c>
      <c r="G1101" s="117" t="str">
        <f t="shared" si="34"/>
        <v>Remo FREULER - Switzerland</v>
      </c>
      <c r="H1101" s="117" t="str">
        <f t="shared" si="35"/>
        <v>CHE8</v>
      </c>
      <c r="I1101" s="117" t="s">
        <v>3643</v>
      </c>
    </row>
    <row r="1102" spans="1:9" ht="15" customHeight="1" x14ac:dyDescent="0.35">
      <c r="A1102" s="116">
        <v>9</v>
      </c>
      <c r="B1102" s="116" t="s">
        <v>280</v>
      </c>
      <c r="C1102" s="117" t="s">
        <v>732</v>
      </c>
      <c r="D1102" s="117" t="s">
        <v>2102</v>
      </c>
      <c r="E1102" s="116" t="s">
        <v>2091</v>
      </c>
      <c r="F1102" s="117" t="s">
        <v>3635</v>
      </c>
      <c r="G1102" s="117" t="str">
        <f t="shared" si="34"/>
        <v>Johan MANZAMBI - Switzerland</v>
      </c>
      <c r="H1102" s="117" t="str">
        <f t="shared" si="35"/>
        <v>CHE9</v>
      </c>
      <c r="I1102" s="117" t="s">
        <v>3644</v>
      </c>
    </row>
    <row r="1103" spans="1:9" ht="15" customHeight="1" x14ac:dyDescent="0.35">
      <c r="A1103" s="116">
        <v>10</v>
      </c>
      <c r="B1103" s="116" t="s">
        <v>280</v>
      </c>
      <c r="C1103" s="117" t="s">
        <v>2103</v>
      </c>
      <c r="D1103" s="117" t="s">
        <v>2104</v>
      </c>
      <c r="E1103" s="116" t="s">
        <v>2091</v>
      </c>
      <c r="F1103" s="117" t="s">
        <v>3635</v>
      </c>
      <c r="G1103" s="117" t="str">
        <f t="shared" si="34"/>
        <v>Granit XHAKA - Switzerland</v>
      </c>
      <c r="H1103" s="117" t="str">
        <f t="shared" si="35"/>
        <v>CHE10</v>
      </c>
      <c r="I1103" s="117" t="s">
        <v>3645</v>
      </c>
    </row>
    <row r="1104" spans="1:9" ht="15" customHeight="1" x14ac:dyDescent="0.35">
      <c r="A1104" s="116">
        <v>11</v>
      </c>
      <c r="B1104" s="116" t="s">
        <v>283</v>
      </c>
      <c r="C1104" s="117" t="s">
        <v>1077</v>
      </c>
      <c r="D1104" s="117" t="s">
        <v>2105</v>
      </c>
      <c r="E1104" s="116" t="s">
        <v>2091</v>
      </c>
      <c r="F1104" s="117" t="s">
        <v>3635</v>
      </c>
      <c r="G1104" s="117" t="str">
        <f t="shared" si="34"/>
        <v>Dan NDOYE - Switzerland</v>
      </c>
      <c r="H1104" s="117" t="str">
        <f t="shared" si="35"/>
        <v>CHE11</v>
      </c>
      <c r="I1104" s="117" t="s">
        <v>3646</v>
      </c>
    </row>
    <row r="1105" spans="1:9" ht="15" customHeight="1" x14ac:dyDescent="0.35">
      <c r="A1105" s="116">
        <v>12</v>
      </c>
      <c r="B1105" s="116" t="s">
        <v>267</v>
      </c>
      <c r="C1105" s="117" t="s">
        <v>2106</v>
      </c>
      <c r="D1105" s="117" t="s">
        <v>2107</v>
      </c>
      <c r="E1105" s="116" t="s">
        <v>2091</v>
      </c>
      <c r="F1105" s="117" t="s">
        <v>3635</v>
      </c>
      <c r="G1105" s="117" t="str">
        <f t="shared" si="34"/>
        <v>Yvon MVOGO - Switzerland</v>
      </c>
      <c r="H1105" s="117" t="str">
        <f t="shared" si="35"/>
        <v>CHE12</v>
      </c>
      <c r="I1105" s="117" t="s">
        <v>3647</v>
      </c>
    </row>
    <row r="1106" spans="1:9" ht="15" customHeight="1" x14ac:dyDescent="0.35">
      <c r="A1106" s="116">
        <v>13</v>
      </c>
      <c r="B1106" s="116" t="s">
        <v>271</v>
      </c>
      <c r="C1106" s="117" t="s">
        <v>1235</v>
      </c>
      <c r="D1106" s="117" t="s">
        <v>722</v>
      </c>
      <c r="E1106" s="116" t="s">
        <v>2091</v>
      </c>
      <c r="F1106" s="117" t="s">
        <v>3635</v>
      </c>
      <c r="G1106" s="117" t="str">
        <f t="shared" si="34"/>
        <v>Ricardo RODRIGUEZ - Switzerland</v>
      </c>
      <c r="H1106" s="117" t="str">
        <f t="shared" si="35"/>
        <v>CHE13</v>
      </c>
      <c r="I1106" s="117" t="s">
        <v>3648</v>
      </c>
    </row>
    <row r="1107" spans="1:9" ht="15" customHeight="1" x14ac:dyDescent="0.35">
      <c r="A1107" s="116">
        <v>14</v>
      </c>
      <c r="B1107" s="116" t="s">
        <v>280</v>
      </c>
      <c r="C1107" s="117" t="s">
        <v>2108</v>
      </c>
      <c r="D1107" s="117" t="s">
        <v>2109</v>
      </c>
      <c r="E1107" s="116" t="s">
        <v>2091</v>
      </c>
      <c r="F1107" s="117" t="s">
        <v>3635</v>
      </c>
      <c r="G1107" s="117" t="str">
        <f t="shared" si="34"/>
        <v>Ardon JASHARI - Switzerland</v>
      </c>
      <c r="H1107" s="117" t="str">
        <f t="shared" si="35"/>
        <v>CHE14</v>
      </c>
      <c r="I1107" s="117" t="s">
        <v>3649</v>
      </c>
    </row>
    <row r="1108" spans="1:9" ht="15" customHeight="1" x14ac:dyDescent="0.35">
      <c r="A1108" s="116">
        <v>15</v>
      </c>
      <c r="B1108" s="116" t="s">
        <v>280</v>
      </c>
      <c r="C1108" s="117" t="s">
        <v>2110</v>
      </c>
      <c r="D1108" s="117" t="s">
        <v>2111</v>
      </c>
      <c r="E1108" s="116" t="s">
        <v>2091</v>
      </c>
      <c r="F1108" s="117" t="s">
        <v>3635</v>
      </c>
      <c r="G1108" s="117" t="str">
        <f t="shared" si="34"/>
        <v>Djibril SOW - Switzerland</v>
      </c>
      <c r="H1108" s="117" t="str">
        <f t="shared" si="35"/>
        <v>CHE15</v>
      </c>
      <c r="I1108" s="117" t="s">
        <v>3650</v>
      </c>
    </row>
    <row r="1109" spans="1:9" ht="15" customHeight="1" x14ac:dyDescent="0.35">
      <c r="A1109" s="116">
        <v>16</v>
      </c>
      <c r="B1109" s="116" t="s">
        <v>283</v>
      </c>
      <c r="C1109" s="117" t="s">
        <v>2112</v>
      </c>
      <c r="D1109" s="117" t="s">
        <v>2113</v>
      </c>
      <c r="E1109" s="116" t="s">
        <v>2091</v>
      </c>
      <c r="F1109" s="117" t="s">
        <v>3635</v>
      </c>
      <c r="G1109" s="117" t="str">
        <f t="shared" si="34"/>
        <v>Christian FASSNACHT - Switzerland</v>
      </c>
      <c r="H1109" s="117" t="str">
        <f t="shared" si="35"/>
        <v>CHE16</v>
      </c>
      <c r="I1109" s="117" t="s">
        <v>3651</v>
      </c>
    </row>
    <row r="1110" spans="1:9" ht="15" customHeight="1" x14ac:dyDescent="0.35">
      <c r="A1110" s="116">
        <v>17</v>
      </c>
      <c r="B1110" s="116" t="s">
        <v>283</v>
      </c>
      <c r="C1110" s="117" t="s">
        <v>1252</v>
      </c>
      <c r="D1110" s="117" t="s">
        <v>724</v>
      </c>
      <c r="E1110" s="116" t="s">
        <v>2091</v>
      </c>
      <c r="F1110" s="117" t="s">
        <v>3635</v>
      </c>
      <c r="G1110" s="117" t="str">
        <f t="shared" si="34"/>
        <v>Ruben VARGAS - Switzerland</v>
      </c>
      <c r="H1110" s="117" t="str">
        <f t="shared" si="35"/>
        <v>CHE17</v>
      </c>
      <c r="I1110" s="117" t="s">
        <v>3652</v>
      </c>
    </row>
    <row r="1111" spans="1:9" ht="15" customHeight="1" x14ac:dyDescent="0.35">
      <c r="A1111" s="116">
        <v>18</v>
      </c>
      <c r="B1111" s="116" t="s">
        <v>271</v>
      </c>
      <c r="C1111" s="117" t="s">
        <v>2114</v>
      </c>
      <c r="D1111" s="117" t="s">
        <v>2115</v>
      </c>
      <c r="E1111" s="116" t="s">
        <v>2091</v>
      </c>
      <c r="F1111" s="117" t="s">
        <v>3635</v>
      </c>
      <c r="G1111" s="117" t="str">
        <f t="shared" si="34"/>
        <v>Eray COEMERT - Switzerland</v>
      </c>
      <c r="H1111" s="117" t="str">
        <f t="shared" si="35"/>
        <v>CHE18</v>
      </c>
      <c r="I1111" s="117" t="s">
        <v>3653</v>
      </c>
    </row>
    <row r="1112" spans="1:9" ht="15" customHeight="1" x14ac:dyDescent="0.35">
      <c r="A1112" s="116">
        <v>19</v>
      </c>
      <c r="B1112" s="116" t="s">
        <v>283</v>
      </c>
      <c r="C1112" s="117" t="s">
        <v>775</v>
      </c>
      <c r="D1112" s="117" t="s">
        <v>2116</v>
      </c>
      <c r="E1112" s="116" t="s">
        <v>2091</v>
      </c>
      <c r="F1112" s="117" t="s">
        <v>3635</v>
      </c>
      <c r="G1112" s="117" t="str">
        <f t="shared" si="34"/>
        <v>Noah OKAFOR - Switzerland</v>
      </c>
      <c r="H1112" s="117" t="str">
        <f t="shared" si="35"/>
        <v>CHE19</v>
      </c>
      <c r="I1112" s="117" t="s">
        <v>3654</v>
      </c>
    </row>
    <row r="1113" spans="1:9" ht="15" customHeight="1" x14ac:dyDescent="0.35">
      <c r="A1113" s="116">
        <v>20</v>
      </c>
      <c r="B1113" s="116" t="s">
        <v>280</v>
      </c>
      <c r="C1113" s="117" t="s">
        <v>2117</v>
      </c>
      <c r="D1113" s="117" t="s">
        <v>2118</v>
      </c>
      <c r="E1113" s="116" t="s">
        <v>2091</v>
      </c>
      <c r="F1113" s="117" t="s">
        <v>3635</v>
      </c>
      <c r="G1113" s="117" t="str">
        <f t="shared" si="34"/>
        <v>Michel AEBISCHER - Switzerland</v>
      </c>
      <c r="H1113" s="117" t="str">
        <f t="shared" si="35"/>
        <v>CHE20</v>
      </c>
      <c r="I1113" s="117" t="s">
        <v>3655</v>
      </c>
    </row>
    <row r="1114" spans="1:9" ht="15" customHeight="1" x14ac:dyDescent="0.35">
      <c r="A1114" s="116">
        <v>21</v>
      </c>
      <c r="B1114" s="116" t="s">
        <v>267</v>
      </c>
      <c r="C1114" s="117" t="s">
        <v>1226</v>
      </c>
      <c r="D1114" s="117" t="s">
        <v>2119</v>
      </c>
      <c r="E1114" s="116" t="s">
        <v>2091</v>
      </c>
      <c r="F1114" s="117" t="s">
        <v>3635</v>
      </c>
      <c r="G1114" s="117" t="str">
        <f t="shared" si="34"/>
        <v>Marvin KELLER - Switzerland</v>
      </c>
      <c r="H1114" s="117" t="str">
        <f t="shared" si="35"/>
        <v>CHE21</v>
      </c>
      <c r="I1114" s="117" t="s">
        <v>3656</v>
      </c>
    </row>
    <row r="1115" spans="1:9" ht="15" customHeight="1" x14ac:dyDescent="0.35">
      <c r="A1115" s="116">
        <v>22</v>
      </c>
      <c r="B1115" s="116" t="s">
        <v>280</v>
      </c>
      <c r="C1115" s="117" t="s">
        <v>1740</v>
      </c>
      <c r="D1115" s="117" t="s">
        <v>2120</v>
      </c>
      <c r="E1115" s="116" t="s">
        <v>2091</v>
      </c>
      <c r="F1115" s="117" t="s">
        <v>3635</v>
      </c>
      <c r="G1115" s="117" t="str">
        <f t="shared" si="34"/>
        <v>Fabian RIEDER - Switzerland</v>
      </c>
      <c r="H1115" s="117" t="str">
        <f t="shared" si="35"/>
        <v>CHE22</v>
      </c>
      <c r="I1115" s="117" t="s">
        <v>3657</v>
      </c>
    </row>
    <row r="1116" spans="1:9" ht="15" customHeight="1" x14ac:dyDescent="0.35">
      <c r="A1116" s="116">
        <v>23</v>
      </c>
      <c r="B1116" s="116" t="s">
        <v>283</v>
      </c>
      <c r="C1116" s="117" t="s">
        <v>2121</v>
      </c>
      <c r="D1116" s="117" t="s">
        <v>2122</v>
      </c>
      <c r="E1116" s="116" t="s">
        <v>2091</v>
      </c>
      <c r="F1116" s="117" t="s">
        <v>3635</v>
      </c>
      <c r="G1116" s="117" t="str">
        <f t="shared" si="34"/>
        <v>Zeki AMDOUNI - Switzerland</v>
      </c>
      <c r="H1116" s="117" t="str">
        <f t="shared" si="35"/>
        <v>CHE23</v>
      </c>
      <c r="I1116" s="117" t="s">
        <v>3658</v>
      </c>
    </row>
    <row r="1117" spans="1:9" ht="15" customHeight="1" x14ac:dyDescent="0.35">
      <c r="A1117" s="116">
        <v>24</v>
      </c>
      <c r="B1117" s="116" t="s">
        <v>271</v>
      </c>
      <c r="C1117" s="117" t="s">
        <v>2123</v>
      </c>
      <c r="D1117" s="117" t="s">
        <v>2124</v>
      </c>
      <c r="E1117" s="116" t="s">
        <v>2091</v>
      </c>
      <c r="F1117" s="117" t="s">
        <v>3635</v>
      </c>
      <c r="G1117" s="117" t="str">
        <f t="shared" si="34"/>
        <v>Aurele AMENDA - Switzerland</v>
      </c>
      <c r="H1117" s="117" t="str">
        <f t="shared" si="35"/>
        <v>CHE24</v>
      </c>
      <c r="I1117" s="117" t="s">
        <v>3659</v>
      </c>
    </row>
    <row r="1118" spans="1:9" ht="15" customHeight="1" x14ac:dyDescent="0.35">
      <c r="A1118" s="116">
        <v>25</v>
      </c>
      <c r="B1118" s="116" t="s">
        <v>271</v>
      </c>
      <c r="C1118" s="117" t="s">
        <v>316</v>
      </c>
      <c r="D1118" s="117" t="s">
        <v>2125</v>
      </c>
      <c r="E1118" s="116" t="s">
        <v>2091</v>
      </c>
      <c r="F1118" s="117" t="s">
        <v>3635</v>
      </c>
      <c r="G1118" s="117" t="str">
        <f t="shared" si="34"/>
        <v>Luca JAQUEZ - Switzerland</v>
      </c>
      <c r="H1118" s="117" t="str">
        <f t="shared" si="35"/>
        <v>CHE25</v>
      </c>
      <c r="I1118" s="117" t="s">
        <v>3660</v>
      </c>
    </row>
    <row r="1119" spans="1:9" ht="15" customHeight="1" x14ac:dyDescent="0.35">
      <c r="A1119" s="116">
        <v>26</v>
      </c>
      <c r="B1119" s="116" t="s">
        <v>283</v>
      </c>
      <c r="C1119" s="117" t="s">
        <v>779</v>
      </c>
      <c r="D1119" s="117" t="s">
        <v>2126</v>
      </c>
      <c r="E1119" s="116" t="s">
        <v>2091</v>
      </c>
      <c r="F1119" s="117" t="s">
        <v>3635</v>
      </c>
      <c r="G1119" s="117" t="str">
        <f t="shared" si="34"/>
        <v>Cedric ITTEN - Switzerland</v>
      </c>
      <c r="H1119" s="117" t="str">
        <f t="shared" si="35"/>
        <v>CHE26</v>
      </c>
      <c r="I1119" s="117" t="s">
        <v>3661</v>
      </c>
    </row>
    <row r="1120" spans="1:9" ht="15" customHeight="1" x14ac:dyDescent="0.35">
      <c r="A1120" s="118">
        <v>1</v>
      </c>
      <c r="B1120" s="118" t="s">
        <v>267</v>
      </c>
      <c r="C1120" s="119" t="s">
        <v>2127</v>
      </c>
      <c r="D1120" s="119" t="s">
        <v>2128</v>
      </c>
      <c r="E1120" s="118" t="s">
        <v>2129</v>
      </c>
      <c r="F1120" s="119" t="s">
        <v>3662</v>
      </c>
      <c r="G1120" s="119" t="str">
        <f t="shared" si="34"/>
        <v>Mouhib CHAMAKH - Tunisia</v>
      </c>
      <c r="H1120" s="119" t="str">
        <f t="shared" si="35"/>
        <v>TUN1</v>
      </c>
      <c r="I1120" s="119" t="s">
        <v>3663</v>
      </c>
    </row>
    <row r="1121" spans="1:9" ht="15" customHeight="1" x14ac:dyDescent="0.35">
      <c r="A1121" s="118">
        <v>2</v>
      </c>
      <c r="B1121" s="118" t="s">
        <v>271</v>
      </c>
      <c r="C1121" s="119" t="s">
        <v>696</v>
      </c>
      <c r="D1121" s="119" t="s">
        <v>2130</v>
      </c>
      <c r="E1121" s="118" t="s">
        <v>2129</v>
      </c>
      <c r="F1121" s="119" t="s">
        <v>3662</v>
      </c>
      <c r="G1121" s="119" t="str">
        <f t="shared" si="34"/>
        <v>Ali ABDI - Tunisia</v>
      </c>
      <c r="H1121" s="119" t="str">
        <f t="shared" si="35"/>
        <v>TUN2</v>
      </c>
      <c r="I1121" s="119" t="s">
        <v>3664</v>
      </c>
    </row>
    <row r="1122" spans="1:9" ht="15" customHeight="1" x14ac:dyDescent="0.35">
      <c r="A1122" s="118">
        <v>3</v>
      </c>
      <c r="B1122" s="118" t="s">
        <v>271</v>
      </c>
      <c r="C1122" s="119" t="s">
        <v>2131</v>
      </c>
      <c r="D1122" s="119" t="s">
        <v>1531</v>
      </c>
      <c r="E1122" s="118" t="s">
        <v>2129</v>
      </c>
      <c r="F1122" s="119" t="s">
        <v>3662</v>
      </c>
      <c r="G1122" s="119" t="str">
        <f t="shared" si="34"/>
        <v>Montassar TALBI - Tunisia</v>
      </c>
      <c r="H1122" s="119" t="str">
        <f t="shared" si="35"/>
        <v>TUN3</v>
      </c>
      <c r="I1122" s="119" t="s">
        <v>3665</v>
      </c>
    </row>
    <row r="1123" spans="1:9" ht="15" customHeight="1" x14ac:dyDescent="0.35">
      <c r="A1123" s="118">
        <v>4</v>
      </c>
      <c r="B1123" s="118" t="s">
        <v>271</v>
      </c>
      <c r="C1123" s="119" t="s">
        <v>1050</v>
      </c>
      <c r="D1123" s="119" t="s">
        <v>2132</v>
      </c>
      <c r="E1123" s="118" t="s">
        <v>2129</v>
      </c>
      <c r="F1123" s="119" t="s">
        <v>3662</v>
      </c>
      <c r="G1123" s="119" t="str">
        <f t="shared" si="34"/>
        <v>Omar REKIK - Tunisia</v>
      </c>
      <c r="H1123" s="119" t="str">
        <f t="shared" si="35"/>
        <v>TUN4</v>
      </c>
      <c r="I1123" s="119" t="s">
        <v>3666</v>
      </c>
    </row>
    <row r="1124" spans="1:9" ht="15" customHeight="1" x14ac:dyDescent="0.35">
      <c r="A1124" s="118">
        <v>5</v>
      </c>
      <c r="B1124" s="118" t="s">
        <v>271</v>
      </c>
      <c r="C1124" s="119" t="s">
        <v>945</v>
      </c>
      <c r="D1124" s="119" t="s">
        <v>2133</v>
      </c>
      <c r="E1124" s="118" t="s">
        <v>2129</v>
      </c>
      <c r="F1124" s="119" t="s">
        <v>3662</v>
      </c>
      <c r="G1124" s="119" t="str">
        <f t="shared" si="34"/>
        <v>Adam AROUS - Tunisia</v>
      </c>
      <c r="H1124" s="119" t="str">
        <f t="shared" si="35"/>
        <v>TUN5</v>
      </c>
      <c r="I1124" s="119" t="s">
        <v>3667</v>
      </c>
    </row>
    <row r="1125" spans="1:9" ht="15" customHeight="1" x14ac:dyDescent="0.35">
      <c r="A1125" s="118">
        <v>6</v>
      </c>
      <c r="B1125" s="118" t="s">
        <v>271</v>
      </c>
      <c r="C1125" s="119" t="s">
        <v>757</v>
      </c>
      <c r="D1125" s="119" t="s">
        <v>2134</v>
      </c>
      <c r="E1125" s="118" t="s">
        <v>2129</v>
      </c>
      <c r="F1125" s="119" t="s">
        <v>3662</v>
      </c>
      <c r="G1125" s="119" t="str">
        <f t="shared" si="34"/>
        <v>Dylan BRONN - Tunisia</v>
      </c>
      <c r="H1125" s="119" t="str">
        <f t="shared" si="35"/>
        <v>TUN6</v>
      </c>
      <c r="I1125" s="119" t="s">
        <v>3668</v>
      </c>
    </row>
    <row r="1126" spans="1:9" ht="15" customHeight="1" x14ac:dyDescent="0.35">
      <c r="A1126" s="118">
        <v>7</v>
      </c>
      <c r="B1126" s="118" t="s">
        <v>283</v>
      </c>
      <c r="C1126" s="119" t="s">
        <v>2135</v>
      </c>
      <c r="D1126" s="119" t="s">
        <v>2136</v>
      </c>
      <c r="E1126" s="118" t="s">
        <v>2129</v>
      </c>
      <c r="F1126" s="119" t="s">
        <v>3662</v>
      </c>
      <c r="G1126" s="119" t="str">
        <f t="shared" si="34"/>
        <v>Elias ACHOURI - Tunisia</v>
      </c>
      <c r="H1126" s="119" t="str">
        <f t="shared" si="35"/>
        <v>TUN7</v>
      </c>
      <c r="I1126" s="119" t="s">
        <v>3669</v>
      </c>
    </row>
    <row r="1127" spans="1:9" ht="15" customHeight="1" x14ac:dyDescent="0.35">
      <c r="A1127" s="118">
        <v>8</v>
      </c>
      <c r="B1127" s="118" t="s">
        <v>283</v>
      </c>
      <c r="C1127" s="119" t="s">
        <v>2135</v>
      </c>
      <c r="D1127" s="119" t="s">
        <v>2137</v>
      </c>
      <c r="E1127" s="118" t="s">
        <v>2129</v>
      </c>
      <c r="F1127" s="119" t="s">
        <v>3662</v>
      </c>
      <c r="G1127" s="119" t="str">
        <f t="shared" si="34"/>
        <v>Elias SAAD - Tunisia</v>
      </c>
      <c r="H1127" s="119" t="str">
        <f t="shared" si="35"/>
        <v>TUN8</v>
      </c>
      <c r="I1127" s="119" t="s">
        <v>3670</v>
      </c>
    </row>
    <row r="1128" spans="1:9" ht="15" customHeight="1" x14ac:dyDescent="0.35">
      <c r="A1128" s="118">
        <v>9</v>
      </c>
      <c r="B1128" s="118" t="s">
        <v>283</v>
      </c>
      <c r="C1128" s="119" t="s">
        <v>2138</v>
      </c>
      <c r="D1128" s="119" t="s">
        <v>2139</v>
      </c>
      <c r="E1128" s="118" t="s">
        <v>2129</v>
      </c>
      <c r="F1128" s="119" t="s">
        <v>3662</v>
      </c>
      <c r="G1128" s="119" t="str">
        <f t="shared" si="34"/>
        <v>Hazem MASTOURI - Tunisia</v>
      </c>
      <c r="H1128" s="119" t="str">
        <f t="shared" si="35"/>
        <v>TUN9</v>
      </c>
      <c r="I1128" s="119" t="s">
        <v>3671</v>
      </c>
    </row>
    <row r="1129" spans="1:9" ht="15" customHeight="1" x14ac:dyDescent="0.35">
      <c r="A1129" s="118">
        <v>10</v>
      </c>
      <c r="B1129" s="118" t="s">
        <v>280</v>
      </c>
      <c r="C1129" s="119" t="s">
        <v>2140</v>
      </c>
      <c r="D1129" s="119" t="s">
        <v>2141</v>
      </c>
      <c r="E1129" s="118" t="s">
        <v>2129</v>
      </c>
      <c r="F1129" s="119" t="s">
        <v>3662</v>
      </c>
      <c r="G1129" s="119" t="str">
        <f t="shared" si="34"/>
        <v>Hannibal MEJBRI - Tunisia</v>
      </c>
      <c r="H1129" s="119" t="str">
        <f t="shared" si="35"/>
        <v>TUN10</v>
      </c>
      <c r="I1129" s="119" t="s">
        <v>3672</v>
      </c>
    </row>
    <row r="1130" spans="1:9" ht="15" customHeight="1" x14ac:dyDescent="0.35">
      <c r="A1130" s="118">
        <v>11</v>
      </c>
      <c r="B1130" s="118" t="s">
        <v>280</v>
      </c>
      <c r="C1130" s="119" t="s">
        <v>673</v>
      </c>
      <c r="D1130" s="119" t="s">
        <v>2142</v>
      </c>
      <c r="E1130" s="118" t="s">
        <v>2129</v>
      </c>
      <c r="F1130" s="119" t="s">
        <v>3662</v>
      </c>
      <c r="G1130" s="119" t="str">
        <f t="shared" si="34"/>
        <v>Ismael GHARBI - Tunisia</v>
      </c>
      <c r="H1130" s="119" t="str">
        <f t="shared" si="35"/>
        <v>TUN11</v>
      </c>
      <c r="I1130" s="119" t="s">
        <v>3673</v>
      </c>
    </row>
    <row r="1131" spans="1:9" ht="15" customHeight="1" x14ac:dyDescent="0.35">
      <c r="A1131" s="118">
        <v>12</v>
      </c>
      <c r="B1131" s="118" t="s">
        <v>271</v>
      </c>
      <c r="C1131" s="119" t="s">
        <v>2143</v>
      </c>
      <c r="D1131" s="119" t="s">
        <v>2144</v>
      </c>
      <c r="E1131" s="118" t="s">
        <v>2129</v>
      </c>
      <c r="F1131" s="119" t="s">
        <v>3662</v>
      </c>
      <c r="G1131" s="119" t="str">
        <f t="shared" si="34"/>
        <v>Mortadha BEN OUANES - Tunisia</v>
      </c>
      <c r="H1131" s="119" t="str">
        <f t="shared" si="35"/>
        <v>TUN12</v>
      </c>
      <c r="I1131" s="119" t="s">
        <v>3674</v>
      </c>
    </row>
    <row r="1132" spans="1:9" ht="15" customHeight="1" x14ac:dyDescent="0.35">
      <c r="A1132" s="118">
        <v>13</v>
      </c>
      <c r="B1132" s="118" t="s">
        <v>280</v>
      </c>
      <c r="C1132" s="119" t="s">
        <v>2145</v>
      </c>
      <c r="D1132" s="119" t="s">
        <v>2146</v>
      </c>
      <c r="E1132" s="118" t="s">
        <v>2129</v>
      </c>
      <c r="F1132" s="119" t="s">
        <v>3662</v>
      </c>
      <c r="G1132" s="119" t="str">
        <f t="shared" si="34"/>
        <v>Rani KHEDIRA - Tunisia</v>
      </c>
      <c r="H1132" s="119" t="str">
        <f t="shared" si="35"/>
        <v>TUN13</v>
      </c>
      <c r="I1132" s="119" t="s">
        <v>3675</v>
      </c>
    </row>
    <row r="1133" spans="1:9" ht="15" customHeight="1" x14ac:dyDescent="0.35">
      <c r="A1133" s="118">
        <v>14</v>
      </c>
      <c r="B1133" s="118" t="s">
        <v>280</v>
      </c>
      <c r="C1133" s="119" t="s">
        <v>2147</v>
      </c>
      <c r="D1133" s="119" t="s">
        <v>2079</v>
      </c>
      <c r="E1133" s="118" t="s">
        <v>2129</v>
      </c>
      <c r="F1133" s="119" t="s">
        <v>3662</v>
      </c>
      <c r="G1133" s="119" t="str">
        <f t="shared" si="34"/>
        <v>Khalil AYARI - Tunisia</v>
      </c>
      <c r="H1133" s="119" t="str">
        <f t="shared" si="35"/>
        <v>TUN14</v>
      </c>
      <c r="I1133" s="119" t="s">
        <v>3676</v>
      </c>
    </row>
    <row r="1134" spans="1:9" ht="15" customHeight="1" x14ac:dyDescent="0.35">
      <c r="A1134" s="118">
        <v>15</v>
      </c>
      <c r="B1134" s="118" t="s">
        <v>280</v>
      </c>
      <c r="C1134" s="119" t="s">
        <v>306</v>
      </c>
      <c r="D1134" s="119" t="s">
        <v>2148</v>
      </c>
      <c r="E1134" s="118" t="s">
        <v>2129</v>
      </c>
      <c r="F1134" s="119" t="s">
        <v>3662</v>
      </c>
      <c r="G1134" s="119" t="str">
        <f t="shared" si="34"/>
        <v>Mohamed HADJ MAHMOUD - Tunisia</v>
      </c>
      <c r="H1134" s="119" t="str">
        <f t="shared" si="35"/>
        <v>TUN15</v>
      </c>
      <c r="I1134" s="119" t="s">
        <v>3677</v>
      </c>
    </row>
    <row r="1135" spans="1:9" ht="15" customHeight="1" x14ac:dyDescent="0.35">
      <c r="A1135" s="118">
        <v>16</v>
      </c>
      <c r="B1135" s="118" t="s">
        <v>267</v>
      </c>
      <c r="C1135" s="119" t="s">
        <v>1344</v>
      </c>
      <c r="D1135" s="119" t="s">
        <v>2149</v>
      </c>
      <c r="E1135" s="118" t="s">
        <v>2129</v>
      </c>
      <c r="F1135" s="119" t="s">
        <v>3662</v>
      </c>
      <c r="G1135" s="119" t="str">
        <f t="shared" si="34"/>
        <v>Aymen DAHMEN - Tunisia</v>
      </c>
      <c r="H1135" s="119" t="str">
        <f t="shared" si="35"/>
        <v>TUN16</v>
      </c>
      <c r="I1135" s="119" t="s">
        <v>3678</v>
      </c>
    </row>
    <row r="1136" spans="1:9" ht="15" customHeight="1" x14ac:dyDescent="0.35">
      <c r="A1136" s="118">
        <v>17</v>
      </c>
      <c r="B1136" s="118" t="s">
        <v>280</v>
      </c>
      <c r="C1136" s="119" t="s">
        <v>2150</v>
      </c>
      <c r="D1136" s="119" t="s">
        <v>2151</v>
      </c>
      <c r="E1136" s="118" t="s">
        <v>2129</v>
      </c>
      <c r="F1136" s="119" t="s">
        <v>3662</v>
      </c>
      <c r="G1136" s="119" t="str">
        <f t="shared" si="34"/>
        <v>Ellyes SKHIRI - Tunisia</v>
      </c>
      <c r="H1136" s="119" t="str">
        <f t="shared" si="35"/>
        <v>TUN17</v>
      </c>
      <c r="I1136" s="119" t="s">
        <v>3679</v>
      </c>
    </row>
    <row r="1137" spans="1:9" ht="15" customHeight="1" x14ac:dyDescent="0.35">
      <c r="A1137" s="118">
        <v>18</v>
      </c>
      <c r="B1137" s="118" t="s">
        <v>283</v>
      </c>
      <c r="C1137" s="119" t="s">
        <v>300</v>
      </c>
      <c r="D1137" s="119" t="s">
        <v>2152</v>
      </c>
      <c r="E1137" s="118" t="s">
        <v>2129</v>
      </c>
      <c r="F1137" s="119" t="s">
        <v>3662</v>
      </c>
      <c r="G1137" s="119" t="str">
        <f t="shared" si="34"/>
        <v>Rayan ELLOUMI - Tunisia</v>
      </c>
      <c r="H1137" s="119" t="str">
        <f t="shared" si="35"/>
        <v>TUN18</v>
      </c>
      <c r="I1137" s="119" t="s">
        <v>3680</v>
      </c>
    </row>
    <row r="1138" spans="1:9" ht="15" customHeight="1" x14ac:dyDescent="0.35">
      <c r="A1138" s="118">
        <v>19</v>
      </c>
      <c r="B1138" s="118" t="s">
        <v>283</v>
      </c>
      <c r="C1138" s="119" t="s">
        <v>2153</v>
      </c>
      <c r="D1138" s="119" t="s">
        <v>2154</v>
      </c>
      <c r="E1138" s="118" t="s">
        <v>2129</v>
      </c>
      <c r="F1138" s="119" t="s">
        <v>3662</v>
      </c>
      <c r="G1138" s="119" t="str">
        <f t="shared" si="34"/>
        <v>Firas CHAOUAT - Tunisia</v>
      </c>
      <c r="H1138" s="119" t="str">
        <f t="shared" si="35"/>
        <v>TUN19</v>
      </c>
      <c r="I1138" s="119" t="s">
        <v>3681</v>
      </c>
    </row>
    <row r="1139" spans="1:9" ht="15" customHeight="1" x14ac:dyDescent="0.35">
      <c r="A1139" s="118">
        <v>20</v>
      </c>
      <c r="B1139" s="118" t="s">
        <v>271</v>
      </c>
      <c r="C1139" s="119" t="s">
        <v>815</v>
      </c>
      <c r="D1139" s="119" t="s">
        <v>2155</v>
      </c>
      <c r="E1139" s="118" t="s">
        <v>2129</v>
      </c>
      <c r="F1139" s="119" t="s">
        <v>3662</v>
      </c>
      <c r="G1139" s="119" t="str">
        <f t="shared" si="34"/>
        <v>Yan VALERY - Tunisia</v>
      </c>
      <c r="H1139" s="119" t="str">
        <f t="shared" si="35"/>
        <v>TUN20</v>
      </c>
      <c r="I1139" s="119" t="s">
        <v>3682</v>
      </c>
    </row>
    <row r="1140" spans="1:9" ht="15" customHeight="1" x14ac:dyDescent="0.35">
      <c r="A1140" s="118">
        <v>21</v>
      </c>
      <c r="B1140" s="118" t="s">
        <v>271</v>
      </c>
      <c r="C1140" s="119" t="s">
        <v>276</v>
      </c>
      <c r="D1140" s="119" t="s">
        <v>2156</v>
      </c>
      <c r="E1140" s="118" t="s">
        <v>2129</v>
      </c>
      <c r="F1140" s="119" t="s">
        <v>3662</v>
      </c>
      <c r="G1140" s="119" t="str">
        <f t="shared" si="34"/>
        <v>Mohamed Amine BEN HMIDA - Tunisia</v>
      </c>
      <c r="H1140" s="119" t="str">
        <f t="shared" si="35"/>
        <v>TUN21</v>
      </c>
      <c r="I1140" s="119" t="s">
        <v>3683</v>
      </c>
    </row>
    <row r="1141" spans="1:9" ht="15" customHeight="1" x14ac:dyDescent="0.35">
      <c r="A1141" s="118">
        <v>22</v>
      </c>
      <c r="B1141" s="118" t="s">
        <v>267</v>
      </c>
      <c r="C1141" s="119" t="s">
        <v>2157</v>
      </c>
      <c r="D1141" s="119" t="s">
        <v>2158</v>
      </c>
      <c r="E1141" s="118" t="s">
        <v>2129</v>
      </c>
      <c r="F1141" s="119" t="s">
        <v>3662</v>
      </c>
      <c r="G1141" s="119" t="str">
        <f t="shared" si="34"/>
        <v>Sabri BEN HESSEN - Tunisia</v>
      </c>
      <c r="H1141" s="119" t="str">
        <f t="shared" si="35"/>
        <v>TUN22</v>
      </c>
      <c r="I1141" s="119" t="s">
        <v>3684</v>
      </c>
    </row>
    <row r="1142" spans="1:9" ht="15" customHeight="1" x14ac:dyDescent="0.35">
      <c r="A1142" s="118">
        <v>23</v>
      </c>
      <c r="B1142" s="118" t="s">
        <v>271</v>
      </c>
      <c r="C1142" s="119" t="s">
        <v>2159</v>
      </c>
      <c r="D1142" s="119" t="s">
        <v>2160</v>
      </c>
      <c r="E1142" s="118" t="s">
        <v>2129</v>
      </c>
      <c r="F1142" s="119" t="s">
        <v>3662</v>
      </c>
      <c r="G1142" s="119" t="str">
        <f t="shared" si="34"/>
        <v>Moutaz NEFFATI - Tunisia</v>
      </c>
      <c r="H1142" s="119" t="str">
        <f t="shared" si="35"/>
        <v>TUN23</v>
      </c>
      <c r="I1142" s="119" t="s">
        <v>3685</v>
      </c>
    </row>
    <row r="1143" spans="1:9" ht="15" customHeight="1" x14ac:dyDescent="0.35">
      <c r="A1143" s="118">
        <v>24</v>
      </c>
      <c r="B1143" s="118" t="s">
        <v>271</v>
      </c>
      <c r="C1143" s="119" t="s">
        <v>2161</v>
      </c>
      <c r="D1143" s="119" t="s">
        <v>2162</v>
      </c>
      <c r="E1143" s="118" t="s">
        <v>2129</v>
      </c>
      <c r="F1143" s="119" t="s">
        <v>3662</v>
      </c>
      <c r="G1143" s="119" t="str">
        <f t="shared" si="34"/>
        <v>Raed CHIKHAOUI - Tunisia</v>
      </c>
      <c r="H1143" s="119" t="str">
        <f t="shared" si="35"/>
        <v>TUN24</v>
      </c>
      <c r="I1143" s="119" t="s">
        <v>3686</v>
      </c>
    </row>
    <row r="1144" spans="1:9" ht="15" customHeight="1" x14ac:dyDescent="0.35">
      <c r="A1144" s="118">
        <v>25</v>
      </c>
      <c r="B1144" s="118" t="s">
        <v>280</v>
      </c>
      <c r="C1144" s="119" t="s">
        <v>292</v>
      </c>
      <c r="D1144" s="119" t="s">
        <v>2163</v>
      </c>
      <c r="E1144" s="118" t="s">
        <v>2129</v>
      </c>
      <c r="F1144" s="119" t="s">
        <v>3662</v>
      </c>
      <c r="G1144" s="119" t="str">
        <f t="shared" si="34"/>
        <v>Anis SLIMANE - Tunisia</v>
      </c>
      <c r="H1144" s="119" t="str">
        <f t="shared" si="35"/>
        <v>TUN25</v>
      </c>
      <c r="I1144" s="119" t="s">
        <v>3687</v>
      </c>
    </row>
    <row r="1145" spans="1:9" ht="15" customHeight="1" x14ac:dyDescent="0.35">
      <c r="A1145" s="118">
        <v>26</v>
      </c>
      <c r="B1145" s="118" t="s">
        <v>280</v>
      </c>
      <c r="C1145" s="119" t="s">
        <v>2164</v>
      </c>
      <c r="D1145" s="119" t="s">
        <v>2165</v>
      </c>
      <c r="E1145" s="118" t="s">
        <v>2129</v>
      </c>
      <c r="F1145" s="119" t="s">
        <v>3662</v>
      </c>
      <c r="G1145" s="119" t="str">
        <f t="shared" si="34"/>
        <v>Sebastian TOUNEKTI - Tunisia</v>
      </c>
      <c r="H1145" s="119" t="str">
        <f t="shared" si="35"/>
        <v>TUN26</v>
      </c>
      <c r="I1145" s="119" t="s">
        <v>3688</v>
      </c>
    </row>
    <row r="1146" spans="1:9" ht="15" customHeight="1" x14ac:dyDescent="0.35">
      <c r="A1146" s="120">
        <v>1</v>
      </c>
      <c r="B1146" s="120" t="s">
        <v>267</v>
      </c>
      <c r="C1146" s="121" t="s">
        <v>2166</v>
      </c>
      <c r="D1146" s="121" t="s">
        <v>2167</v>
      </c>
      <c r="E1146" s="120" t="s">
        <v>2168</v>
      </c>
      <c r="F1146" s="121" t="s">
        <v>3689</v>
      </c>
      <c r="G1146" s="121" t="str">
        <f t="shared" si="34"/>
        <v>Mert GUNOK - Türkiye</v>
      </c>
      <c r="H1146" s="121" t="str">
        <f t="shared" si="35"/>
        <v>TUR1</v>
      </c>
      <c r="I1146" s="121" t="s">
        <v>3690</v>
      </c>
    </row>
    <row r="1147" spans="1:9" ht="15" customHeight="1" x14ac:dyDescent="0.35">
      <c r="A1147" s="120">
        <v>2</v>
      </c>
      <c r="B1147" s="120" t="s">
        <v>271</v>
      </c>
      <c r="C1147" s="121" t="s">
        <v>2121</v>
      </c>
      <c r="D1147" s="121" t="s">
        <v>552</v>
      </c>
      <c r="E1147" s="120" t="s">
        <v>2168</v>
      </c>
      <c r="F1147" s="121" t="s">
        <v>3689</v>
      </c>
      <c r="G1147" s="121" t="str">
        <f t="shared" si="34"/>
        <v>Zeki CELIK - Türkiye</v>
      </c>
      <c r="H1147" s="121" t="str">
        <f t="shared" si="35"/>
        <v>TUR2</v>
      </c>
      <c r="I1147" s="121" t="s">
        <v>3691</v>
      </c>
    </row>
    <row r="1148" spans="1:9" ht="15" customHeight="1" x14ac:dyDescent="0.35">
      <c r="A1148" s="120">
        <v>3</v>
      </c>
      <c r="B1148" s="120" t="s">
        <v>271</v>
      </c>
      <c r="C1148" s="121" t="s">
        <v>2169</v>
      </c>
      <c r="D1148" s="121" t="s">
        <v>2170</v>
      </c>
      <c r="E1148" s="120" t="s">
        <v>2168</v>
      </c>
      <c r="F1148" s="121" t="s">
        <v>3689</v>
      </c>
      <c r="G1148" s="121" t="str">
        <f t="shared" si="34"/>
        <v>Merih DEMIRAL - Türkiye</v>
      </c>
      <c r="H1148" s="121" t="str">
        <f t="shared" si="35"/>
        <v>TUR3</v>
      </c>
      <c r="I1148" s="121" t="s">
        <v>3692</v>
      </c>
    </row>
    <row r="1149" spans="1:9" ht="15" customHeight="1" x14ac:dyDescent="0.35">
      <c r="A1149" s="120">
        <v>4</v>
      </c>
      <c r="B1149" s="120" t="s">
        <v>271</v>
      </c>
      <c r="C1149" s="121" t="s">
        <v>2171</v>
      </c>
      <c r="D1149" s="121" t="s">
        <v>2172</v>
      </c>
      <c r="E1149" s="120" t="s">
        <v>2168</v>
      </c>
      <c r="F1149" s="121" t="s">
        <v>3689</v>
      </c>
      <c r="G1149" s="121" t="str">
        <f t="shared" si="34"/>
        <v>Caglar SOYUNCU - Türkiye</v>
      </c>
      <c r="H1149" s="121" t="str">
        <f t="shared" si="35"/>
        <v>TUR4</v>
      </c>
      <c r="I1149" s="121" t="s">
        <v>3693</v>
      </c>
    </row>
    <row r="1150" spans="1:9" ht="15" customHeight="1" x14ac:dyDescent="0.35">
      <c r="A1150" s="120">
        <v>5</v>
      </c>
      <c r="B1150" s="120" t="s">
        <v>280</v>
      </c>
      <c r="C1150" s="121" t="s">
        <v>2173</v>
      </c>
      <c r="D1150" s="121" t="s">
        <v>2174</v>
      </c>
      <c r="E1150" s="120" t="s">
        <v>2168</v>
      </c>
      <c r="F1150" s="121" t="s">
        <v>3689</v>
      </c>
      <c r="G1150" s="121" t="str">
        <f t="shared" si="34"/>
        <v>Salih OZCAN - Türkiye</v>
      </c>
      <c r="H1150" s="121" t="str">
        <f t="shared" si="35"/>
        <v>TUR5</v>
      </c>
      <c r="I1150" s="121" t="s">
        <v>3694</v>
      </c>
    </row>
    <row r="1151" spans="1:9" ht="15" customHeight="1" x14ac:dyDescent="0.35">
      <c r="A1151" s="120">
        <v>6</v>
      </c>
      <c r="B1151" s="120" t="s">
        <v>280</v>
      </c>
      <c r="C1151" s="121" t="s">
        <v>2175</v>
      </c>
      <c r="D1151" s="121" t="s">
        <v>2176</v>
      </c>
      <c r="E1151" s="120" t="s">
        <v>2168</v>
      </c>
      <c r="F1151" s="121" t="s">
        <v>3689</v>
      </c>
      <c r="G1151" s="121" t="str">
        <f t="shared" si="34"/>
        <v>Orkun KOKCU - Türkiye</v>
      </c>
      <c r="H1151" s="121" t="str">
        <f t="shared" si="35"/>
        <v>TUR6</v>
      </c>
      <c r="I1151" s="121" t="s">
        <v>3695</v>
      </c>
    </row>
    <row r="1152" spans="1:9" ht="15" customHeight="1" x14ac:dyDescent="0.35">
      <c r="A1152" s="120">
        <v>7</v>
      </c>
      <c r="B1152" s="120" t="s">
        <v>283</v>
      </c>
      <c r="C1152" s="121" t="s">
        <v>2177</v>
      </c>
      <c r="D1152" s="121" t="s">
        <v>2178</v>
      </c>
      <c r="E1152" s="120" t="s">
        <v>2168</v>
      </c>
      <c r="F1152" s="121" t="s">
        <v>3689</v>
      </c>
      <c r="G1152" s="121" t="str">
        <f t="shared" si="34"/>
        <v>Kerem AKTURKOGLU - Türkiye</v>
      </c>
      <c r="H1152" s="121" t="str">
        <f t="shared" si="35"/>
        <v>TUR7</v>
      </c>
      <c r="I1152" s="121" t="s">
        <v>3696</v>
      </c>
    </row>
    <row r="1153" spans="1:9" ht="15" customHeight="1" x14ac:dyDescent="0.35">
      <c r="A1153" s="120">
        <v>8</v>
      </c>
      <c r="B1153" s="120" t="s">
        <v>283</v>
      </c>
      <c r="C1153" s="121" t="s">
        <v>2179</v>
      </c>
      <c r="D1153" s="121" t="s">
        <v>2180</v>
      </c>
      <c r="E1153" s="120" t="s">
        <v>2168</v>
      </c>
      <c r="F1153" s="121" t="s">
        <v>3689</v>
      </c>
      <c r="G1153" s="121" t="str">
        <f t="shared" si="34"/>
        <v>Arda GULER - Türkiye</v>
      </c>
      <c r="H1153" s="121" t="str">
        <f t="shared" si="35"/>
        <v>TUR8</v>
      </c>
      <c r="I1153" s="121" t="s">
        <v>3697</v>
      </c>
    </row>
    <row r="1154" spans="1:9" ht="15" customHeight="1" x14ac:dyDescent="0.35">
      <c r="A1154" s="120">
        <v>9</v>
      </c>
      <c r="B1154" s="120" t="s">
        <v>283</v>
      </c>
      <c r="C1154" s="121" t="s">
        <v>1177</v>
      </c>
      <c r="D1154" s="121" t="s">
        <v>2181</v>
      </c>
      <c r="E1154" s="120" t="s">
        <v>2168</v>
      </c>
      <c r="F1154" s="121" t="s">
        <v>3689</v>
      </c>
      <c r="G1154" s="121" t="str">
        <f t="shared" si="34"/>
        <v>Deniz GUL - Türkiye</v>
      </c>
      <c r="H1154" s="121" t="str">
        <f t="shared" si="35"/>
        <v>TUR9</v>
      </c>
      <c r="I1154" s="121" t="s">
        <v>3698</v>
      </c>
    </row>
    <row r="1155" spans="1:9" ht="15" customHeight="1" x14ac:dyDescent="0.35">
      <c r="A1155" s="120">
        <v>10</v>
      </c>
      <c r="B1155" s="120" t="s">
        <v>280</v>
      </c>
      <c r="C1155" s="121" t="s">
        <v>2182</v>
      </c>
      <c r="D1155" s="121" t="s">
        <v>2183</v>
      </c>
      <c r="E1155" s="120" t="s">
        <v>2168</v>
      </c>
      <c r="F1155" s="121" t="s">
        <v>3689</v>
      </c>
      <c r="G1155" s="121" t="str">
        <f t="shared" ref="G1155:G1218" si="36">_xlfn.CONCAT(C1155, " ",D1155, " - ",F1155)</f>
        <v>Hakan CALHANOGLU - Türkiye</v>
      </c>
      <c r="H1155" s="121" t="str">
        <f t="shared" ref="H1155:H1218" si="37">_xlfn.CONCAT(E1155,A1155)</f>
        <v>TUR10</v>
      </c>
      <c r="I1155" s="121" t="s">
        <v>3699</v>
      </c>
    </row>
    <row r="1156" spans="1:9" ht="15" customHeight="1" x14ac:dyDescent="0.35">
      <c r="A1156" s="120">
        <v>11</v>
      </c>
      <c r="B1156" s="120" t="s">
        <v>283</v>
      </c>
      <c r="C1156" s="121" t="s">
        <v>2184</v>
      </c>
      <c r="D1156" s="121" t="s">
        <v>2185</v>
      </c>
      <c r="E1156" s="120" t="s">
        <v>2168</v>
      </c>
      <c r="F1156" s="121" t="s">
        <v>3689</v>
      </c>
      <c r="G1156" s="121" t="str">
        <f t="shared" si="36"/>
        <v>Kenan YILDIZ - Türkiye</v>
      </c>
      <c r="H1156" s="121" t="str">
        <f t="shared" si="37"/>
        <v>TUR11</v>
      </c>
      <c r="I1156" s="121" t="s">
        <v>3700</v>
      </c>
    </row>
    <row r="1157" spans="1:9" ht="15" customHeight="1" x14ac:dyDescent="0.35">
      <c r="A1157" s="120">
        <v>12</v>
      </c>
      <c r="B1157" s="120" t="s">
        <v>267</v>
      </c>
      <c r="C1157" s="121" t="s">
        <v>2186</v>
      </c>
      <c r="D1157" s="121" t="s">
        <v>2187</v>
      </c>
      <c r="E1157" s="120" t="s">
        <v>2168</v>
      </c>
      <c r="F1157" s="121" t="s">
        <v>3689</v>
      </c>
      <c r="G1157" s="121" t="str">
        <f t="shared" si="36"/>
        <v>Altay BAYINDIR - Türkiye</v>
      </c>
      <c r="H1157" s="121" t="str">
        <f t="shared" si="37"/>
        <v>TUR12</v>
      </c>
      <c r="I1157" s="121" t="s">
        <v>3701</v>
      </c>
    </row>
    <row r="1158" spans="1:9" ht="15" customHeight="1" x14ac:dyDescent="0.35">
      <c r="A1158" s="120">
        <v>13</v>
      </c>
      <c r="B1158" s="120" t="s">
        <v>271</v>
      </c>
      <c r="C1158" s="121" t="s">
        <v>2188</v>
      </c>
      <c r="D1158" s="121" t="s">
        <v>2189</v>
      </c>
      <c r="E1158" s="120" t="s">
        <v>2168</v>
      </c>
      <c r="F1158" s="121" t="s">
        <v>3689</v>
      </c>
      <c r="G1158" s="121" t="str">
        <f t="shared" si="36"/>
        <v>Eren ELMALI - Türkiye</v>
      </c>
      <c r="H1158" s="121" t="str">
        <f t="shared" si="37"/>
        <v>TUR13</v>
      </c>
      <c r="I1158" s="121" t="s">
        <v>3702</v>
      </c>
    </row>
    <row r="1159" spans="1:9" ht="15" customHeight="1" x14ac:dyDescent="0.35">
      <c r="A1159" s="120">
        <v>14</v>
      </c>
      <c r="B1159" s="120" t="s">
        <v>271</v>
      </c>
      <c r="C1159" s="121" t="s">
        <v>2190</v>
      </c>
      <c r="D1159" s="121" t="s">
        <v>2191</v>
      </c>
      <c r="E1159" s="120" t="s">
        <v>2168</v>
      </c>
      <c r="F1159" s="121" t="s">
        <v>3689</v>
      </c>
      <c r="G1159" s="121" t="str">
        <f t="shared" si="36"/>
        <v>Abdulkerim BARDAKCI - Türkiye</v>
      </c>
      <c r="H1159" s="121" t="str">
        <f t="shared" si="37"/>
        <v>TUR14</v>
      </c>
      <c r="I1159" s="121" t="s">
        <v>3703</v>
      </c>
    </row>
    <row r="1160" spans="1:9" ht="15" customHeight="1" x14ac:dyDescent="0.35">
      <c r="A1160" s="120">
        <v>15</v>
      </c>
      <c r="B1160" s="120" t="s">
        <v>271</v>
      </c>
      <c r="C1160" s="121" t="s">
        <v>2192</v>
      </c>
      <c r="D1160" s="121" t="s">
        <v>2193</v>
      </c>
      <c r="E1160" s="120" t="s">
        <v>2168</v>
      </c>
      <c r="F1160" s="121" t="s">
        <v>3689</v>
      </c>
      <c r="G1160" s="121" t="str">
        <f t="shared" si="36"/>
        <v>Ozan KABAK - Türkiye</v>
      </c>
      <c r="H1160" s="121" t="str">
        <f t="shared" si="37"/>
        <v>TUR15</v>
      </c>
      <c r="I1160" s="121" t="s">
        <v>3704</v>
      </c>
    </row>
    <row r="1161" spans="1:9" ht="15" customHeight="1" x14ac:dyDescent="0.35">
      <c r="A1161" s="120">
        <v>16</v>
      </c>
      <c r="B1161" s="120" t="s">
        <v>280</v>
      </c>
      <c r="C1161" s="121" t="s">
        <v>1951</v>
      </c>
      <c r="D1161" s="121" t="s">
        <v>2194</v>
      </c>
      <c r="E1161" s="120" t="s">
        <v>2168</v>
      </c>
      <c r="F1161" s="121" t="s">
        <v>3689</v>
      </c>
      <c r="G1161" s="121" t="str">
        <f t="shared" si="36"/>
        <v>Ismail YUKSEK - Türkiye</v>
      </c>
      <c r="H1161" s="121" t="str">
        <f t="shared" si="37"/>
        <v>TUR16</v>
      </c>
      <c r="I1161" s="121" t="s">
        <v>3705</v>
      </c>
    </row>
    <row r="1162" spans="1:9" ht="15" customHeight="1" x14ac:dyDescent="0.35">
      <c r="A1162" s="120">
        <v>17</v>
      </c>
      <c r="B1162" s="120" t="s">
        <v>283</v>
      </c>
      <c r="C1162" s="121" t="s">
        <v>2195</v>
      </c>
      <c r="D1162" s="121" t="s">
        <v>2196</v>
      </c>
      <c r="E1162" s="120" t="s">
        <v>2168</v>
      </c>
      <c r="F1162" s="121" t="s">
        <v>3689</v>
      </c>
      <c r="G1162" s="121" t="str">
        <f t="shared" si="36"/>
        <v>Irfan Can KAHVECI - Türkiye</v>
      </c>
      <c r="H1162" s="121" t="str">
        <f t="shared" si="37"/>
        <v>TUR17</v>
      </c>
      <c r="I1162" s="121" t="s">
        <v>3706</v>
      </c>
    </row>
    <row r="1163" spans="1:9" ht="15" customHeight="1" x14ac:dyDescent="0.35">
      <c r="A1163" s="120">
        <v>18</v>
      </c>
      <c r="B1163" s="120" t="s">
        <v>271</v>
      </c>
      <c r="C1163" s="121" t="s">
        <v>2166</v>
      </c>
      <c r="D1163" s="121" t="s">
        <v>2197</v>
      </c>
      <c r="E1163" s="120" t="s">
        <v>2168</v>
      </c>
      <c r="F1163" s="121" t="s">
        <v>3689</v>
      </c>
      <c r="G1163" s="121" t="str">
        <f t="shared" si="36"/>
        <v>Mert MULDUR - Türkiye</v>
      </c>
      <c r="H1163" s="121" t="str">
        <f t="shared" si="37"/>
        <v>TUR18</v>
      </c>
      <c r="I1163" s="121" t="s">
        <v>3707</v>
      </c>
    </row>
    <row r="1164" spans="1:9" ht="15" customHeight="1" x14ac:dyDescent="0.35">
      <c r="A1164" s="120">
        <v>19</v>
      </c>
      <c r="B1164" s="120" t="s">
        <v>283</v>
      </c>
      <c r="C1164" s="121" t="s">
        <v>2198</v>
      </c>
      <c r="D1164" s="121" t="s">
        <v>2199</v>
      </c>
      <c r="E1164" s="120" t="s">
        <v>2168</v>
      </c>
      <c r="F1164" s="121" t="s">
        <v>3689</v>
      </c>
      <c r="G1164" s="121" t="str">
        <f t="shared" si="36"/>
        <v>Yunus AKGUN - Türkiye</v>
      </c>
      <c r="H1164" s="121" t="str">
        <f t="shared" si="37"/>
        <v>TUR19</v>
      </c>
      <c r="I1164" s="121" t="s">
        <v>3708</v>
      </c>
    </row>
    <row r="1165" spans="1:9" ht="15" customHeight="1" x14ac:dyDescent="0.35">
      <c r="A1165" s="120">
        <v>20</v>
      </c>
      <c r="B1165" s="120" t="s">
        <v>271</v>
      </c>
      <c r="C1165" s="121" t="s">
        <v>2200</v>
      </c>
      <c r="D1165" s="121" t="s">
        <v>2201</v>
      </c>
      <c r="E1165" s="120" t="s">
        <v>2168</v>
      </c>
      <c r="F1165" s="121" t="s">
        <v>3689</v>
      </c>
      <c r="G1165" s="121" t="str">
        <f t="shared" si="36"/>
        <v>Ferdi KADIOGLU - Türkiye</v>
      </c>
      <c r="H1165" s="121" t="str">
        <f t="shared" si="37"/>
        <v>TUR20</v>
      </c>
      <c r="I1165" s="121" t="s">
        <v>3709</v>
      </c>
    </row>
    <row r="1166" spans="1:9" ht="15" customHeight="1" x14ac:dyDescent="0.35">
      <c r="A1166" s="120">
        <v>21</v>
      </c>
      <c r="B1166" s="120" t="s">
        <v>283</v>
      </c>
      <c r="C1166" s="121" t="s">
        <v>2202</v>
      </c>
      <c r="D1166" s="121" t="s">
        <v>2203</v>
      </c>
      <c r="E1166" s="120" t="s">
        <v>2168</v>
      </c>
      <c r="F1166" s="121" t="s">
        <v>3689</v>
      </c>
      <c r="G1166" s="121" t="str">
        <f t="shared" si="36"/>
        <v>Baris Alper YILMAZ - Türkiye</v>
      </c>
      <c r="H1166" s="121" t="str">
        <f t="shared" si="37"/>
        <v>TUR21</v>
      </c>
      <c r="I1166" s="121" t="s">
        <v>3710</v>
      </c>
    </row>
    <row r="1167" spans="1:9" ht="15" customHeight="1" x14ac:dyDescent="0.35">
      <c r="A1167" s="120">
        <v>22</v>
      </c>
      <c r="B1167" s="120" t="s">
        <v>280</v>
      </c>
      <c r="C1167" s="121" t="s">
        <v>2204</v>
      </c>
      <c r="D1167" s="121" t="s">
        <v>2205</v>
      </c>
      <c r="E1167" s="120" t="s">
        <v>2168</v>
      </c>
      <c r="F1167" s="121" t="s">
        <v>3689</v>
      </c>
      <c r="G1167" s="121" t="str">
        <f t="shared" si="36"/>
        <v>Kaan AYHAN - Türkiye</v>
      </c>
      <c r="H1167" s="121" t="str">
        <f t="shared" si="37"/>
        <v>TUR22</v>
      </c>
      <c r="I1167" s="121" t="s">
        <v>3711</v>
      </c>
    </row>
    <row r="1168" spans="1:9" ht="15" customHeight="1" x14ac:dyDescent="0.35">
      <c r="A1168" s="120">
        <v>23</v>
      </c>
      <c r="B1168" s="120" t="s">
        <v>267</v>
      </c>
      <c r="C1168" s="121" t="s">
        <v>2206</v>
      </c>
      <c r="D1168" s="121" t="s">
        <v>2207</v>
      </c>
      <c r="E1168" s="120" t="s">
        <v>2168</v>
      </c>
      <c r="F1168" s="121" t="s">
        <v>3689</v>
      </c>
      <c r="G1168" s="121" t="str">
        <f t="shared" si="36"/>
        <v>Ugurcan CAKIR - Türkiye</v>
      </c>
      <c r="H1168" s="121" t="str">
        <f t="shared" si="37"/>
        <v>TUR23</v>
      </c>
      <c r="I1168" s="121" t="s">
        <v>3712</v>
      </c>
    </row>
    <row r="1169" spans="1:9" ht="15" customHeight="1" x14ac:dyDescent="0.35">
      <c r="A1169" s="120">
        <v>24</v>
      </c>
      <c r="B1169" s="120" t="s">
        <v>283</v>
      </c>
      <c r="C1169" s="121" t="s">
        <v>2208</v>
      </c>
      <c r="D1169" s="121" t="s">
        <v>2209</v>
      </c>
      <c r="E1169" s="120" t="s">
        <v>2168</v>
      </c>
      <c r="F1169" s="121" t="s">
        <v>3689</v>
      </c>
      <c r="G1169" s="121" t="str">
        <f t="shared" si="36"/>
        <v>Oguz AYDIN - Türkiye</v>
      </c>
      <c r="H1169" s="121" t="str">
        <f t="shared" si="37"/>
        <v>TUR24</v>
      </c>
      <c r="I1169" s="121" t="s">
        <v>3713</v>
      </c>
    </row>
    <row r="1170" spans="1:9" ht="15" customHeight="1" x14ac:dyDescent="0.35">
      <c r="A1170" s="120">
        <v>25</v>
      </c>
      <c r="B1170" s="120" t="s">
        <v>271</v>
      </c>
      <c r="C1170" s="121" t="s">
        <v>2210</v>
      </c>
      <c r="D1170" s="121" t="s">
        <v>2211</v>
      </c>
      <c r="E1170" s="120" t="s">
        <v>2168</v>
      </c>
      <c r="F1170" s="121" t="s">
        <v>3689</v>
      </c>
      <c r="G1170" s="121" t="str">
        <f t="shared" si="36"/>
        <v>Samet AKAYDIN - Türkiye</v>
      </c>
      <c r="H1170" s="121" t="str">
        <f t="shared" si="37"/>
        <v>TUR25</v>
      </c>
      <c r="I1170" s="121" t="s">
        <v>3714</v>
      </c>
    </row>
    <row r="1171" spans="1:9" ht="15" customHeight="1" x14ac:dyDescent="0.35">
      <c r="A1171" s="120">
        <v>26</v>
      </c>
      <c r="B1171" s="120" t="s">
        <v>283</v>
      </c>
      <c r="C1171" s="121" t="s">
        <v>2212</v>
      </c>
      <c r="D1171" s="121" t="s">
        <v>2213</v>
      </c>
      <c r="E1171" s="120" t="s">
        <v>2168</v>
      </c>
      <c r="F1171" s="121" t="s">
        <v>3689</v>
      </c>
      <c r="G1171" s="121" t="str">
        <f t="shared" si="36"/>
        <v>Can UZUN - Türkiye</v>
      </c>
      <c r="H1171" s="121" t="str">
        <f t="shared" si="37"/>
        <v>TUR26</v>
      </c>
      <c r="I1171" s="121" t="s">
        <v>3715</v>
      </c>
    </row>
    <row r="1172" spans="1:9" ht="15" customHeight="1" x14ac:dyDescent="0.35">
      <c r="A1172" s="122">
        <v>1</v>
      </c>
      <c r="B1172" s="122" t="s">
        <v>267</v>
      </c>
      <c r="C1172" s="123" t="s">
        <v>2214</v>
      </c>
      <c r="D1172" s="123" t="s">
        <v>2215</v>
      </c>
      <c r="E1172" s="122" t="s">
        <v>2216</v>
      </c>
      <c r="F1172" s="123" t="s">
        <v>3716</v>
      </c>
      <c r="G1172" s="123" t="str">
        <f t="shared" si="36"/>
        <v>Sergio ROCHET - Uruguay</v>
      </c>
      <c r="H1172" s="123" t="str">
        <f t="shared" si="37"/>
        <v>URY1</v>
      </c>
      <c r="I1172" s="123" t="s">
        <v>3717</v>
      </c>
    </row>
    <row r="1173" spans="1:9" ht="15" customHeight="1" x14ac:dyDescent="0.35">
      <c r="A1173" s="122">
        <v>2</v>
      </c>
      <c r="B1173" s="122" t="s">
        <v>271</v>
      </c>
      <c r="C1173" s="123" t="s">
        <v>2217</v>
      </c>
      <c r="D1173" s="123" t="s">
        <v>1501</v>
      </c>
      <c r="E1173" s="122" t="s">
        <v>2216</v>
      </c>
      <c r="F1173" s="123" t="s">
        <v>3716</v>
      </c>
      <c r="G1173" s="123" t="str">
        <f t="shared" si="36"/>
        <v>Jose Maria GIMENEZ - Uruguay</v>
      </c>
      <c r="H1173" s="123" t="str">
        <f t="shared" si="37"/>
        <v>URY2</v>
      </c>
      <c r="I1173" s="123" t="s">
        <v>3718</v>
      </c>
    </row>
    <row r="1174" spans="1:9" ht="15" customHeight="1" x14ac:dyDescent="0.35">
      <c r="A1174" s="122">
        <v>3</v>
      </c>
      <c r="B1174" s="122" t="s">
        <v>271</v>
      </c>
      <c r="C1174" s="123" t="s">
        <v>2164</v>
      </c>
      <c r="D1174" s="123" t="s">
        <v>1739</v>
      </c>
      <c r="E1174" s="122" t="s">
        <v>2216</v>
      </c>
      <c r="F1174" s="123" t="s">
        <v>3716</v>
      </c>
      <c r="G1174" s="123" t="str">
        <f t="shared" si="36"/>
        <v>Sebastian CACERES - Uruguay</v>
      </c>
      <c r="H1174" s="123" t="str">
        <f t="shared" si="37"/>
        <v>URY3</v>
      </c>
      <c r="I1174" s="123" t="s">
        <v>3719</v>
      </c>
    </row>
    <row r="1175" spans="1:9" ht="15" customHeight="1" x14ac:dyDescent="0.35">
      <c r="A1175" s="122">
        <v>4</v>
      </c>
      <c r="B1175" s="122" t="s">
        <v>271</v>
      </c>
      <c r="C1175" s="123" t="s">
        <v>2218</v>
      </c>
      <c r="D1175" s="123" t="s">
        <v>1778</v>
      </c>
      <c r="E1175" s="122" t="s">
        <v>2216</v>
      </c>
      <c r="F1175" s="123" t="s">
        <v>3716</v>
      </c>
      <c r="G1175" s="123" t="str">
        <f t="shared" si="36"/>
        <v>Ronald ARAUJO - Uruguay</v>
      </c>
      <c r="H1175" s="123" t="str">
        <f t="shared" si="37"/>
        <v>URY4</v>
      </c>
      <c r="I1175" s="123" t="s">
        <v>3720</v>
      </c>
    </row>
    <row r="1176" spans="1:9" ht="15" customHeight="1" x14ac:dyDescent="0.35">
      <c r="A1176" s="122">
        <v>5</v>
      </c>
      <c r="B1176" s="122" t="s">
        <v>280</v>
      </c>
      <c r="C1176" s="123" t="s">
        <v>1137</v>
      </c>
      <c r="D1176" s="123" t="s">
        <v>2219</v>
      </c>
      <c r="E1176" s="122" t="s">
        <v>2216</v>
      </c>
      <c r="F1176" s="123" t="s">
        <v>3716</v>
      </c>
      <c r="G1176" s="123" t="str">
        <f t="shared" si="36"/>
        <v>Manuel UGARTE - Uruguay</v>
      </c>
      <c r="H1176" s="123" t="str">
        <f t="shared" si="37"/>
        <v>URY5</v>
      </c>
      <c r="I1176" s="123" t="s">
        <v>3721</v>
      </c>
    </row>
    <row r="1177" spans="1:9" ht="15" customHeight="1" x14ac:dyDescent="0.35">
      <c r="A1177" s="122">
        <v>6</v>
      </c>
      <c r="B1177" s="122" t="s">
        <v>280</v>
      </c>
      <c r="C1177" s="123" t="s">
        <v>334</v>
      </c>
      <c r="D1177" s="123" t="s">
        <v>2220</v>
      </c>
      <c r="E1177" s="122" t="s">
        <v>2216</v>
      </c>
      <c r="F1177" s="123" t="s">
        <v>3716</v>
      </c>
      <c r="G1177" s="123" t="str">
        <f t="shared" si="36"/>
        <v>Rodrigo BENTANCUR - Uruguay</v>
      </c>
      <c r="H1177" s="123" t="str">
        <f t="shared" si="37"/>
        <v>URY6</v>
      </c>
      <c r="I1177" s="123" t="s">
        <v>3722</v>
      </c>
    </row>
    <row r="1178" spans="1:9" ht="15" customHeight="1" x14ac:dyDescent="0.35">
      <c r="A1178" s="122">
        <v>7</v>
      </c>
      <c r="B1178" s="122" t="s">
        <v>280</v>
      </c>
      <c r="C1178" s="123" t="s">
        <v>326</v>
      </c>
      <c r="D1178" s="123" t="s">
        <v>2221</v>
      </c>
      <c r="E1178" s="122" t="s">
        <v>2216</v>
      </c>
      <c r="F1178" s="123" t="s">
        <v>3716</v>
      </c>
      <c r="G1178" s="123" t="str">
        <f t="shared" si="36"/>
        <v>Nicolas DE LA CRUZ - Uruguay</v>
      </c>
      <c r="H1178" s="123" t="str">
        <f t="shared" si="37"/>
        <v>URY7</v>
      </c>
      <c r="I1178" s="123" t="s">
        <v>3723</v>
      </c>
    </row>
    <row r="1179" spans="1:9" ht="15" customHeight="1" x14ac:dyDescent="0.35">
      <c r="A1179" s="122">
        <v>8</v>
      </c>
      <c r="B1179" s="122" t="s">
        <v>280</v>
      </c>
      <c r="C1179" s="123" t="s">
        <v>2222</v>
      </c>
      <c r="D1179" s="123" t="s">
        <v>2223</v>
      </c>
      <c r="E1179" s="122" t="s">
        <v>2216</v>
      </c>
      <c r="F1179" s="123" t="s">
        <v>3716</v>
      </c>
      <c r="G1179" s="123" t="str">
        <f t="shared" si="36"/>
        <v>Federico VALVERDE - Uruguay</v>
      </c>
      <c r="H1179" s="123" t="str">
        <f t="shared" si="37"/>
        <v>URY8</v>
      </c>
      <c r="I1179" s="123" t="s">
        <v>3724</v>
      </c>
    </row>
    <row r="1180" spans="1:9" ht="15" customHeight="1" x14ac:dyDescent="0.35">
      <c r="A1180" s="122">
        <v>9</v>
      </c>
      <c r="B1180" s="122" t="s">
        <v>283</v>
      </c>
      <c r="C1180" s="123" t="s">
        <v>2224</v>
      </c>
      <c r="D1180" s="123" t="s">
        <v>2225</v>
      </c>
      <c r="E1180" s="122" t="s">
        <v>2216</v>
      </c>
      <c r="F1180" s="123" t="s">
        <v>3716</v>
      </c>
      <c r="G1180" s="123" t="str">
        <f t="shared" si="36"/>
        <v>Darwin NUNEZ - Uruguay</v>
      </c>
      <c r="H1180" s="123" t="str">
        <f t="shared" si="37"/>
        <v>URY9</v>
      </c>
      <c r="I1180" s="123" t="s">
        <v>3725</v>
      </c>
    </row>
    <row r="1181" spans="1:9" ht="15" customHeight="1" x14ac:dyDescent="0.35">
      <c r="A1181" s="122">
        <v>10</v>
      </c>
      <c r="B1181" s="122" t="s">
        <v>280</v>
      </c>
      <c r="C1181" s="123" t="s">
        <v>2226</v>
      </c>
      <c r="D1181" s="123" t="s">
        <v>2227</v>
      </c>
      <c r="E1181" s="122" t="s">
        <v>2216</v>
      </c>
      <c r="F1181" s="123" t="s">
        <v>3716</v>
      </c>
      <c r="G1181" s="123" t="str">
        <f t="shared" si="36"/>
        <v>Giorgian DE ARRASCAETA - Uruguay</v>
      </c>
      <c r="H1181" s="123" t="str">
        <f t="shared" si="37"/>
        <v>URY10</v>
      </c>
      <c r="I1181" s="123" t="s">
        <v>3726</v>
      </c>
    </row>
    <row r="1182" spans="1:9" ht="15" customHeight="1" x14ac:dyDescent="0.35">
      <c r="A1182" s="122">
        <v>11</v>
      </c>
      <c r="B1182" s="122" t="s">
        <v>283</v>
      </c>
      <c r="C1182" s="123" t="s">
        <v>366</v>
      </c>
      <c r="D1182" s="123" t="s">
        <v>2228</v>
      </c>
      <c r="E1182" s="122" t="s">
        <v>2216</v>
      </c>
      <c r="F1182" s="123" t="s">
        <v>3716</v>
      </c>
      <c r="G1182" s="123" t="str">
        <f t="shared" si="36"/>
        <v>Facundo PELLISTRI - Uruguay</v>
      </c>
      <c r="H1182" s="123" t="str">
        <f t="shared" si="37"/>
        <v>URY11</v>
      </c>
      <c r="I1182" s="123" t="s">
        <v>3727</v>
      </c>
    </row>
    <row r="1183" spans="1:9" ht="15" customHeight="1" x14ac:dyDescent="0.35">
      <c r="A1183" s="122">
        <v>12</v>
      </c>
      <c r="B1183" s="122" t="s">
        <v>267</v>
      </c>
      <c r="C1183" s="123" t="s">
        <v>711</v>
      </c>
      <c r="D1183" s="123" t="s">
        <v>2229</v>
      </c>
      <c r="E1183" s="122" t="s">
        <v>2216</v>
      </c>
      <c r="F1183" s="123" t="s">
        <v>3716</v>
      </c>
      <c r="G1183" s="123" t="str">
        <f t="shared" si="36"/>
        <v>Santiago MELE - Uruguay</v>
      </c>
      <c r="H1183" s="123" t="str">
        <f t="shared" si="37"/>
        <v>URY12</v>
      </c>
      <c r="I1183" s="123" t="s">
        <v>3728</v>
      </c>
    </row>
    <row r="1184" spans="1:9" ht="15" customHeight="1" x14ac:dyDescent="0.35">
      <c r="A1184" s="122">
        <v>13</v>
      </c>
      <c r="B1184" s="122" t="s">
        <v>271</v>
      </c>
      <c r="C1184" s="123" t="s">
        <v>1504</v>
      </c>
      <c r="D1184" s="123" t="s">
        <v>2230</v>
      </c>
      <c r="E1184" s="122" t="s">
        <v>2216</v>
      </c>
      <c r="F1184" s="123" t="s">
        <v>3716</v>
      </c>
      <c r="G1184" s="123" t="str">
        <f t="shared" si="36"/>
        <v>Guillermo VARELA - Uruguay</v>
      </c>
      <c r="H1184" s="123" t="str">
        <f t="shared" si="37"/>
        <v>URY13</v>
      </c>
      <c r="I1184" s="123" t="s">
        <v>3729</v>
      </c>
    </row>
    <row r="1185" spans="1:9" ht="15" customHeight="1" x14ac:dyDescent="0.35">
      <c r="A1185" s="122">
        <v>14</v>
      </c>
      <c r="B1185" s="122" t="s">
        <v>280</v>
      </c>
      <c r="C1185" s="123" t="s">
        <v>2231</v>
      </c>
      <c r="D1185" s="123" t="s">
        <v>2232</v>
      </c>
      <c r="E1185" s="122" t="s">
        <v>2216</v>
      </c>
      <c r="F1185" s="123" t="s">
        <v>3716</v>
      </c>
      <c r="G1185" s="123" t="str">
        <f t="shared" si="36"/>
        <v>Agustin CANOBBIO - Uruguay</v>
      </c>
      <c r="H1185" s="123" t="str">
        <f t="shared" si="37"/>
        <v>URY14</v>
      </c>
      <c r="I1185" s="123" t="s">
        <v>3730</v>
      </c>
    </row>
    <row r="1186" spans="1:9" ht="15" customHeight="1" x14ac:dyDescent="0.35">
      <c r="A1186" s="122">
        <v>15</v>
      </c>
      <c r="B1186" s="122" t="s">
        <v>280</v>
      </c>
      <c r="C1186" s="123" t="s">
        <v>363</v>
      </c>
      <c r="D1186" s="123" t="s">
        <v>333</v>
      </c>
      <c r="E1186" s="122" t="s">
        <v>2216</v>
      </c>
      <c r="F1186" s="123" t="s">
        <v>3716</v>
      </c>
      <c r="G1186" s="123" t="str">
        <f t="shared" si="36"/>
        <v>Emiliano MARTINEZ - Uruguay</v>
      </c>
      <c r="H1186" s="123" t="str">
        <f t="shared" si="37"/>
        <v>URY15</v>
      </c>
      <c r="I1186" s="123" t="s">
        <v>3731</v>
      </c>
    </row>
    <row r="1187" spans="1:9" ht="15" customHeight="1" x14ac:dyDescent="0.35">
      <c r="A1187" s="122">
        <v>16</v>
      </c>
      <c r="B1187" s="122" t="s">
        <v>271</v>
      </c>
      <c r="C1187" s="123" t="s">
        <v>2233</v>
      </c>
      <c r="D1187" s="123" t="s">
        <v>2234</v>
      </c>
      <c r="E1187" s="122" t="s">
        <v>2216</v>
      </c>
      <c r="F1187" s="123" t="s">
        <v>3716</v>
      </c>
      <c r="G1187" s="123" t="str">
        <f t="shared" si="36"/>
        <v>Mathias OLIVERA - Uruguay</v>
      </c>
      <c r="H1187" s="123" t="str">
        <f t="shared" si="37"/>
        <v>URY16</v>
      </c>
      <c r="I1187" s="123" t="s">
        <v>3732</v>
      </c>
    </row>
    <row r="1188" spans="1:9" ht="15" customHeight="1" x14ac:dyDescent="0.35">
      <c r="A1188" s="122">
        <v>17</v>
      </c>
      <c r="B1188" s="122" t="s">
        <v>271</v>
      </c>
      <c r="C1188" s="123" t="s">
        <v>506</v>
      </c>
      <c r="D1188" s="123" t="s">
        <v>2235</v>
      </c>
      <c r="E1188" s="122" t="s">
        <v>2216</v>
      </c>
      <c r="F1188" s="123" t="s">
        <v>3716</v>
      </c>
      <c r="G1188" s="123" t="str">
        <f t="shared" si="36"/>
        <v>Matias VINA - Uruguay</v>
      </c>
      <c r="H1188" s="123" t="str">
        <f t="shared" si="37"/>
        <v>URY17</v>
      </c>
      <c r="I1188" s="123" t="s">
        <v>3733</v>
      </c>
    </row>
    <row r="1189" spans="1:9" ht="15" customHeight="1" x14ac:dyDescent="0.35">
      <c r="A1189" s="122">
        <v>18</v>
      </c>
      <c r="B1189" s="122" t="s">
        <v>283</v>
      </c>
      <c r="C1189" s="123" t="s">
        <v>765</v>
      </c>
      <c r="D1189" s="123" t="s">
        <v>722</v>
      </c>
      <c r="E1189" s="122" t="s">
        <v>2216</v>
      </c>
      <c r="F1189" s="123" t="s">
        <v>3716</v>
      </c>
      <c r="G1189" s="123" t="str">
        <f t="shared" si="36"/>
        <v>Brian RODRIGUEZ - Uruguay</v>
      </c>
      <c r="H1189" s="123" t="str">
        <f t="shared" si="37"/>
        <v>URY18</v>
      </c>
      <c r="I1189" s="123" t="s">
        <v>3734</v>
      </c>
    </row>
    <row r="1190" spans="1:9" ht="15" customHeight="1" x14ac:dyDescent="0.35">
      <c r="A1190" s="122">
        <v>19</v>
      </c>
      <c r="B1190" s="122" t="s">
        <v>283</v>
      </c>
      <c r="C1190" s="123" t="s">
        <v>334</v>
      </c>
      <c r="D1190" s="123" t="s">
        <v>2236</v>
      </c>
      <c r="E1190" s="122" t="s">
        <v>2216</v>
      </c>
      <c r="F1190" s="123" t="s">
        <v>3716</v>
      </c>
      <c r="G1190" s="123" t="str">
        <f t="shared" si="36"/>
        <v>Rodrigo AGUIRRE - Uruguay</v>
      </c>
      <c r="H1190" s="123" t="str">
        <f t="shared" si="37"/>
        <v>URY19</v>
      </c>
      <c r="I1190" s="123" t="s">
        <v>3735</v>
      </c>
    </row>
    <row r="1191" spans="1:9" ht="15" customHeight="1" x14ac:dyDescent="0.35">
      <c r="A1191" s="122">
        <v>20</v>
      </c>
      <c r="B1191" s="122" t="s">
        <v>280</v>
      </c>
      <c r="C1191" s="123" t="s">
        <v>2237</v>
      </c>
      <c r="D1191" s="123" t="s">
        <v>1778</v>
      </c>
      <c r="E1191" s="122" t="s">
        <v>2216</v>
      </c>
      <c r="F1191" s="123" t="s">
        <v>3716</v>
      </c>
      <c r="G1191" s="123" t="str">
        <f t="shared" si="36"/>
        <v>Maxi ARAUJO - Uruguay</v>
      </c>
      <c r="H1191" s="123" t="str">
        <f t="shared" si="37"/>
        <v>URY20</v>
      </c>
      <c r="I1191" s="123" t="s">
        <v>3736</v>
      </c>
    </row>
    <row r="1192" spans="1:9" ht="15" customHeight="1" x14ac:dyDescent="0.35">
      <c r="A1192" s="122">
        <v>21</v>
      </c>
      <c r="B1192" s="122" t="s">
        <v>283</v>
      </c>
      <c r="C1192" s="123" t="s">
        <v>2222</v>
      </c>
      <c r="D1192" s="123" t="s">
        <v>2238</v>
      </c>
      <c r="E1192" s="122" t="s">
        <v>2216</v>
      </c>
      <c r="F1192" s="123" t="s">
        <v>3716</v>
      </c>
      <c r="G1192" s="123" t="str">
        <f t="shared" si="36"/>
        <v>Federico VINAS - Uruguay</v>
      </c>
      <c r="H1192" s="123" t="str">
        <f t="shared" si="37"/>
        <v>URY21</v>
      </c>
      <c r="I1192" s="123" t="s">
        <v>3737</v>
      </c>
    </row>
    <row r="1193" spans="1:9" ht="15" customHeight="1" x14ac:dyDescent="0.35">
      <c r="A1193" s="122">
        <v>22</v>
      </c>
      <c r="B1193" s="122" t="s">
        <v>280</v>
      </c>
      <c r="C1193" s="123" t="s">
        <v>492</v>
      </c>
      <c r="D1193" s="123" t="s">
        <v>2239</v>
      </c>
      <c r="E1193" s="122" t="s">
        <v>2216</v>
      </c>
      <c r="F1193" s="123" t="s">
        <v>3716</v>
      </c>
      <c r="G1193" s="123" t="str">
        <f t="shared" si="36"/>
        <v>Joaquin PIQUEREZ - Uruguay</v>
      </c>
      <c r="H1193" s="123" t="str">
        <f t="shared" si="37"/>
        <v>URY22</v>
      </c>
      <c r="I1193" s="123" t="s">
        <v>3738</v>
      </c>
    </row>
    <row r="1194" spans="1:9" ht="15" customHeight="1" x14ac:dyDescent="0.35">
      <c r="A1194" s="122">
        <v>23</v>
      </c>
      <c r="B1194" s="122" t="s">
        <v>267</v>
      </c>
      <c r="C1194" s="123" t="s">
        <v>2240</v>
      </c>
      <c r="D1194" s="123" t="s">
        <v>2241</v>
      </c>
      <c r="E1194" s="122" t="s">
        <v>2216</v>
      </c>
      <c r="F1194" s="123" t="s">
        <v>3716</v>
      </c>
      <c r="G1194" s="123" t="str">
        <f t="shared" si="36"/>
        <v>Fernando MUSLERA - Uruguay</v>
      </c>
      <c r="H1194" s="123" t="str">
        <f t="shared" si="37"/>
        <v>URY23</v>
      </c>
      <c r="I1194" s="123" t="s">
        <v>3739</v>
      </c>
    </row>
    <row r="1195" spans="1:9" ht="15" customHeight="1" x14ac:dyDescent="0.35">
      <c r="A1195" s="122">
        <v>24</v>
      </c>
      <c r="B1195" s="122" t="s">
        <v>271</v>
      </c>
      <c r="C1195" s="123" t="s">
        <v>711</v>
      </c>
      <c r="D1195" s="123" t="s">
        <v>2242</v>
      </c>
      <c r="E1195" s="122" t="s">
        <v>2216</v>
      </c>
      <c r="F1195" s="123" t="s">
        <v>3716</v>
      </c>
      <c r="G1195" s="123" t="str">
        <f t="shared" si="36"/>
        <v>Santiago BUENO - Uruguay</v>
      </c>
      <c r="H1195" s="123" t="str">
        <f t="shared" si="37"/>
        <v>URY24</v>
      </c>
      <c r="I1195" s="123" t="s">
        <v>3740</v>
      </c>
    </row>
    <row r="1196" spans="1:9" ht="15" customHeight="1" x14ac:dyDescent="0.35">
      <c r="A1196" s="122">
        <v>25</v>
      </c>
      <c r="B1196" s="122" t="s">
        <v>280</v>
      </c>
      <c r="C1196" s="123" t="s">
        <v>2243</v>
      </c>
      <c r="D1196" s="123" t="s">
        <v>1746</v>
      </c>
      <c r="E1196" s="122" t="s">
        <v>2216</v>
      </c>
      <c r="F1196" s="123" t="s">
        <v>3716</v>
      </c>
      <c r="G1196" s="123" t="str">
        <f t="shared" si="36"/>
        <v>Juan Manuel SANABRIA - Uruguay</v>
      </c>
      <c r="H1196" s="123" t="str">
        <f t="shared" si="37"/>
        <v>URY25</v>
      </c>
      <c r="I1196" s="123" t="s">
        <v>3741</v>
      </c>
    </row>
    <row r="1197" spans="1:9" ht="15" customHeight="1" x14ac:dyDescent="0.35">
      <c r="A1197" s="122">
        <v>26</v>
      </c>
      <c r="B1197" s="122" t="s">
        <v>280</v>
      </c>
      <c r="C1197" s="123" t="s">
        <v>334</v>
      </c>
      <c r="D1197" s="123" t="s">
        <v>2244</v>
      </c>
      <c r="E1197" s="122" t="s">
        <v>2216</v>
      </c>
      <c r="F1197" s="123" t="s">
        <v>3716</v>
      </c>
      <c r="G1197" s="123" t="str">
        <f t="shared" si="36"/>
        <v>Rodrigo ZALAZAR - Uruguay</v>
      </c>
      <c r="H1197" s="123" t="str">
        <f t="shared" si="37"/>
        <v>URY26</v>
      </c>
      <c r="I1197" s="123" t="s">
        <v>3742</v>
      </c>
    </row>
    <row r="1198" spans="1:9" ht="15" customHeight="1" x14ac:dyDescent="0.35">
      <c r="A1198" s="74">
        <v>1</v>
      </c>
      <c r="B1198" s="74" t="s">
        <v>267</v>
      </c>
      <c r="C1198" s="75" t="s">
        <v>2245</v>
      </c>
      <c r="D1198" s="75" t="s">
        <v>2246</v>
      </c>
      <c r="E1198" s="74" t="s">
        <v>2247</v>
      </c>
      <c r="F1198" s="75" t="s">
        <v>2247</v>
      </c>
      <c r="G1198" s="75" t="str">
        <f t="shared" si="36"/>
        <v>Matt TURNER - USA</v>
      </c>
      <c r="H1198" s="75" t="str">
        <f t="shared" si="37"/>
        <v>USA1</v>
      </c>
      <c r="I1198" s="75" t="s">
        <v>3743</v>
      </c>
    </row>
    <row r="1199" spans="1:9" ht="15" customHeight="1" x14ac:dyDescent="0.35">
      <c r="A1199" s="74">
        <v>2</v>
      </c>
      <c r="B1199" s="74" t="s">
        <v>271</v>
      </c>
      <c r="C1199" s="75" t="s">
        <v>2248</v>
      </c>
      <c r="D1199" s="75" t="s">
        <v>2249</v>
      </c>
      <c r="E1199" s="74" t="s">
        <v>2247</v>
      </c>
      <c r="F1199" s="75" t="s">
        <v>2247</v>
      </c>
      <c r="G1199" s="75" t="str">
        <f t="shared" si="36"/>
        <v>Sergino DEST - USA</v>
      </c>
      <c r="H1199" s="75" t="str">
        <f t="shared" si="37"/>
        <v>USA2</v>
      </c>
      <c r="I1199" s="75" t="s">
        <v>3744</v>
      </c>
    </row>
    <row r="1200" spans="1:9" ht="15" customHeight="1" x14ac:dyDescent="0.35">
      <c r="A1200" s="74">
        <v>3</v>
      </c>
      <c r="B1200" s="74" t="s">
        <v>271</v>
      </c>
      <c r="C1200" s="75" t="s">
        <v>1623</v>
      </c>
      <c r="D1200" s="75" t="s">
        <v>2250</v>
      </c>
      <c r="E1200" s="74" t="s">
        <v>2247</v>
      </c>
      <c r="F1200" s="75" t="s">
        <v>2247</v>
      </c>
      <c r="G1200" s="75" t="str">
        <f t="shared" si="36"/>
        <v>Chris RICHARDS - USA</v>
      </c>
      <c r="H1200" s="75" t="str">
        <f t="shared" si="37"/>
        <v>USA3</v>
      </c>
      <c r="I1200" s="75" t="s">
        <v>3745</v>
      </c>
    </row>
    <row r="1201" spans="1:9" ht="15" customHeight="1" x14ac:dyDescent="0.35">
      <c r="A1201" s="74">
        <v>4</v>
      </c>
      <c r="B1201" s="74" t="s">
        <v>280</v>
      </c>
      <c r="C1201" s="75" t="s">
        <v>1617</v>
      </c>
      <c r="D1201" s="75" t="s">
        <v>1903</v>
      </c>
      <c r="E1201" s="74" t="s">
        <v>2247</v>
      </c>
      <c r="F1201" s="75" t="s">
        <v>2247</v>
      </c>
      <c r="G1201" s="75" t="str">
        <f t="shared" si="36"/>
        <v>Tyler ADAMS - USA</v>
      </c>
      <c r="H1201" s="75" t="str">
        <f t="shared" si="37"/>
        <v>USA4</v>
      </c>
      <c r="I1201" s="75" t="s">
        <v>3746</v>
      </c>
    </row>
    <row r="1202" spans="1:9" ht="15" customHeight="1" x14ac:dyDescent="0.35">
      <c r="A1202" s="74">
        <v>5</v>
      </c>
      <c r="B1202" s="74" t="s">
        <v>271</v>
      </c>
      <c r="C1202" s="75" t="s">
        <v>2251</v>
      </c>
      <c r="D1202" s="75" t="s">
        <v>2252</v>
      </c>
      <c r="E1202" s="74" t="s">
        <v>2247</v>
      </c>
      <c r="F1202" s="75" t="s">
        <v>2247</v>
      </c>
      <c r="G1202" s="75" t="str">
        <f t="shared" si="36"/>
        <v>Antonee ROBINSON - USA</v>
      </c>
      <c r="H1202" s="75" t="str">
        <f t="shared" si="37"/>
        <v>USA5</v>
      </c>
      <c r="I1202" s="75" t="s">
        <v>3747</v>
      </c>
    </row>
    <row r="1203" spans="1:9" ht="15" customHeight="1" x14ac:dyDescent="0.35">
      <c r="A1203" s="74">
        <v>6</v>
      </c>
      <c r="B1203" s="74" t="s">
        <v>271</v>
      </c>
      <c r="C1203" s="75" t="s">
        <v>2253</v>
      </c>
      <c r="D1203" s="75" t="s">
        <v>2254</v>
      </c>
      <c r="E1203" s="74" t="s">
        <v>2247</v>
      </c>
      <c r="F1203" s="75" t="s">
        <v>2247</v>
      </c>
      <c r="G1203" s="75" t="str">
        <f t="shared" si="36"/>
        <v>Auston TRUSTY - USA</v>
      </c>
      <c r="H1203" s="75" t="str">
        <f t="shared" si="37"/>
        <v>USA6</v>
      </c>
      <c r="I1203" s="75" t="s">
        <v>3748</v>
      </c>
    </row>
    <row r="1204" spans="1:9" ht="15" customHeight="1" x14ac:dyDescent="0.35">
      <c r="A1204" s="74">
        <v>7</v>
      </c>
      <c r="B1204" s="74" t="s">
        <v>280</v>
      </c>
      <c r="C1204" s="75" t="s">
        <v>2255</v>
      </c>
      <c r="D1204" s="75" t="s">
        <v>2256</v>
      </c>
      <c r="E1204" s="74" t="s">
        <v>2247</v>
      </c>
      <c r="F1204" s="75" t="s">
        <v>2247</v>
      </c>
      <c r="G1204" s="75" t="str">
        <f t="shared" si="36"/>
        <v>Giovanni REYNA - USA</v>
      </c>
      <c r="H1204" s="75" t="str">
        <f t="shared" si="37"/>
        <v>USA7</v>
      </c>
      <c r="I1204" s="75" t="s">
        <v>3749</v>
      </c>
    </row>
    <row r="1205" spans="1:9" ht="15" customHeight="1" x14ac:dyDescent="0.35">
      <c r="A1205" s="74">
        <v>8</v>
      </c>
      <c r="B1205" s="74" t="s">
        <v>280</v>
      </c>
      <c r="C1205" s="75" t="s">
        <v>2257</v>
      </c>
      <c r="D1205" s="75" t="s">
        <v>2258</v>
      </c>
      <c r="E1205" s="74" t="s">
        <v>2247</v>
      </c>
      <c r="F1205" s="75" t="s">
        <v>2247</v>
      </c>
      <c r="G1205" s="75" t="str">
        <f t="shared" si="36"/>
        <v>Weston McKENNIE - USA</v>
      </c>
      <c r="H1205" s="75" t="str">
        <f t="shared" si="37"/>
        <v>USA8</v>
      </c>
      <c r="I1205" s="75" t="s">
        <v>3750</v>
      </c>
    </row>
    <row r="1206" spans="1:9" ht="15" customHeight="1" x14ac:dyDescent="0.35">
      <c r="A1206" s="74">
        <v>9</v>
      </c>
      <c r="B1206" s="74" t="s">
        <v>283</v>
      </c>
      <c r="C1206" s="75" t="s">
        <v>1235</v>
      </c>
      <c r="D1206" s="75" t="s">
        <v>2259</v>
      </c>
      <c r="E1206" s="74" t="s">
        <v>2247</v>
      </c>
      <c r="F1206" s="75" t="s">
        <v>2247</v>
      </c>
      <c r="G1206" s="75" t="str">
        <f t="shared" si="36"/>
        <v>Ricardo PEPI - USA</v>
      </c>
      <c r="H1206" s="75" t="str">
        <f t="shared" si="37"/>
        <v>USA9</v>
      </c>
      <c r="I1206" s="75" t="s">
        <v>3751</v>
      </c>
    </row>
    <row r="1207" spans="1:9" ht="15" customHeight="1" x14ac:dyDescent="0.35">
      <c r="A1207" s="74">
        <v>10</v>
      </c>
      <c r="B1207" s="74" t="s">
        <v>283</v>
      </c>
      <c r="C1207" s="75" t="s">
        <v>2112</v>
      </c>
      <c r="D1207" s="75" t="s">
        <v>2260</v>
      </c>
      <c r="E1207" s="74" t="s">
        <v>2247</v>
      </c>
      <c r="F1207" s="75" t="s">
        <v>2247</v>
      </c>
      <c r="G1207" s="75" t="str">
        <f t="shared" si="36"/>
        <v>Christian PULISIC - USA</v>
      </c>
      <c r="H1207" s="75" t="str">
        <f t="shared" si="37"/>
        <v>USA10</v>
      </c>
      <c r="I1207" s="75" t="s">
        <v>3752</v>
      </c>
    </row>
    <row r="1208" spans="1:9" ht="15" customHeight="1" x14ac:dyDescent="0.35">
      <c r="A1208" s="74">
        <v>11</v>
      </c>
      <c r="B1208" s="74" t="s">
        <v>283</v>
      </c>
      <c r="C1208" s="75" t="s">
        <v>2261</v>
      </c>
      <c r="D1208" s="75" t="s">
        <v>2262</v>
      </c>
      <c r="E1208" s="74" t="s">
        <v>2247</v>
      </c>
      <c r="F1208" s="75" t="s">
        <v>2247</v>
      </c>
      <c r="G1208" s="75" t="str">
        <f t="shared" si="36"/>
        <v>Brenden AARONSON - USA</v>
      </c>
      <c r="H1208" s="75" t="str">
        <f t="shared" si="37"/>
        <v>USA11</v>
      </c>
      <c r="I1208" s="75" t="s">
        <v>3753</v>
      </c>
    </row>
    <row r="1209" spans="1:9" ht="15" customHeight="1" x14ac:dyDescent="0.35">
      <c r="A1209" s="74">
        <v>12</v>
      </c>
      <c r="B1209" s="74" t="s">
        <v>271</v>
      </c>
      <c r="C1209" s="75" t="s">
        <v>2263</v>
      </c>
      <c r="D1209" s="75" t="s">
        <v>2252</v>
      </c>
      <c r="E1209" s="74" t="s">
        <v>2247</v>
      </c>
      <c r="F1209" s="75" t="s">
        <v>2247</v>
      </c>
      <c r="G1209" s="75" t="str">
        <f t="shared" si="36"/>
        <v>Miles ROBINSON - USA</v>
      </c>
      <c r="H1209" s="75" t="str">
        <f t="shared" si="37"/>
        <v>USA12</v>
      </c>
      <c r="I1209" s="75" t="s">
        <v>3754</v>
      </c>
    </row>
    <row r="1210" spans="1:9" ht="15" customHeight="1" x14ac:dyDescent="0.35">
      <c r="A1210" s="74">
        <v>13</v>
      </c>
      <c r="B1210" s="74" t="s">
        <v>271</v>
      </c>
      <c r="C1210" s="75" t="s">
        <v>1613</v>
      </c>
      <c r="D1210" s="75" t="s">
        <v>2264</v>
      </c>
      <c r="E1210" s="74" t="s">
        <v>2247</v>
      </c>
      <c r="F1210" s="75" t="s">
        <v>2247</v>
      </c>
      <c r="G1210" s="75" t="str">
        <f t="shared" si="36"/>
        <v>Tim REAM - USA</v>
      </c>
      <c r="H1210" s="75" t="str">
        <f t="shared" si="37"/>
        <v>USA13</v>
      </c>
      <c r="I1210" s="75" t="s">
        <v>3755</v>
      </c>
    </row>
    <row r="1211" spans="1:9" ht="15" customHeight="1" x14ac:dyDescent="0.35">
      <c r="A1211" s="74">
        <v>14</v>
      </c>
      <c r="B1211" s="74" t="s">
        <v>280</v>
      </c>
      <c r="C1211" s="75" t="s">
        <v>2164</v>
      </c>
      <c r="D1211" s="75" t="s">
        <v>2265</v>
      </c>
      <c r="E1211" s="74" t="s">
        <v>2247</v>
      </c>
      <c r="F1211" s="75" t="s">
        <v>2247</v>
      </c>
      <c r="G1211" s="75" t="str">
        <f t="shared" si="36"/>
        <v>Sebastian BERHALTER - USA</v>
      </c>
      <c r="H1211" s="75" t="str">
        <f t="shared" si="37"/>
        <v>USA14</v>
      </c>
      <c r="I1211" s="75" t="s">
        <v>3756</v>
      </c>
    </row>
    <row r="1212" spans="1:9" ht="15" customHeight="1" x14ac:dyDescent="0.35">
      <c r="A1212" s="74">
        <v>15</v>
      </c>
      <c r="B1212" s="74" t="s">
        <v>280</v>
      </c>
      <c r="C1212" s="75" t="s">
        <v>346</v>
      </c>
      <c r="D1212" s="75" t="s">
        <v>2266</v>
      </c>
      <c r="E1212" s="74" t="s">
        <v>2247</v>
      </c>
      <c r="F1212" s="75" t="s">
        <v>2247</v>
      </c>
      <c r="G1212" s="75" t="str">
        <f t="shared" si="36"/>
        <v>Cristian ROLDAN - USA</v>
      </c>
      <c r="H1212" s="75" t="str">
        <f t="shared" si="37"/>
        <v>USA15</v>
      </c>
      <c r="I1212" s="75" t="s">
        <v>3757</v>
      </c>
    </row>
    <row r="1213" spans="1:9" ht="15" customHeight="1" x14ac:dyDescent="0.35">
      <c r="A1213" s="74">
        <v>16</v>
      </c>
      <c r="B1213" s="74" t="s">
        <v>271</v>
      </c>
      <c r="C1213" s="75" t="s">
        <v>1629</v>
      </c>
      <c r="D1213" s="75" t="s">
        <v>2267</v>
      </c>
      <c r="E1213" s="74" t="s">
        <v>2247</v>
      </c>
      <c r="F1213" s="75" t="s">
        <v>2247</v>
      </c>
      <c r="G1213" s="75" t="str">
        <f t="shared" si="36"/>
        <v>Alex FREEMAN - USA</v>
      </c>
      <c r="H1213" s="75" t="str">
        <f t="shared" si="37"/>
        <v>USA16</v>
      </c>
      <c r="I1213" s="75" t="s">
        <v>3758</v>
      </c>
    </row>
    <row r="1214" spans="1:9" ht="15" customHeight="1" x14ac:dyDescent="0.35">
      <c r="A1214" s="74">
        <v>17</v>
      </c>
      <c r="B1214" s="74" t="s">
        <v>280</v>
      </c>
      <c r="C1214" s="75" t="s">
        <v>2268</v>
      </c>
      <c r="D1214" s="75" t="s">
        <v>2269</v>
      </c>
      <c r="E1214" s="74" t="s">
        <v>2247</v>
      </c>
      <c r="F1214" s="75" t="s">
        <v>2247</v>
      </c>
      <c r="G1214" s="75" t="str">
        <f t="shared" si="36"/>
        <v>Malik TILLMAN - USA</v>
      </c>
      <c r="H1214" s="75" t="str">
        <f t="shared" si="37"/>
        <v>USA17</v>
      </c>
      <c r="I1214" s="75" t="s">
        <v>3759</v>
      </c>
    </row>
    <row r="1215" spans="1:9" ht="15" customHeight="1" x14ac:dyDescent="0.35">
      <c r="A1215" s="74">
        <v>18</v>
      </c>
      <c r="B1215" s="74" t="s">
        <v>271</v>
      </c>
      <c r="C1215" s="75" t="s">
        <v>1610</v>
      </c>
      <c r="D1215" s="75" t="s">
        <v>2270</v>
      </c>
      <c r="E1215" s="74" t="s">
        <v>2247</v>
      </c>
      <c r="F1215" s="75" t="s">
        <v>2247</v>
      </c>
      <c r="G1215" s="75" t="str">
        <f t="shared" si="36"/>
        <v>Max ARFSTEN - USA</v>
      </c>
      <c r="H1215" s="75" t="str">
        <f t="shared" si="37"/>
        <v>USA18</v>
      </c>
      <c r="I1215" s="75" t="s">
        <v>3760</v>
      </c>
    </row>
    <row r="1216" spans="1:9" ht="15" customHeight="1" x14ac:dyDescent="0.35">
      <c r="A1216" s="74">
        <v>19</v>
      </c>
      <c r="B1216" s="74" t="s">
        <v>283</v>
      </c>
      <c r="C1216" s="75" t="s">
        <v>2271</v>
      </c>
      <c r="D1216" s="75" t="s">
        <v>2272</v>
      </c>
      <c r="E1216" s="74" t="s">
        <v>2247</v>
      </c>
      <c r="F1216" s="75" t="s">
        <v>2247</v>
      </c>
      <c r="G1216" s="75" t="str">
        <f t="shared" si="36"/>
        <v>Haji WRIGHT - USA</v>
      </c>
      <c r="H1216" s="75" t="str">
        <f t="shared" si="37"/>
        <v>USA19</v>
      </c>
      <c r="I1216" s="75" t="s">
        <v>3761</v>
      </c>
    </row>
    <row r="1217" spans="1:9" ht="15" customHeight="1" x14ac:dyDescent="0.35">
      <c r="A1217" s="74">
        <v>20</v>
      </c>
      <c r="B1217" s="74" t="s">
        <v>283</v>
      </c>
      <c r="C1217" s="75" t="s">
        <v>2273</v>
      </c>
      <c r="D1217" s="75" t="s">
        <v>2274</v>
      </c>
      <c r="E1217" s="74" t="s">
        <v>2247</v>
      </c>
      <c r="F1217" s="75" t="s">
        <v>2247</v>
      </c>
      <c r="G1217" s="75" t="str">
        <f t="shared" si="36"/>
        <v>Folarin BALOGUN - USA</v>
      </c>
      <c r="H1217" s="75" t="str">
        <f t="shared" si="37"/>
        <v>USA20</v>
      </c>
      <c r="I1217" s="75" t="s">
        <v>3762</v>
      </c>
    </row>
    <row r="1218" spans="1:9" ht="15" customHeight="1" x14ac:dyDescent="0.35">
      <c r="A1218" s="74">
        <v>21</v>
      </c>
      <c r="B1218" s="74" t="s">
        <v>283</v>
      </c>
      <c r="C1218" s="75" t="s">
        <v>498</v>
      </c>
      <c r="D1218" s="75" t="s">
        <v>2275</v>
      </c>
      <c r="E1218" s="74" t="s">
        <v>2247</v>
      </c>
      <c r="F1218" s="75" t="s">
        <v>2247</v>
      </c>
      <c r="G1218" s="75" t="str">
        <f t="shared" si="36"/>
        <v>Timothy WEAH - USA</v>
      </c>
      <c r="H1218" s="75" t="str">
        <f t="shared" si="37"/>
        <v>USA21</v>
      </c>
      <c r="I1218" s="75" t="s">
        <v>3763</v>
      </c>
    </row>
    <row r="1219" spans="1:9" ht="15" customHeight="1" x14ac:dyDescent="0.35">
      <c r="A1219" s="74">
        <v>22</v>
      </c>
      <c r="B1219" s="74" t="s">
        <v>271</v>
      </c>
      <c r="C1219" s="75" t="s">
        <v>1603</v>
      </c>
      <c r="D1219" s="75" t="s">
        <v>2276</v>
      </c>
      <c r="E1219" s="74" t="s">
        <v>2247</v>
      </c>
      <c r="F1219" s="75" t="s">
        <v>2247</v>
      </c>
      <c r="G1219" s="75" t="str">
        <f t="shared" ref="G1219:G1249" si="38">_xlfn.CONCAT(C1219, " ",D1219, " - ",F1219)</f>
        <v>Mark McKENZIE - USA</v>
      </c>
      <c r="H1219" s="75" t="str">
        <f t="shared" ref="H1219:H1249" si="39">_xlfn.CONCAT(E1219,A1219)</f>
        <v>USA22</v>
      </c>
      <c r="I1219" s="75" t="s">
        <v>3764</v>
      </c>
    </row>
    <row r="1220" spans="1:9" ht="15" customHeight="1" x14ac:dyDescent="0.35">
      <c r="A1220" s="74">
        <v>23</v>
      </c>
      <c r="B1220" s="74" t="s">
        <v>271</v>
      </c>
      <c r="C1220" s="75" t="s">
        <v>1620</v>
      </c>
      <c r="D1220" s="75" t="s">
        <v>2277</v>
      </c>
      <c r="E1220" s="74" t="s">
        <v>2247</v>
      </c>
      <c r="F1220" s="75" t="s">
        <v>2247</v>
      </c>
      <c r="G1220" s="75" t="str">
        <f t="shared" si="38"/>
        <v>Joe SCALLY - USA</v>
      </c>
      <c r="H1220" s="75" t="str">
        <f t="shared" si="39"/>
        <v>USA23</v>
      </c>
      <c r="I1220" s="75" t="s">
        <v>3765</v>
      </c>
    </row>
    <row r="1221" spans="1:9" ht="15" customHeight="1" x14ac:dyDescent="0.35">
      <c r="A1221" s="74">
        <v>24</v>
      </c>
      <c r="B1221" s="74" t="s">
        <v>267</v>
      </c>
      <c r="C1221" s="75" t="s">
        <v>2245</v>
      </c>
      <c r="D1221" s="75" t="s">
        <v>2278</v>
      </c>
      <c r="E1221" s="74" t="s">
        <v>2247</v>
      </c>
      <c r="F1221" s="75" t="s">
        <v>2247</v>
      </c>
      <c r="G1221" s="75" t="str">
        <f t="shared" si="38"/>
        <v>Matt FREESE - USA</v>
      </c>
      <c r="H1221" s="75" t="str">
        <f t="shared" si="39"/>
        <v>USA24</v>
      </c>
      <c r="I1221" s="75" t="s">
        <v>3766</v>
      </c>
    </row>
    <row r="1222" spans="1:9" ht="15" customHeight="1" x14ac:dyDescent="0.35">
      <c r="A1222" s="74">
        <v>25</v>
      </c>
      <c r="B1222" s="74" t="s">
        <v>267</v>
      </c>
      <c r="C1222" s="75" t="s">
        <v>1623</v>
      </c>
      <c r="D1222" s="75" t="s">
        <v>2279</v>
      </c>
      <c r="E1222" s="74" t="s">
        <v>2247</v>
      </c>
      <c r="F1222" s="75" t="s">
        <v>2247</v>
      </c>
      <c r="G1222" s="75" t="str">
        <f t="shared" si="38"/>
        <v>Chris BRADY - USA</v>
      </c>
      <c r="H1222" s="75" t="str">
        <f t="shared" si="39"/>
        <v>USA25</v>
      </c>
      <c r="I1222" s="75" t="s">
        <v>3767</v>
      </c>
    </row>
    <row r="1223" spans="1:9" ht="15" customHeight="1" x14ac:dyDescent="0.35">
      <c r="A1223" s="74">
        <v>26</v>
      </c>
      <c r="B1223" s="74" t="s">
        <v>283</v>
      </c>
      <c r="C1223" s="75" t="s">
        <v>1629</v>
      </c>
      <c r="D1223" s="75" t="s">
        <v>2280</v>
      </c>
      <c r="E1223" s="74" t="s">
        <v>2247</v>
      </c>
      <c r="F1223" s="75" t="s">
        <v>2247</v>
      </c>
      <c r="G1223" s="75" t="str">
        <f t="shared" si="38"/>
        <v>Alex ZENDEJAS - USA</v>
      </c>
      <c r="H1223" s="75" t="str">
        <f t="shared" si="39"/>
        <v>USA26</v>
      </c>
      <c r="I1223" s="75" t="s">
        <v>3768</v>
      </c>
    </row>
    <row r="1224" spans="1:9" ht="15" customHeight="1" x14ac:dyDescent="0.35">
      <c r="A1224" s="124">
        <v>1</v>
      </c>
      <c r="B1224" s="124" t="s">
        <v>267</v>
      </c>
      <c r="C1224" s="125" t="s">
        <v>2281</v>
      </c>
      <c r="D1224" s="125" t="s">
        <v>2282</v>
      </c>
      <c r="E1224" s="124" t="s">
        <v>2283</v>
      </c>
      <c r="F1224" s="125" t="s">
        <v>3769</v>
      </c>
      <c r="G1224" s="125" t="str">
        <f t="shared" si="38"/>
        <v>Utkir YUSUPOV - Uzbekistan</v>
      </c>
      <c r="H1224" s="125" t="str">
        <f t="shared" si="39"/>
        <v>UZB1</v>
      </c>
      <c r="I1224" s="125" t="s">
        <v>3770</v>
      </c>
    </row>
    <row r="1225" spans="1:9" ht="15" customHeight="1" x14ac:dyDescent="0.35">
      <c r="A1225" s="124">
        <v>2</v>
      </c>
      <c r="B1225" s="124" t="s">
        <v>271</v>
      </c>
      <c r="C1225" s="125" t="s">
        <v>2284</v>
      </c>
      <c r="D1225" s="125" t="s">
        <v>2285</v>
      </c>
      <c r="E1225" s="124" t="s">
        <v>2283</v>
      </c>
      <c r="F1225" s="125" t="s">
        <v>3769</v>
      </c>
      <c r="G1225" s="125" t="str">
        <f t="shared" si="38"/>
        <v>Abdukodir KHUSANOV - Uzbekistan</v>
      </c>
      <c r="H1225" s="125" t="str">
        <f t="shared" si="39"/>
        <v>UZB2</v>
      </c>
      <c r="I1225" s="125" t="s">
        <v>3771</v>
      </c>
    </row>
    <row r="1226" spans="1:9" ht="15" customHeight="1" x14ac:dyDescent="0.35">
      <c r="A1226" s="124">
        <v>3</v>
      </c>
      <c r="B1226" s="124" t="s">
        <v>271</v>
      </c>
      <c r="C1226" s="125" t="s">
        <v>2286</v>
      </c>
      <c r="D1226" s="125" t="s">
        <v>2287</v>
      </c>
      <c r="E1226" s="124" t="s">
        <v>2283</v>
      </c>
      <c r="F1226" s="125" t="s">
        <v>3769</v>
      </c>
      <c r="G1226" s="125" t="str">
        <f t="shared" si="38"/>
        <v>Khojiakbar ALIJONOV - Uzbekistan</v>
      </c>
      <c r="H1226" s="125" t="str">
        <f t="shared" si="39"/>
        <v>UZB3</v>
      </c>
      <c r="I1226" s="125" t="s">
        <v>3772</v>
      </c>
    </row>
    <row r="1227" spans="1:9" ht="15" customHeight="1" x14ac:dyDescent="0.35">
      <c r="A1227" s="124">
        <v>4</v>
      </c>
      <c r="B1227" s="124" t="s">
        <v>271</v>
      </c>
      <c r="C1227" s="125" t="s">
        <v>2288</v>
      </c>
      <c r="D1227" s="125" t="s">
        <v>2289</v>
      </c>
      <c r="E1227" s="124" t="s">
        <v>2283</v>
      </c>
      <c r="F1227" s="125" t="s">
        <v>3769</v>
      </c>
      <c r="G1227" s="125" t="str">
        <f t="shared" si="38"/>
        <v>Farrukh SAYFIEV - Uzbekistan</v>
      </c>
      <c r="H1227" s="125" t="str">
        <f t="shared" si="39"/>
        <v>UZB4</v>
      </c>
      <c r="I1227" s="125" t="s">
        <v>3773</v>
      </c>
    </row>
    <row r="1228" spans="1:9" ht="15" customHeight="1" x14ac:dyDescent="0.35">
      <c r="A1228" s="124">
        <v>5</v>
      </c>
      <c r="B1228" s="124" t="s">
        <v>271</v>
      </c>
      <c r="C1228" s="125" t="s">
        <v>2290</v>
      </c>
      <c r="D1228" s="125" t="s">
        <v>2291</v>
      </c>
      <c r="E1228" s="124" t="s">
        <v>2283</v>
      </c>
      <c r="F1228" s="125" t="s">
        <v>3769</v>
      </c>
      <c r="G1228" s="125" t="str">
        <f t="shared" si="38"/>
        <v>Rustam ASHURMATOV - Uzbekistan</v>
      </c>
      <c r="H1228" s="125" t="str">
        <f t="shared" si="39"/>
        <v>UZB5</v>
      </c>
      <c r="I1228" s="125" t="s">
        <v>3774</v>
      </c>
    </row>
    <row r="1229" spans="1:9" ht="15" customHeight="1" x14ac:dyDescent="0.35">
      <c r="A1229" s="124">
        <v>6</v>
      </c>
      <c r="B1229" s="124" t="s">
        <v>280</v>
      </c>
      <c r="C1229" s="125" t="s">
        <v>2292</v>
      </c>
      <c r="D1229" s="125" t="s">
        <v>2293</v>
      </c>
      <c r="E1229" s="124" t="s">
        <v>2283</v>
      </c>
      <c r="F1229" s="125" t="s">
        <v>3769</v>
      </c>
      <c r="G1229" s="125" t="str">
        <f t="shared" si="38"/>
        <v>Akmal MOZGOVOY - Uzbekistan</v>
      </c>
      <c r="H1229" s="125" t="str">
        <f t="shared" si="39"/>
        <v>UZB6</v>
      </c>
      <c r="I1229" s="125" t="s">
        <v>3775</v>
      </c>
    </row>
    <row r="1230" spans="1:9" ht="15" customHeight="1" x14ac:dyDescent="0.35">
      <c r="A1230" s="124">
        <v>7</v>
      </c>
      <c r="B1230" s="124" t="s">
        <v>280</v>
      </c>
      <c r="C1230" s="125" t="s">
        <v>2294</v>
      </c>
      <c r="D1230" s="125" t="s">
        <v>2295</v>
      </c>
      <c r="E1230" s="124" t="s">
        <v>2283</v>
      </c>
      <c r="F1230" s="125" t="s">
        <v>3769</v>
      </c>
      <c r="G1230" s="125" t="str">
        <f t="shared" si="38"/>
        <v>Otabek SHUKUROV - Uzbekistan</v>
      </c>
      <c r="H1230" s="125" t="str">
        <f t="shared" si="39"/>
        <v>UZB7</v>
      </c>
      <c r="I1230" s="125" t="s">
        <v>3776</v>
      </c>
    </row>
    <row r="1231" spans="1:9" ht="15" customHeight="1" x14ac:dyDescent="0.35">
      <c r="A1231" s="124">
        <v>8</v>
      </c>
      <c r="B1231" s="124" t="s">
        <v>280</v>
      </c>
      <c r="C1231" s="125" t="s">
        <v>2296</v>
      </c>
      <c r="D1231" s="125" t="s">
        <v>2297</v>
      </c>
      <c r="E1231" s="124" t="s">
        <v>2283</v>
      </c>
      <c r="F1231" s="125" t="s">
        <v>3769</v>
      </c>
      <c r="G1231" s="125" t="str">
        <f t="shared" si="38"/>
        <v>Jamshid ISKANDEROV - Uzbekistan</v>
      </c>
      <c r="H1231" s="125" t="str">
        <f t="shared" si="39"/>
        <v>UZB8</v>
      </c>
      <c r="I1231" s="125" t="s">
        <v>3777</v>
      </c>
    </row>
    <row r="1232" spans="1:9" ht="15" customHeight="1" x14ac:dyDescent="0.35">
      <c r="A1232" s="124">
        <v>9</v>
      </c>
      <c r="B1232" s="124" t="s">
        <v>280</v>
      </c>
      <c r="C1232" s="125" t="s">
        <v>2298</v>
      </c>
      <c r="D1232" s="125" t="s">
        <v>2299</v>
      </c>
      <c r="E1232" s="124" t="s">
        <v>2283</v>
      </c>
      <c r="F1232" s="125" t="s">
        <v>3769</v>
      </c>
      <c r="G1232" s="125" t="str">
        <f t="shared" si="38"/>
        <v>Odiljon XAMROBEKOV - Uzbekistan</v>
      </c>
      <c r="H1232" s="125" t="str">
        <f t="shared" si="39"/>
        <v>UZB9</v>
      </c>
      <c r="I1232" s="125" t="s">
        <v>3778</v>
      </c>
    </row>
    <row r="1233" spans="1:9" ht="15" customHeight="1" x14ac:dyDescent="0.35">
      <c r="A1233" s="124">
        <v>10</v>
      </c>
      <c r="B1233" s="124" t="s">
        <v>280</v>
      </c>
      <c r="C1233" s="125" t="s">
        <v>2300</v>
      </c>
      <c r="D1233" s="125" t="s">
        <v>2301</v>
      </c>
      <c r="E1233" s="124" t="s">
        <v>2283</v>
      </c>
      <c r="F1233" s="125" t="s">
        <v>3769</v>
      </c>
      <c r="G1233" s="125" t="str">
        <f t="shared" si="38"/>
        <v>Jaloliddin MASHARIPOV - Uzbekistan</v>
      </c>
      <c r="H1233" s="125" t="str">
        <f t="shared" si="39"/>
        <v>UZB10</v>
      </c>
      <c r="I1233" s="125" t="s">
        <v>3779</v>
      </c>
    </row>
    <row r="1234" spans="1:9" ht="15" customHeight="1" x14ac:dyDescent="0.35">
      <c r="A1234" s="124">
        <v>11</v>
      </c>
      <c r="B1234" s="124" t="s">
        <v>280</v>
      </c>
      <c r="C1234" s="125" t="s">
        <v>2302</v>
      </c>
      <c r="D1234" s="125" t="s">
        <v>2303</v>
      </c>
      <c r="E1234" s="124" t="s">
        <v>2283</v>
      </c>
      <c r="F1234" s="125" t="s">
        <v>3769</v>
      </c>
      <c r="G1234" s="125" t="str">
        <f t="shared" si="38"/>
        <v>Oston URUNOV - Uzbekistan</v>
      </c>
      <c r="H1234" s="125" t="str">
        <f t="shared" si="39"/>
        <v>UZB11</v>
      </c>
      <c r="I1234" s="125" t="s">
        <v>3780</v>
      </c>
    </row>
    <row r="1235" spans="1:9" ht="15" customHeight="1" x14ac:dyDescent="0.35">
      <c r="A1235" s="124">
        <v>12</v>
      </c>
      <c r="B1235" s="124" t="s">
        <v>267</v>
      </c>
      <c r="C1235" s="125" t="s">
        <v>2304</v>
      </c>
      <c r="D1235" s="125" t="s">
        <v>2305</v>
      </c>
      <c r="E1235" s="124" t="s">
        <v>2283</v>
      </c>
      <c r="F1235" s="125" t="s">
        <v>3769</v>
      </c>
      <c r="G1235" s="125" t="str">
        <f t="shared" si="38"/>
        <v>Abduvohid NEMATOV - Uzbekistan</v>
      </c>
      <c r="H1235" s="125" t="str">
        <f t="shared" si="39"/>
        <v>UZB12</v>
      </c>
      <c r="I1235" s="125" t="s">
        <v>3781</v>
      </c>
    </row>
    <row r="1236" spans="1:9" ht="15" customHeight="1" x14ac:dyDescent="0.35">
      <c r="A1236" s="124">
        <v>13</v>
      </c>
      <c r="B1236" s="124" t="s">
        <v>271</v>
      </c>
      <c r="C1236" s="125" t="s">
        <v>2306</v>
      </c>
      <c r="D1236" s="125" t="s">
        <v>2307</v>
      </c>
      <c r="E1236" s="124" t="s">
        <v>2283</v>
      </c>
      <c r="F1236" s="125" t="s">
        <v>3769</v>
      </c>
      <c r="G1236" s="125" t="str">
        <f t="shared" si="38"/>
        <v>Sherzod NASRULLAEV - Uzbekistan</v>
      </c>
      <c r="H1236" s="125" t="str">
        <f t="shared" si="39"/>
        <v>UZB13</v>
      </c>
      <c r="I1236" s="125" t="s">
        <v>3782</v>
      </c>
    </row>
    <row r="1237" spans="1:9" ht="15" customHeight="1" x14ac:dyDescent="0.35">
      <c r="A1237" s="124">
        <v>14</v>
      </c>
      <c r="B1237" s="124" t="s">
        <v>283</v>
      </c>
      <c r="C1237" s="125" t="s">
        <v>2308</v>
      </c>
      <c r="D1237" s="125" t="s">
        <v>2309</v>
      </c>
      <c r="E1237" s="124" t="s">
        <v>2283</v>
      </c>
      <c r="F1237" s="125" t="s">
        <v>3769</v>
      </c>
      <c r="G1237" s="125" t="str">
        <f t="shared" si="38"/>
        <v>Eldor SHOMURODOV - Uzbekistan</v>
      </c>
      <c r="H1237" s="125" t="str">
        <f t="shared" si="39"/>
        <v>UZB14</v>
      </c>
      <c r="I1237" s="125" t="s">
        <v>3783</v>
      </c>
    </row>
    <row r="1238" spans="1:9" ht="15" customHeight="1" x14ac:dyDescent="0.35">
      <c r="A1238" s="124">
        <v>15</v>
      </c>
      <c r="B1238" s="124" t="s">
        <v>271</v>
      </c>
      <c r="C1238" s="125" t="s">
        <v>2310</v>
      </c>
      <c r="D1238" s="125" t="s">
        <v>2311</v>
      </c>
      <c r="E1238" s="124" t="s">
        <v>2283</v>
      </c>
      <c r="F1238" s="125" t="s">
        <v>3769</v>
      </c>
      <c r="G1238" s="125" t="str">
        <f t="shared" si="38"/>
        <v>Umar ESHMURODOV - Uzbekistan</v>
      </c>
      <c r="H1238" s="125" t="str">
        <f t="shared" si="39"/>
        <v>UZB15</v>
      </c>
      <c r="I1238" s="125" t="s">
        <v>3784</v>
      </c>
    </row>
    <row r="1239" spans="1:9" ht="15" customHeight="1" x14ac:dyDescent="0.35">
      <c r="A1239" s="124">
        <v>16</v>
      </c>
      <c r="B1239" s="124" t="s">
        <v>267</v>
      </c>
      <c r="C1239" s="125" t="s">
        <v>2312</v>
      </c>
      <c r="D1239" s="125" t="s">
        <v>2313</v>
      </c>
      <c r="E1239" s="124" t="s">
        <v>2283</v>
      </c>
      <c r="F1239" s="125" t="s">
        <v>3769</v>
      </c>
      <c r="G1239" s="125" t="str">
        <f t="shared" si="38"/>
        <v>Botirali ERGASHEV - Uzbekistan</v>
      </c>
      <c r="H1239" s="125" t="str">
        <f t="shared" si="39"/>
        <v>UZB16</v>
      </c>
      <c r="I1239" s="125" t="s">
        <v>3785</v>
      </c>
    </row>
    <row r="1240" spans="1:9" ht="15" customHeight="1" x14ac:dyDescent="0.35">
      <c r="A1240" s="124">
        <v>17</v>
      </c>
      <c r="B1240" s="124" t="s">
        <v>280</v>
      </c>
      <c r="C1240" s="125" t="s">
        <v>2314</v>
      </c>
      <c r="D1240" s="125" t="s">
        <v>2315</v>
      </c>
      <c r="E1240" s="124" t="s">
        <v>2283</v>
      </c>
      <c r="F1240" s="125" t="s">
        <v>3769</v>
      </c>
      <c r="G1240" s="125" t="str">
        <f t="shared" si="38"/>
        <v>Dostonbek KHAMDAMOV - Uzbekistan</v>
      </c>
      <c r="H1240" s="125" t="str">
        <f t="shared" si="39"/>
        <v>UZB17</v>
      </c>
      <c r="I1240" s="125" t="s">
        <v>3786</v>
      </c>
    </row>
    <row r="1241" spans="1:9" ht="15" customHeight="1" x14ac:dyDescent="0.35">
      <c r="A1241" s="124">
        <v>18</v>
      </c>
      <c r="B1241" s="124" t="s">
        <v>271</v>
      </c>
      <c r="C1241" s="125" t="s">
        <v>2316</v>
      </c>
      <c r="D1241" s="125" t="s">
        <v>2317</v>
      </c>
      <c r="E1241" s="124" t="s">
        <v>2283</v>
      </c>
      <c r="F1241" s="125" t="s">
        <v>3769</v>
      </c>
      <c r="G1241" s="125" t="str">
        <f t="shared" si="38"/>
        <v>Abdulla ABDULLAEV - Uzbekistan</v>
      </c>
      <c r="H1241" s="125" t="str">
        <f t="shared" si="39"/>
        <v>UZB18</v>
      </c>
      <c r="I1241" s="125" t="s">
        <v>3787</v>
      </c>
    </row>
    <row r="1242" spans="1:9" ht="15" customHeight="1" x14ac:dyDescent="0.35">
      <c r="A1242" s="124">
        <v>19</v>
      </c>
      <c r="B1242" s="124" t="s">
        <v>280</v>
      </c>
      <c r="C1242" s="125" t="s">
        <v>2318</v>
      </c>
      <c r="D1242" s="125" t="s">
        <v>2319</v>
      </c>
      <c r="E1242" s="124" t="s">
        <v>2283</v>
      </c>
      <c r="F1242" s="125" t="s">
        <v>3769</v>
      </c>
      <c r="G1242" s="125" t="str">
        <f t="shared" si="38"/>
        <v>Azizjon GANIEV - Uzbekistan</v>
      </c>
      <c r="H1242" s="125" t="str">
        <f t="shared" si="39"/>
        <v>UZB19</v>
      </c>
      <c r="I1242" s="125" t="s">
        <v>3788</v>
      </c>
    </row>
    <row r="1243" spans="1:9" ht="15" customHeight="1" x14ac:dyDescent="0.35">
      <c r="A1243" s="124">
        <v>20</v>
      </c>
      <c r="B1243" s="124" t="s">
        <v>283</v>
      </c>
      <c r="C1243" s="125" t="s">
        <v>2320</v>
      </c>
      <c r="D1243" s="125" t="s">
        <v>2321</v>
      </c>
      <c r="E1243" s="124" t="s">
        <v>2283</v>
      </c>
      <c r="F1243" s="125" t="s">
        <v>3769</v>
      </c>
      <c r="G1243" s="125" t="str">
        <f t="shared" si="38"/>
        <v>Azizbek AMONOV - Uzbekistan</v>
      </c>
      <c r="H1243" s="125" t="str">
        <f t="shared" si="39"/>
        <v>UZB20</v>
      </c>
      <c r="I1243" s="125" t="s">
        <v>3789</v>
      </c>
    </row>
    <row r="1244" spans="1:9" ht="15" customHeight="1" x14ac:dyDescent="0.35">
      <c r="A1244" s="124">
        <v>21</v>
      </c>
      <c r="B1244" s="124" t="s">
        <v>283</v>
      </c>
      <c r="C1244" s="125" t="s">
        <v>875</v>
      </c>
      <c r="D1244" s="125" t="s">
        <v>2322</v>
      </c>
      <c r="E1244" s="124" t="s">
        <v>2283</v>
      </c>
      <c r="F1244" s="125" t="s">
        <v>3769</v>
      </c>
      <c r="G1244" s="125" t="str">
        <f t="shared" si="38"/>
        <v>Igor SERGEEV - Uzbekistan</v>
      </c>
      <c r="H1244" s="125" t="str">
        <f t="shared" si="39"/>
        <v>UZB21</v>
      </c>
      <c r="I1244" s="125" t="s">
        <v>3790</v>
      </c>
    </row>
    <row r="1245" spans="1:9" ht="15" customHeight="1" x14ac:dyDescent="0.35">
      <c r="A1245" s="124">
        <v>22</v>
      </c>
      <c r="B1245" s="124" t="s">
        <v>280</v>
      </c>
      <c r="C1245" s="125" t="s">
        <v>2323</v>
      </c>
      <c r="D1245" s="125" t="s">
        <v>2324</v>
      </c>
      <c r="E1245" s="124" t="s">
        <v>2283</v>
      </c>
      <c r="F1245" s="125" t="s">
        <v>3769</v>
      </c>
      <c r="G1245" s="125" t="str">
        <f t="shared" si="38"/>
        <v>Abbosbek FAYZULLAEV - Uzbekistan</v>
      </c>
      <c r="H1245" s="125" t="str">
        <f t="shared" si="39"/>
        <v>UZB22</v>
      </c>
      <c r="I1245" s="125" t="s">
        <v>3791</v>
      </c>
    </row>
    <row r="1246" spans="1:9" ht="15" customHeight="1" x14ac:dyDescent="0.35">
      <c r="A1246" s="124">
        <v>23</v>
      </c>
      <c r="B1246" s="124" t="s">
        <v>280</v>
      </c>
      <c r="C1246" s="125" t="s">
        <v>2306</v>
      </c>
      <c r="D1246" s="125" t="s">
        <v>2325</v>
      </c>
      <c r="E1246" s="124" t="s">
        <v>2283</v>
      </c>
      <c r="F1246" s="125" t="s">
        <v>3769</v>
      </c>
      <c r="G1246" s="125" t="str">
        <f t="shared" si="38"/>
        <v>Sherzod ESANOV - Uzbekistan</v>
      </c>
      <c r="H1246" s="125" t="str">
        <f t="shared" si="39"/>
        <v>UZB23</v>
      </c>
      <c r="I1246" s="125" t="s">
        <v>3792</v>
      </c>
    </row>
    <row r="1247" spans="1:9" ht="15" customHeight="1" x14ac:dyDescent="0.35">
      <c r="A1247" s="124">
        <v>24</v>
      </c>
      <c r="B1247" s="124" t="s">
        <v>271</v>
      </c>
      <c r="C1247" s="125" t="s">
        <v>2326</v>
      </c>
      <c r="D1247" s="125" t="s">
        <v>2327</v>
      </c>
      <c r="E1247" s="124" t="s">
        <v>2283</v>
      </c>
      <c r="F1247" s="125" t="s">
        <v>3769</v>
      </c>
      <c r="G1247" s="125" t="str">
        <f t="shared" si="38"/>
        <v>Behruzjon KARIMOV - Uzbekistan</v>
      </c>
      <c r="H1247" s="125" t="str">
        <f t="shared" si="39"/>
        <v>UZB24</v>
      </c>
      <c r="I1247" s="125" t="s">
        <v>3793</v>
      </c>
    </row>
    <row r="1248" spans="1:9" ht="15" customHeight="1" x14ac:dyDescent="0.35">
      <c r="A1248" s="124">
        <v>25</v>
      </c>
      <c r="B1248" s="124" t="s">
        <v>271</v>
      </c>
      <c r="C1248" s="125" t="s">
        <v>2328</v>
      </c>
      <c r="D1248" s="125" t="s">
        <v>2329</v>
      </c>
      <c r="E1248" s="124" t="s">
        <v>2283</v>
      </c>
      <c r="F1248" s="125" t="s">
        <v>3769</v>
      </c>
      <c r="G1248" s="125" t="str">
        <f t="shared" si="38"/>
        <v>Avazbek ULMASALIYEV - Uzbekistan</v>
      </c>
      <c r="H1248" s="125" t="str">
        <f t="shared" si="39"/>
        <v>UZB25</v>
      </c>
      <c r="I1248" s="125" t="s">
        <v>3794</v>
      </c>
    </row>
    <row r="1249" spans="1:9" ht="15" customHeight="1" x14ac:dyDescent="0.35">
      <c r="A1249" s="124">
        <v>26</v>
      </c>
      <c r="B1249" s="124" t="s">
        <v>271</v>
      </c>
      <c r="C1249" s="125" t="s">
        <v>2330</v>
      </c>
      <c r="D1249" s="125" t="s">
        <v>2331</v>
      </c>
      <c r="E1249" s="124" t="s">
        <v>2283</v>
      </c>
      <c r="F1249" s="125" t="s">
        <v>3769</v>
      </c>
      <c r="G1249" s="125" t="str">
        <f t="shared" si="38"/>
        <v>Jakhongir UROZOV - Uzbekistan</v>
      </c>
      <c r="H1249" s="125" t="str">
        <f t="shared" si="39"/>
        <v>UZB26</v>
      </c>
      <c r="I1249" s="125" t="s">
        <v>3795</v>
      </c>
    </row>
  </sheetData>
  <autoFilter ref="B1:F1249" xr:uid="{00000000-0009-0000-0000-000001000000}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FIFA World Cup 2026</vt:lpstr>
      <vt:lpstr>Squad 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Fayolle</cp:lastModifiedBy>
  <dcterms:created xsi:type="dcterms:W3CDTF">2026-06-03T13:12:33Z</dcterms:created>
  <dcterms:modified xsi:type="dcterms:W3CDTF">2026-06-17T11:55:11Z</dcterms:modified>
</cp:coreProperties>
</file>