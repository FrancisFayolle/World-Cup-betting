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182" documentId="13_ncr:1_{AD0E7F59-3B0E-407E-93E9-FE21F83F93C7}" xr6:coauthVersionLast="47" xr6:coauthVersionMax="47" xr10:uidLastSave="{572F56A5-AEFB-43EC-A8FF-8034A07F0828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Lists'!$A$1:$E$1249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/>
  <c r="I42" i="1" a="1"/>
  <c r="I42" i="1"/>
  <c r="I43" i="1" a="1"/>
  <c r="I43" i="1" s="1"/>
  <c r="I44" i="1" a="1"/>
  <c r="I44" i="1" s="1"/>
  <c r="I45" i="1" a="1"/>
  <c r="I45" i="1"/>
  <c r="I46" i="1" a="1"/>
  <c r="I46" i="1" s="1"/>
  <c r="I47" i="1" a="1"/>
  <c r="I47" i="1"/>
  <c r="I48" i="1" a="1"/>
  <c r="I48" i="1" s="1"/>
  <c r="I49" i="1" a="1"/>
  <c r="I49" i="1" s="1"/>
  <c r="I50" i="1" a="1"/>
  <c r="I50" i="1" s="1"/>
  <c r="I51" i="1" a="1"/>
  <c r="I51" i="1" s="1"/>
  <c r="I52" i="1" a="1"/>
  <c r="I52" i="1"/>
  <c r="I53" i="1" a="1"/>
  <c r="I53" i="1" s="1"/>
  <c r="I54" i="1" a="1"/>
  <c r="I54" i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/>
  <c r="I62" i="1" a="1"/>
  <c r="I62" i="1" s="1"/>
  <c r="I63" i="1" a="1"/>
  <c r="I63" i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/>
  <c r="I78" i="1" a="1"/>
  <c r="I78" i="1" s="1"/>
  <c r="I79" i="1" a="1"/>
  <c r="I79" i="1" s="1"/>
  <c r="I80" i="1" a="1"/>
  <c r="I80" i="1"/>
  <c r="I81" i="1" a="1"/>
  <c r="I81" i="1" s="1"/>
  <c r="I82" i="1" a="1"/>
  <c r="I82" i="1"/>
  <c r="I83" i="1" a="1"/>
  <c r="I83" i="1" s="1"/>
  <c r="I84" i="1" a="1"/>
  <c r="I84" i="1" s="1"/>
  <c r="I85" i="1" a="1"/>
  <c r="I85" i="1" s="1"/>
  <c r="I86" i="1" a="1"/>
  <c r="I86" i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/>
  <c r="I2" i="1" a="1"/>
  <c r="I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<sst xmlns="http://schemas.openxmlformats.org/spreadsheetml/2006/main" count="5609" uniqueCount="2495">
  <si>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</si>
  <si>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</si>
  <si>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</si>
  <si>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</si>
  <si>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</si>
  <si>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</si>
  <si>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</si>
  <si>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</si>
  <si>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</si>
  <si>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</si>
  <si>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</si>
  <si>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</si>
  <si>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</si>
  <si>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</si>
  <si>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</si>
  <si>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</si>
  <si>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</si>
  <si>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</si>
  <si>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</si>
  <si>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</si>
  <si>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</si>
  <si>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</si>
  <si>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</si>
  <si>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</si>
  <si>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</si>
  <si>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</si>
  <si>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</si>
  <si>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</si>
  <si>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</si>
  <si>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</si>
  <si>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</si>
  <si>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</si>
  <si>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</si>
  <si>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</si>
  <si>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</si>
  <si>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</si>
  <si>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</si>
  <si>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</si>
  <si>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</si>
  <si>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</si>
  <si>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</si>
  <si>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</si>
  <si>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</si>
  <si>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</si>
  <si>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</si>
  <si>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</si>
  <si>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</si>
  <si>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</si>
  <si>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</si>
  <si>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</si>
  <si>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</si>
  <si>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</si>
  <si>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</si>
  <si>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</si>
  <si>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</si>
  <si>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</si>
  <si>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</si>
  <si>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</si>
  <si>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</si>
  <si>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</si>
  <si>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</si>
  <si>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</si>
  <si>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</si>
  <si>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</si>
  <si>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</si>
  <si>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</si>
  <si>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</si>
  <si>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</si>
  <si>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</si>
  <si>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</si>
  <si>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</si>
  <si>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</si>
  <si>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</si>
  <si>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</si>
  <si>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</si>
  <si>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</si>
  <si>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</si>
  <si>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</si>
  <si>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</si>
  <si>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</si>
  <si>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</si>
  <si>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</si>
  <si>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</si>
  <si>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</si>
  <si>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</si>
  <si>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</si>
  <si>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</si>
  <si>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</si>
  <si>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</si>
  <si>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</si>
  <si>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</si>
  <si>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</si>
  <si>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</si>
  <si>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</si>
  <si>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</si>
  <si>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</si>
  <si>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</si>
  <si>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</si>
  <si>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</si>
  <si>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</si>
  <si>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</si>
  <si>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</si>
  <si>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</si>
  <si>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</si>
  <si>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</si>
  <si>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</si>
  <si>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</si>
  <si>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</si>
  <si>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</si>
  <si>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</si>
  <si>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</si>
  <si>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</si>
  <si>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</si>
  <si>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</si>
  <si>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</si>
  <si>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</si>
  <si>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</si>
  <si>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</si>
  <si>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</si>
  <si>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</si>
  <si>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</si>
  <si>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</si>
  <si>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</si>
  <si>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</si>
  <si>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</si>
  <si>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</si>
  <si>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</si>
  <si>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</si>
  <si>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</si>
  <si>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</si>
  <si>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</si>
  <si>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</si>
  <si>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</si>
  <si>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</si>
  <si>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</si>
  <si>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</si>
  <si>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</si>
  <si>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</si>
  <si>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</si>
  <si>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</si>
  <si>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</si>
  <si>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</si>
  <si>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</si>
  <si>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</si>
  <si>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</si>
  <si>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</si>
  <si>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</si>
  <si>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</si>
  <si>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</si>
  <si>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</si>
  <si>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</si>
  <si>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</si>
  <si>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</si>
  <si>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</si>
  <si>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</si>
  <si>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</si>
  <si>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</si>
  <si>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</si>
  <si>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</si>
  <si>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</si>
  <si>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</si>
  <si>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</si>
  <si>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</si>
  <si>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</si>
  <si>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</si>
  <si>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</si>
  <si>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</si>
  <si>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</si>
  <si>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</si>
  <si>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</si>
  <si>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</si>
  <si>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</si>
  <si>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</si>
  <si>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</si>
  <si>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</si>
  <si>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</si>
  <si>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</si>
  <si>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</si>
  <si>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</si>
  <si>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</si>
  <si>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</si>
  <si>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</si>
  <si>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</si>
  <si>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</si>
  <si>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</si>
  <si>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</si>
  <si>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</si>
  <si>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</si>
  <si>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</si>
  <si>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</si>
  <si>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</si>
  <si>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</si>
  <si>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</si>
  <si>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</si>
  <si>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</si>
  <si>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</si>
  <si>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</si>
  <si>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</si>
  <si>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</si>
  <si>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</si>
  <si>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</si>
  <si>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</si>
  <si>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</si>
  <si>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</si>
  <si>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</si>
  <si>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</si>
  <si>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</si>
  <si>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</si>
  <si>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</si>
  <si>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</si>
  <si>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</si>
  <si>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</si>
  <si>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</si>
  <si>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</si>
  <si>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</si>
  <si>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</si>
  <si>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</si>
  <si>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</si>
  <si>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</si>
  <si>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</si>
  <si>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</si>
  <si>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</si>
  <si>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</si>
  <si>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</si>
  <si>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</si>
  <si>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</si>
  <si>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</si>
  <si>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</si>
  <si>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</si>
  <si>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</si>
  <si>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</si>
  <si>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</si>
  <si>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</si>
  <si>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</si>
  <si>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</si>
  <si>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</si>
  <si>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</si>
  <si>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</si>
  <si>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</si>
  <si>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</si>
  <si>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</si>
  <si>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</si>
  <si>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</si>
  <si>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</si>
  <si>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</si>
  <si>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</si>
  <si>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</si>
  <si>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</si>
  <si>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</si>
  <si>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</si>
  <si>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11/07/2026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</si>
  <si>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</si>
  <si>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</si>
  <si>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</si>
  <si>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</si>
  <si>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</si>
  <si>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</si>
  <si>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</si>
  <si>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</si>
  <si>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18/07/2026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</si>
  <si>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</si>
  <si>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</si>
  <si>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</si>
  <si>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</si>
  <si>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</si>
  <si>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</si>
  <si>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</si>
  <si>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</si>
  <si>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</si>
  <si>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</si>
  <si>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</si>
  <si>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</si>
  <si>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</si>
  <si>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</si>
  <si>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</si>
  <si>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</si>
  <si>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</si>
  <si>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</si>
  <si>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</si>
  <si>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</si>
  <si>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</si>
  <si>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</si>
  <si>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</si>
  <si>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</si>
  <si>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</si>
  <si>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</si>
  <si>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</si>
  <si>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</si>
  <si>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</si>
  <si>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</si>
  <si>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</si>
  <si>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</si>
  <si>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</si>
  <si>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</si>
  <si>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</si>
  <si>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</si>
  <si>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</si>
  <si>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</si>
  <si>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</si>
  <si>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</si>
  <si>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</si>
  <si>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</si>
  <si>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</si>
  <si>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</si>
  <si>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</si>
  <si>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</si>
  <si>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</si>
  <si>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</si>
  <si>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</si>
  <si>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</si>
  <si>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</si>
  <si>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</si>
  <si>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</si>
  <si>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</si>
  <si>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</si>
  <si>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</si>
  <si>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</si>
  <si>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</si>
  <si>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</si>
  <si>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</si>
  <si>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</si>
  <si>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</si>
  <si>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</si>
  <si>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</si>
  <si>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</si>
  <si>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</si>
  <si>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</si>
  <si>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</si>
  <si>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Leonardo</t>
  </si>
  <si>
    <t>BALERDI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</si>
  <si>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</si>
  <si>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</si>
  <si>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</si>
  <si>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</si>
  <si>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</si>
  <si>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</si>
  <si>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</si>
  <si>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</si>
  <si>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</si>
  <si>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</si>
  <si>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</si>
  <si>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</si>
  <si>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</si>
  <si>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</si>
  <si>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</si>
  <si>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</si>
  <si>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</si>
  <si>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</si>
  <si>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</si>
  <si>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</si>
  <si>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</si>
  <si>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</si>
  <si>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</si>
  <si>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</si>
  <si>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</si>
  <si>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</si>
  <si>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</si>
  <si>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</si>
  <si>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</si>
  <si>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</si>
  <si>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</si>
  <si>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</si>
  <si>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</si>
  <si>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</si>
  <si>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</si>
  <si>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</si>
  <si>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</si>
  <si>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</si>
  <si>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</si>
  <si>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</si>
  <si>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</si>
  <si>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</si>
  <si>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</si>
  <si>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</si>
  <si>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</si>
  <si>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</si>
  <si>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</si>
  <si>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</si>
  <si>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</si>
  <si>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</si>
  <si>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</si>
  <si>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</si>
  <si>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</si>
  <si>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</si>
  <si>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</si>
  <si>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</si>
  <si>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</si>
  <si>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</si>
  <si>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</si>
  <si>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</si>
  <si>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</si>
  <si>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</si>
  <si>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</si>
  <si>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</si>
  <si>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</si>
  <si>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</si>
  <si>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</si>
  <si>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</si>
  <si>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</si>
  <si>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</si>
  <si>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</si>
  <si>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</si>
  <si>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</si>
  <si>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</si>
  <si>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</si>
  <si>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</si>
  <si>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</si>
  <si>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</si>
  <si>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</si>
  <si>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</si>
  <si>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</si>
  <si>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</si>
  <si>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</si>
  <si>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</si>
  <si>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</si>
  <si>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</si>
  <si>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</si>
  <si>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</si>
  <si>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</si>
  <si>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</si>
  <si>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</si>
  <si>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</si>
  <si>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</si>
  <si>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</si>
  <si>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</si>
  <si>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</si>
  <si>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</si>
  <si>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</si>
  <si>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</si>
  <si>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</si>
  <si>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</si>
  <si>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</si>
  <si>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</si>
  <si>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</si>
  <si>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</si>
  <si>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</si>
  <si>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</si>
  <si>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</si>
  <si>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</si>
  <si>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</si>
  <si>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</si>
  <si>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</si>
  <si>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</si>
  <si>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</si>
  <si>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</si>
  <si>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</si>
  <si>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</si>
  <si>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</si>
  <si>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</si>
  <si>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</si>
  <si>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</si>
  <si>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</si>
  <si>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</si>
  <si>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</si>
  <si>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Christoph</t>
  </si>
  <si>
    <t>BAUMGARTNER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</si>
  <si>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</si>
  <si>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</si>
  <si>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</si>
  <si>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</si>
  <si>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</si>
  <si>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</si>
  <si>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</si>
  <si>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</si>
  <si>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</si>
  <si>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</si>
  <si>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</si>
  <si>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</si>
  <si>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</si>
  <si>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</si>
  <si>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</si>
  <si>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</si>
  <si>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</si>
  <si>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</si>
  <si>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</si>
  <si>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</si>
  <si>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</si>
  <si>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</si>
  <si>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</si>
  <si>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</si>
  <si>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</si>
  <si>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</si>
  <si>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</si>
  <si>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</si>
  <si>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</si>
  <si>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</si>
  <si>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</si>
  <si>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</si>
  <si>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</si>
  <si>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</si>
  <si>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</si>
  <si>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</si>
  <si>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</si>
  <si>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</si>
  <si>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</si>
  <si>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</si>
  <si>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</si>
  <si>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</si>
  <si>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</si>
  <si>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</si>
  <si>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</si>
  <si>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</si>
  <si>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</si>
  <si>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</si>
  <si>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</si>
  <si>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</si>
  <si>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</si>
  <si>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</si>
  <si>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</si>
  <si>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</si>
  <si>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</si>
  <si>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</si>
  <si>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</si>
  <si>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</si>
  <si>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</si>
  <si>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</si>
  <si>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</si>
  <si>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</si>
  <si>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</si>
  <si>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</si>
  <si>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</si>
  <si>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</si>
  <si>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</si>
  <si>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</si>
  <si>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</si>
  <si>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</si>
  <si>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</si>
  <si>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</si>
  <si>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</si>
  <si>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</si>
  <si>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</si>
  <si>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</si>
  <si>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</si>
  <si>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</si>
  <si>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</si>
  <si>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</si>
  <si>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</si>
  <si>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</si>
  <si>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</si>
  <si>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</si>
  <si>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</si>
  <si>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</si>
  <si>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</si>
  <si>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</si>
  <si>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</si>
  <si>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</si>
  <si>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</si>
  <si>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</si>
  <si>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</si>
  <si>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</si>
  <si>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</si>
  <si>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</si>
  <si>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</si>
  <si>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</si>
  <si>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</si>
  <si>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</si>
  <si>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</si>
  <si>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</si>
  <si>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Nidal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</si>
  <si>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</si>
  <si>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</si>
  <si>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</si>
  <si>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</si>
  <si>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</si>
  <si>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</si>
  <si>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</si>
  <si>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</si>
  <si>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Wesley</t>
  </si>
  <si>
    <t>VINÍCIUS</t>
  </si>
  <si>
    <t>Gabriel</t>
  </si>
  <si>
    <t>MAGALHAES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</si>
  <si>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</si>
  <si>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</si>
  <si>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</si>
  <si>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</si>
  <si>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</si>
  <si>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</si>
  <si>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</si>
  <si>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</si>
  <si>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</si>
  <si>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</si>
  <si>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</si>
  <si>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</si>
  <si>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</si>
  <si>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</si>
  <si>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</si>
  <si>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</si>
  <si>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</si>
  <si>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</si>
  <si>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</si>
  <si>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</si>
  <si>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</si>
  <si>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</si>
  <si>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</si>
  <si>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</si>
  <si>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</si>
  <si>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</si>
  <si>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</si>
  <si>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</si>
  <si>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</si>
  <si>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</si>
  <si>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</si>
  <si>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</si>
  <si>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</si>
  <si>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</si>
  <si>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</si>
  <si>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</si>
  <si>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</si>
  <si>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</si>
  <si>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</si>
  <si>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</si>
  <si>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</si>
  <si>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</si>
  <si>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</si>
  <si>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</si>
  <si>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</si>
  <si>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</si>
  <si>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</si>
  <si>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</si>
  <si>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</si>
  <si>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</si>
  <si>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</si>
  <si>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</si>
  <si>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</si>
  <si>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</si>
  <si>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</si>
  <si>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</si>
  <si>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</si>
  <si>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</si>
  <si>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</si>
  <si>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</si>
  <si>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</si>
  <si>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</si>
  <si>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</si>
  <si>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</si>
  <si>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</si>
  <si>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</si>
  <si>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</si>
  <si>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</si>
  <si>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</si>
  <si>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</si>
  <si>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</si>
  <si>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</si>
  <si>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</si>
  <si>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</si>
  <si>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</si>
  <si>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</si>
  <si>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</si>
  <si>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</si>
  <si>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</si>
  <si>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</si>
  <si>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</si>
  <si>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</si>
  <si>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</si>
  <si>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</si>
  <si>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</si>
  <si>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</si>
  <si>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</si>
  <si>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</si>
  <si>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</si>
  <si>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</si>
  <si>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</si>
  <si>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</si>
  <si>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</si>
  <si>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</si>
  <si>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</si>
  <si>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</si>
  <si>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</si>
  <si>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</si>
  <si>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</si>
  <si>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</si>
  <si>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</si>
  <si>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</si>
  <si>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</si>
  <si>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</si>
  <si>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</si>
  <si>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</si>
  <si>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</si>
  <si>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</si>
  <si>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</si>
  <si>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</si>
  <si>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</si>
  <si>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</si>
  <si>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</si>
  <si>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</si>
  <si>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</si>
  <si>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</si>
  <si>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</si>
  <si>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</si>
  <si>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</si>
  <si>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</si>
  <si>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</si>
  <si>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</si>
  <si>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</si>
  <si>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</si>
  <si>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</si>
  <si>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</si>
  <si>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</si>
  <si>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</si>
  <si>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</si>
  <si>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</si>
  <si>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</si>
  <si>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</si>
  <si>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</si>
  <si>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</si>
  <si>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</si>
  <si>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</si>
  <si>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</si>
  <si>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</si>
  <si>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</si>
  <si>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</si>
  <si>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</si>
  <si>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</si>
  <si>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</si>
  <si>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</si>
  <si>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Marcelo</t>
  </si>
  <si>
    <t>FLORES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</si>
  <si>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</si>
  <si>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</si>
  <si>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</si>
  <si>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</si>
  <si>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</si>
  <si>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</si>
  <si>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</si>
  <si>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</si>
  <si>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</si>
  <si>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</si>
  <si>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</si>
  <si>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</si>
  <si>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</si>
  <si>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</si>
  <si>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</si>
  <si>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</si>
  <si>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</si>
  <si>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</si>
  <si>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</si>
  <si>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</si>
  <si>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</si>
  <si>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</si>
  <si>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</si>
  <si>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</si>
  <si>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</si>
  <si>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</si>
  <si>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</si>
  <si>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</si>
  <si>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</si>
  <si>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</si>
  <si>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</si>
  <si>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</si>
  <si>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</si>
  <si>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</si>
  <si>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</si>
  <si>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</si>
  <si>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</si>
  <si>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</si>
  <si>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</si>
  <si>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</si>
  <si>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</si>
  <si>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</si>
  <si>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</si>
  <si>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</si>
  <si>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</si>
  <si>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</si>
  <si>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</si>
  <si>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</si>
  <si>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</si>
  <si>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</si>
  <si>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</si>
  <si>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</si>
  <si>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</si>
  <si>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</si>
  <si>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</si>
  <si>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</si>
  <si>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</si>
  <si>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</si>
  <si>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</si>
  <si>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</si>
  <si>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</si>
  <si>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</si>
  <si>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</si>
  <si>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</si>
  <si>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</si>
  <si>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</si>
  <si>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</si>
  <si>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</si>
  <si>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</si>
  <si>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</si>
  <si>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</si>
  <si>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</si>
  <si>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</si>
  <si>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</si>
  <si>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</si>
  <si>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</si>
  <si>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</si>
  <si>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</si>
  <si>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</si>
  <si>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</si>
  <si>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</si>
  <si>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</si>
  <si>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</si>
  <si>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</si>
  <si>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</si>
  <si>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</si>
  <si>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</si>
  <si>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</si>
  <si>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</si>
  <si>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</si>
  <si>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</si>
  <si>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</si>
  <si>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</si>
  <si>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</si>
  <si>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</si>
  <si>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</si>
  <si>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</si>
  <si>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</si>
  <si>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</si>
  <si>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</si>
  <si>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</si>
  <si>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</si>
  <si>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</si>
  <si>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</si>
  <si>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</si>
  <si>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</si>
  <si>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</si>
  <si>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</si>
  <si>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</si>
  <si>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</si>
  <si>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</si>
  <si>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</si>
  <si>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</si>
  <si>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</si>
  <si>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</si>
  <si>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</si>
  <si>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</si>
  <si>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</si>
  <si>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</si>
  <si>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</si>
  <si>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</si>
  <si>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</si>
  <si>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</si>
  <si>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</si>
  <si>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</si>
  <si>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</si>
  <si>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</si>
  <si>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</si>
  <si>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</si>
  <si>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</si>
  <si>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</si>
  <si>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</si>
  <si>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</si>
  <si>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</si>
  <si>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</si>
  <si>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</si>
  <si>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</si>
  <si>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</si>
  <si>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</si>
  <si>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</si>
  <si>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</si>
  <si>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</si>
  <si>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</si>
  <si>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</si>
  <si>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</si>
  <si>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</si>
  <si>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</si>
  <si>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</si>
  <si>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</si>
  <si>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</si>
  <si>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</si>
  <si>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</si>
  <si>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</si>
  <si>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</si>
  <si>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</si>
  <si>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</si>
  <si>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</si>
  <si>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</si>
  <si>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</si>
  <si>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</si>
  <si>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</si>
  <si>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</si>
  <si>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</si>
  <si>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</si>
  <si>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</si>
  <si>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</si>
  <si>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</si>
  <si>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</si>
  <si>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</si>
  <si>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</si>
  <si>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</si>
  <si>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</si>
  <si>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</si>
  <si>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</si>
  <si>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</si>
  <si>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</si>
  <si>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</si>
  <si>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</si>
  <si>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</si>
  <si>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</si>
  <si>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</si>
  <si>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</si>
  <si>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</si>
  <si>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</si>
  <si>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</si>
  <si>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</si>
  <si>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</si>
  <si>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</si>
  <si>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</si>
  <si>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</si>
  <si>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</si>
  <si>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</si>
  <si>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</si>
  <si>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</si>
  <si>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</si>
  <si>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</si>
  <si>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</si>
  <si>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</si>
  <si>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</si>
  <si>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</si>
  <si>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</si>
  <si>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</si>
  <si>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</si>
  <si>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</si>
  <si>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</si>
  <si>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</si>
  <si>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</si>
  <si>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</si>
  <si>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</si>
  <si>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</si>
  <si>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</si>
  <si>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</si>
  <si>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</si>
  <si>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</si>
  <si>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</si>
  <si>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</si>
  <si>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</si>
  <si>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</si>
  <si>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</si>
  <si>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</si>
  <si>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</si>
  <si>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</si>
  <si>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</si>
  <si>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</si>
  <si>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</si>
  <si>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</si>
  <si>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</si>
  <si>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</si>
  <si>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</si>
  <si>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</si>
  <si>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</si>
  <si>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</si>
  <si>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</si>
  <si>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</si>
  <si>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</si>
  <si>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</si>
  <si>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</si>
  <si>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</si>
  <si>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</si>
  <si>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</si>
  <si>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</si>
  <si>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</si>
  <si>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</si>
  <si>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</si>
  <si>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</si>
  <si>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</si>
  <si>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</si>
  <si>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</si>
  <si>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</si>
  <si>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</si>
  <si>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</si>
  <si>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</si>
  <si>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</si>
  <si>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</si>
  <si>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</si>
  <si>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</si>
  <si>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</si>
  <si>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</si>
  <si>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</si>
  <si>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</si>
  <si>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</si>
  <si>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</si>
  <si>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</si>
  <si>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</si>
  <si>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</si>
  <si>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</si>
  <si>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</si>
  <si>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</si>
  <si>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</si>
  <si>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</si>
  <si>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</si>
  <si>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</si>
  <si>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</si>
  <si>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</si>
  <si>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</si>
  <si>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</si>
  <si>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</si>
  <si>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</si>
  <si>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</si>
  <si>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</si>
  <si>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</si>
  <si>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</si>
  <si>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</si>
  <si>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</si>
  <si>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</si>
  <si>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</si>
  <si>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</si>
  <si>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</si>
  <si>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</si>
  <si>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</si>
  <si>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</si>
  <si>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</si>
  <si>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</si>
  <si>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</si>
  <si>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</si>
  <si>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</si>
  <si>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</si>
  <si>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</si>
  <si>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</si>
  <si>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</si>
  <si>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</si>
  <si>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</si>
  <si>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</si>
  <si>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</si>
  <si>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</si>
  <si>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</si>
  <si>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</si>
  <si>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</si>
  <si>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</si>
  <si>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</si>
  <si>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</si>
  <si>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</si>
  <si>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</si>
  <si>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</si>
  <si>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</si>
  <si>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</si>
  <si>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</si>
  <si>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</si>
  <si>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</si>
  <si>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</si>
  <si>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</si>
  <si>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</si>
  <si>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</si>
  <si>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</si>
  <si>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</si>
  <si>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</si>
  <si>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</si>
  <si>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</si>
  <si>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</si>
  <si>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</si>
  <si>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</si>
  <si>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</si>
  <si>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</si>
  <si>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</si>
  <si>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</si>
  <si>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</si>
  <si>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</si>
  <si>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</si>
  <si>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</si>
  <si>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</si>
  <si>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</si>
  <si>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</si>
  <si>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</si>
  <si>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</si>
  <si>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</si>
  <si>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</si>
  <si>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</si>
  <si>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</si>
  <si>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</si>
  <si>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</si>
  <si>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</si>
  <si>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</si>
  <si>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</si>
  <si>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</si>
  <si>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</si>
  <si>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</si>
  <si>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</si>
  <si>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</si>
  <si>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</si>
  <si>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</si>
  <si>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</si>
  <si>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</si>
  <si>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</si>
  <si>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</si>
  <si>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</si>
  <si>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</si>
  <si>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</si>
  <si>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</si>
  <si>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</si>
  <si>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</si>
  <si>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Tino</t>
  </si>
  <si>
    <t>LIVRAMENTO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</si>
  <si>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</si>
  <si>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</si>
  <si>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</si>
  <si>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</si>
  <si>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</si>
  <si>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</si>
  <si>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</si>
  <si>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</si>
  <si>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</si>
  <si>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</si>
  <si>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</si>
  <si>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</si>
  <si>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</si>
  <si>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</si>
  <si>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</si>
  <si>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</si>
  <si>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</si>
  <si>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</si>
  <si>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</si>
  <si>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</si>
  <si>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</si>
  <si>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</si>
  <si>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</si>
  <si>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</si>
  <si>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</si>
  <si>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</si>
  <si>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</si>
  <si>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</si>
  <si>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</si>
  <si>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</si>
  <si>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</si>
  <si>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</si>
  <si>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</si>
  <si>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</si>
  <si>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</si>
  <si>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</si>
  <si>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</si>
  <si>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</si>
  <si>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</si>
  <si>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</si>
  <si>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</si>
  <si>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</si>
  <si>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</si>
  <si>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</si>
  <si>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</si>
  <si>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</si>
  <si>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</si>
  <si>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</si>
  <si>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</si>
  <si>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</si>
  <si>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</si>
  <si>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</si>
  <si>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</si>
  <si>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</si>
  <si>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</si>
  <si>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</si>
  <si>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</si>
  <si>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</si>
  <si>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</si>
  <si>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</si>
  <si>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</si>
  <si>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</si>
  <si>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</si>
  <si>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</si>
  <si>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</si>
  <si>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</si>
  <si>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</si>
  <si>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</si>
  <si>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</si>
  <si>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</si>
  <si>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</si>
  <si>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</si>
  <si>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</si>
  <si>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</si>
  <si>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</si>
  <si>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</si>
  <si>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</si>
  <si>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</si>
  <si>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</si>
  <si>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</si>
  <si>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</si>
  <si>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</si>
  <si>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</si>
  <si>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</si>
  <si>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</si>
  <si>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</si>
  <si>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</si>
  <si>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</si>
  <si>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</si>
  <si>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</si>
  <si>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</si>
  <si>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</si>
  <si>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</si>
  <si>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</si>
  <si>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</si>
  <si>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</si>
  <si>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</si>
  <si>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</si>
  <si>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</si>
  <si>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</si>
  <si>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</si>
  <si>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</si>
  <si>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Lennart</t>
  </si>
  <si>
    <t>KARL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</si>
  <si>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</si>
  <si>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</si>
  <si>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</si>
  <si>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</si>
  <si>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</si>
  <si>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</si>
  <si>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</si>
  <si>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</si>
  <si>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</si>
  <si>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</si>
  <si>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</si>
  <si>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</si>
  <si>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</si>
  <si>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</si>
  <si>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</si>
  <si>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</si>
  <si>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</si>
  <si>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</si>
  <si>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</si>
  <si>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</si>
  <si>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</si>
  <si>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</si>
  <si>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</si>
  <si>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</si>
  <si>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</si>
  <si>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</si>
  <si>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</si>
  <si>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</si>
  <si>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</si>
  <si>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</si>
  <si>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</si>
  <si>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</si>
  <si>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</si>
  <si>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</si>
  <si>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</si>
  <si>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</si>
  <si>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</si>
  <si>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</si>
  <si>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</si>
  <si>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</si>
  <si>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</si>
  <si>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</si>
  <si>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</si>
  <si>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</si>
  <si>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</si>
  <si>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</si>
  <si>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</si>
  <si>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</si>
  <si>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</si>
  <si>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</si>
  <si>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</si>
  <si>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</si>
  <si>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</si>
  <si>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</si>
  <si>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</si>
  <si>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</si>
  <si>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</si>
  <si>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</si>
  <si>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</si>
  <si>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</si>
  <si>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</si>
  <si>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</si>
  <si>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</si>
  <si>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</si>
  <si>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</si>
  <si>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</si>
  <si>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</si>
  <si>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</si>
  <si>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</si>
  <si>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</si>
  <si>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</si>
  <si>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</si>
  <si>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</si>
  <si>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</si>
  <si>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</si>
  <si>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Leverton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</si>
  <si>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</si>
  <si>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</si>
  <si>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</si>
  <si>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</si>
  <si>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</si>
  <si>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</si>
  <si>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</si>
  <si>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</si>
  <si>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</si>
  <si>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</si>
  <si>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</si>
  <si>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</si>
  <si>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</si>
  <si>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</si>
  <si>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</si>
  <si>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</si>
  <si>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</si>
  <si>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</si>
  <si>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</si>
  <si>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</si>
  <si>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</si>
  <si>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</si>
  <si>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</si>
  <si>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</si>
  <si>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</si>
  <si>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</si>
  <si>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</si>
  <si>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</si>
  <si>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</si>
  <si>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</si>
  <si>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</si>
  <si>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</si>
  <si>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</si>
  <si>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</si>
  <si>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</si>
  <si>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</si>
  <si>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</si>
  <si>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</si>
  <si>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</si>
  <si>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</si>
  <si>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</si>
  <si>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</si>
  <si>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</si>
  <si>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</si>
  <si>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</si>
  <si>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</si>
  <si>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</si>
  <si>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</si>
  <si>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</si>
  <si>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</si>
  <si>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</si>
  <si>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</si>
  <si>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</si>
  <si>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</si>
  <si>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</si>
  <si>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</si>
  <si>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</si>
  <si>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</si>
  <si>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</si>
  <si>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</si>
  <si>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</si>
  <si>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</si>
  <si>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</si>
  <si>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</si>
  <si>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</si>
  <si>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</si>
  <si>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</si>
  <si>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</si>
  <si>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</si>
  <si>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</si>
  <si>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</si>
  <si>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</si>
  <si>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</si>
  <si>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</si>
  <si>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</si>
  <si>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</si>
  <si>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</si>
  <si>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</si>
  <si>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</si>
  <si>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</si>
  <si>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</si>
  <si>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</si>
  <si>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</si>
  <si>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</si>
  <si>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</si>
  <si>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</si>
  <si>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</si>
  <si>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</si>
  <si>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</si>
  <si>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</si>
  <si>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</si>
  <si>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</si>
  <si>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</si>
  <si>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</si>
  <si>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</si>
  <si>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</si>
  <si>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</si>
  <si>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</si>
  <si>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</si>
  <si>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</si>
  <si>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</si>
  <si>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</si>
  <si>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</si>
  <si>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</si>
  <si>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</si>
  <si>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</si>
  <si>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</si>
  <si>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</si>
  <si>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</si>
  <si>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</si>
  <si>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</si>
  <si>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</si>
  <si>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</si>
  <si>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</si>
  <si>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</si>
  <si>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</si>
  <si>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</si>
  <si>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Wataru</t>
  </si>
  <si>
    <t>ENDO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</si>
  <si>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</si>
  <si>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</si>
  <si>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</si>
  <si>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</si>
  <si>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</si>
  <si>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</si>
  <si>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</si>
  <si>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</si>
  <si>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</si>
  <si>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</si>
  <si>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</si>
  <si>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</si>
  <si>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</si>
  <si>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</si>
  <si>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</si>
  <si>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</si>
  <si>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</si>
  <si>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</si>
  <si>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</si>
  <si>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</si>
  <si>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</si>
  <si>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</si>
  <si>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</si>
  <si>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</si>
  <si>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</si>
  <si>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</si>
  <si>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</si>
  <si>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</si>
  <si>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</si>
  <si>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</si>
  <si>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</si>
  <si>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</si>
  <si>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</si>
  <si>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</si>
  <si>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</si>
  <si>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</si>
  <si>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</si>
  <si>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</si>
  <si>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</si>
  <si>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</si>
  <si>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</si>
  <si>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</si>
  <si>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</si>
  <si>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</si>
  <si>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</si>
  <si>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</si>
  <si>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</si>
  <si>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</si>
  <si>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</si>
  <si>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</si>
  <si>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</si>
  <si>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</si>
  <si>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</si>
  <si>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</si>
  <si>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</si>
  <si>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</si>
  <si>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</si>
  <si>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</si>
  <si>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</si>
  <si>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</si>
  <si>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</si>
  <si>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</si>
  <si>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</si>
  <si>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</si>
  <si>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</si>
  <si>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SABRA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</si>
  <si>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</si>
  <si>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</si>
  <si>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</si>
  <si>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</si>
  <si>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</si>
  <si>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</si>
  <si>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</si>
  <si>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</si>
  <si>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</si>
  <si>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</si>
  <si>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</si>
  <si>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</si>
  <si>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</si>
  <si>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</si>
  <si>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</si>
  <si>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</si>
  <si>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</si>
  <si>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</si>
  <si>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</si>
  <si>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</si>
  <si>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</si>
  <si>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</si>
  <si>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</si>
  <si>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</si>
  <si>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</si>
  <si>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</si>
  <si>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</si>
  <si>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</si>
  <si>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</si>
  <si>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</si>
  <si>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</si>
  <si>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</si>
  <si>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</si>
  <si>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</si>
  <si>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</si>
  <si>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</si>
  <si>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</si>
  <si>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</si>
  <si>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</si>
  <si>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</si>
  <si>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</si>
  <si>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</si>
  <si>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</si>
  <si>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</si>
  <si>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</si>
  <si>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</si>
  <si>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</si>
  <si>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</si>
  <si>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</si>
  <si>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</si>
  <si>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</si>
  <si>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</si>
  <si>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</si>
  <si>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</si>
  <si>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</si>
  <si>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</si>
  <si>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</si>
  <si>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</si>
  <si>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</si>
  <si>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</si>
  <si>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</si>
  <si>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</si>
  <si>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</si>
  <si>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</si>
  <si>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</si>
  <si>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</si>
  <si>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</si>
  <si>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</si>
  <si>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</si>
  <si>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</si>
  <si>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</si>
  <si>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</si>
  <si>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</si>
  <si>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</si>
  <si>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</si>
  <si>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</si>
  <si>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</si>
  <si>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</si>
  <si>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</si>
  <si>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</si>
  <si>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</si>
  <si>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</si>
  <si>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</si>
  <si>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</si>
  <si>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</si>
  <si>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</si>
  <si>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</si>
  <si>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</si>
  <si>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</si>
  <si>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</si>
  <si>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</si>
  <si>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</si>
  <si>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</si>
  <si>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</si>
  <si>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Nayef</t>
  </si>
  <si>
    <t>AGUERD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</si>
  <si>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</si>
  <si>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</si>
  <si>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</si>
  <si>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</si>
  <si>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</si>
  <si>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</si>
  <si>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</si>
  <si>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</si>
  <si>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</si>
  <si>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</si>
  <si>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</si>
  <si>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</si>
  <si>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</si>
  <si>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</si>
  <si>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</si>
  <si>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</si>
  <si>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</si>
  <si>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</si>
  <si>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</si>
  <si>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Abde</t>
  </si>
  <si>
    <t>EZZALZOULI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</si>
  <si>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</si>
  <si>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</si>
  <si>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</si>
  <si>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</si>
  <si>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</si>
  <si>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</si>
  <si>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</si>
  <si>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</si>
  <si>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</si>
  <si>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</si>
  <si>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</si>
  <si>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</si>
  <si>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</si>
  <si>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</si>
  <si>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</si>
  <si>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</si>
  <si>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</si>
  <si>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</si>
  <si>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</si>
  <si>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Jurrien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</si>
  <si>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</si>
  <si>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</si>
  <si>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</si>
  <si>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</si>
  <si>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</si>
  <si>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</si>
  <si>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</si>
  <si>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</si>
  <si>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</si>
  <si>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</si>
  <si>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</si>
  <si>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</si>
  <si>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</si>
  <si>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</si>
  <si>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</si>
  <si>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</si>
  <si>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</si>
  <si>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</si>
  <si>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</si>
  <si>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</si>
  <si>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</si>
  <si>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</si>
  <si>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</si>
  <si>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</si>
  <si>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</si>
  <si>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</si>
  <si>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</si>
  <si>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</si>
  <si>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</si>
  <si>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</si>
  <si>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</si>
  <si>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</si>
  <si>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</si>
  <si>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</si>
  <si>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</si>
  <si>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</si>
  <si>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</si>
  <si>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</si>
  <si>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</si>
  <si>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</si>
  <si>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</si>
  <si>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</si>
  <si>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</si>
  <si>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</si>
  <si>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</si>
  <si>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</si>
  <si>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</si>
  <si>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</si>
  <si>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</si>
  <si>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</si>
  <si>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</si>
  <si>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</si>
  <si>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</si>
  <si>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</si>
  <si>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</si>
  <si>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</si>
  <si>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Matthew</t>
  </si>
  <si>
    <t>GARBETT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</si>
  <si>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</si>
  <si>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</si>
  <si>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</si>
  <si>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</si>
  <si>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</si>
  <si>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</si>
  <si>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</si>
  <si>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</si>
  <si>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</si>
  <si>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</si>
  <si>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</si>
  <si>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</si>
  <si>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</si>
  <si>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</si>
  <si>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</si>
  <si>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</si>
  <si>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</si>
  <si>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</si>
  <si>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</si>
  <si>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</si>
  <si>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</si>
  <si>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</si>
  <si>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</si>
  <si>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</si>
  <si>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</si>
  <si>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</si>
  <si>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</si>
  <si>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</si>
  <si>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</si>
  <si>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</si>
  <si>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</si>
  <si>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</si>
  <si>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</si>
  <si>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</si>
  <si>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</si>
  <si>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</si>
  <si>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</si>
  <si>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</si>
  <si>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</si>
  <si>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</si>
  <si>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</si>
  <si>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</si>
  <si>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</si>
  <si>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</si>
  <si>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</si>
  <si>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</si>
  <si>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</si>
  <si>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</si>
  <si>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</si>
  <si>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</si>
  <si>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</si>
  <si>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</si>
  <si>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</si>
  <si>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</si>
  <si>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</si>
  <si>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</si>
  <si>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</si>
  <si>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</si>
  <si>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</si>
  <si>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</si>
  <si>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</si>
  <si>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</si>
  <si>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</si>
  <si>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</si>
  <si>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</si>
  <si>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</si>
  <si>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</si>
  <si>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</si>
  <si>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</si>
  <si>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</si>
  <si>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</si>
  <si>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</si>
  <si>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</si>
  <si>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</si>
  <si>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</si>
  <si>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</si>
  <si>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</si>
  <si>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</si>
  <si>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</si>
  <si>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</si>
  <si>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</si>
  <si>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</si>
  <si>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</si>
  <si>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</si>
  <si>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</si>
  <si>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</si>
  <si>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</si>
  <si>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</si>
  <si>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</si>
  <si>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</si>
  <si>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</si>
  <si>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</si>
  <si>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</si>
  <si>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</si>
  <si>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</si>
  <si>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</si>
  <si>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</si>
  <si>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</si>
  <si>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</si>
  <si>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</si>
  <si>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</si>
  <si>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</si>
  <si>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</si>
  <si>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</si>
  <si>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</si>
  <si>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</si>
  <si>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</si>
  <si>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</si>
  <si>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</si>
  <si>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</si>
  <si>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</si>
  <si>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</si>
  <si>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</si>
  <si>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</si>
  <si>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</si>
  <si>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</si>
  <si>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</si>
  <si>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</si>
  <si>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</si>
  <si>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</si>
  <si>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</si>
  <si>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</si>
  <si>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</si>
  <si>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</si>
  <si>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</si>
  <si>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</si>
  <si>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</si>
  <si>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</si>
  <si>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</si>
  <si>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</si>
  <si>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</si>
  <si>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</si>
  <si>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</si>
  <si>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</si>
  <si>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</si>
  <si>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</si>
  <si>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</si>
  <si>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</si>
  <si>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</si>
  <si>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</si>
  <si>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</si>
  <si>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</si>
  <si>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</si>
  <si>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</si>
  <si>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</si>
  <si>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</si>
  <si>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</si>
  <si>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</si>
  <si>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</si>
  <si>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</si>
  <si>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</si>
  <si>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</si>
  <si>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</si>
  <si>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</si>
  <si>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</si>
  <si>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</si>
  <si>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</si>
  <si>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</si>
  <si>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</si>
  <si>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</si>
  <si>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</si>
  <si>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</si>
  <si>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</si>
  <si>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</si>
  <si>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</si>
  <si>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</si>
  <si>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</si>
  <si>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</si>
  <si>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</si>
  <si>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</si>
  <si>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</si>
  <si>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</si>
  <si>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</si>
  <si>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</si>
  <si>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</si>
  <si>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</si>
  <si>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</si>
  <si>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</si>
  <si>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</si>
  <si>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</si>
  <si>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</si>
  <si>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</si>
  <si>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</si>
  <si>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</si>
  <si>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</si>
  <si>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</si>
  <si>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</si>
  <si>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</si>
  <si>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</si>
  <si>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</si>
  <si>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</si>
  <si>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</si>
  <si>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</si>
  <si>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</si>
  <si>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</si>
  <si>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</si>
  <si>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</si>
  <si>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</si>
  <si>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</si>
  <si>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</si>
  <si>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</si>
  <si>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</si>
  <si>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</si>
  <si>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</si>
  <si>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</si>
  <si>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</si>
  <si>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</si>
  <si>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</si>
  <si>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</si>
  <si>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</si>
  <si>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</si>
  <si>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</si>
  <si>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</si>
  <si>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</si>
  <si>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</si>
  <si>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</si>
  <si>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</si>
  <si>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</si>
  <si>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</si>
  <si>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</si>
  <si>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</si>
  <si>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</si>
  <si>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</si>
  <si>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</si>
  <si>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</si>
  <si>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</si>
  <si>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</si>
  <si>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</si>
  <si>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</si>
  <si>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</si>
  <si>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</si>
  <si>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</si>
  <si>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</si>
  <si>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</si>
  <si>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</si>
  <si>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</si>
  <si>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</si>
  <si>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</si>
  <si>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</si>
  <si>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</si>
  <si>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</si>
  <si>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</si>
  <si>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</si>
  <si>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</si>
  <si>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</si>
  <si>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</si>
  <si>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</si>
  <si>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</si>
  <si>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</si>
  <si>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</si>
  <si>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</si>
  <si>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</si>
  <si>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</si>
  <si>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</si>
  <si>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</si>
  <si>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</si>
  <si>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</si>
  <si>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</si>
  <si>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</si>
  <si>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</si>
  <si>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</si>
  <si>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</si>
  <si>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</si>
  <si>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</si>
  <si>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</si>
  <si>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</si>
  <si>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</si>
  <si>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</si>
  <si>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</si>
  <si>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</si>
  <si>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</si>
  <si>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</si>
  <si>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</si>
  <si>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</si>
  <si>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</si>
  <si>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</si>
  <si>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</si>
  <si>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</si>
  <si>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</si>
  <si>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</si>
  <si>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</si>
  <si>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</si>
  <si>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</si>
  <si>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</si>
  <si>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</si>
  <si>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</si>
  <si>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</si>
  <si>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</si>
  <si>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</si>
  <si>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</si>
  <si>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</si>
  <si>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</si>
  <si>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</si>
  <si>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</si>
  <si>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</si>
  <si>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</si>
  <si>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</si>
  <si>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</si>
  <si>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</si>
  <si>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</si>
  <si>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</si>
  <si>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</si>
  <si>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</si>
  <si>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</si>
  <si>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</si>
  <si>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</si>
  <si>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</si>
  <si>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</si>
  <si>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</si>
  <si>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</si>
  <si>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</si>
  <si>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</si>
  <si>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</si>
  <si>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</si>
  <si>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</si>
  <si>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</si>
  <si>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</si>
  <si>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</si>
  <si>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</si>
  <si>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</si>
  <si>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</si>
  <si>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</si>
  <si>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</si>
  <si>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</si>
  <si>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</si>
  <si>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</si>
  <si>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</si>
  <si>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</si>
  <si>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</si>
  <si>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</si>
  <si>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</si>
  <si>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</si>
  <si>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</si>
  <si>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</si>
  <si>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</si>
  <si>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</si>
  <si>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</si>
  <si>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</si>
  <si>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</si>
  <si>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</si>
  <si>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</si>
  <si>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</si>
  <si>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</si>
  <si>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</si>
  <si>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</si>
  <si>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</si>
  <si>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</si>
  <si>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</si>
  <si>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</si>
  <si>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</si>
  <si>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</si>
  <si>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</si>
  <si>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</si>
  <si>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</si>
  <si>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</si>
  <si>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</si>
  <si>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</si>
  <si>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</si>
  <si>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</si>
  <si>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</si>
  <si>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</si>
  <si>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</si>
  <si>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</si>
  <si>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</si>
  <si>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</si>
  <si>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</si>
  <si>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</si>
  <si>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</si>
  <si>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</si>
  <si>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</si>
  <si>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</si>
  <si>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</si>
  <si>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</si>
  <si>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</si>
  <si>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</si>
  <si>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</si>
  <si>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</si>
  <si>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</si>
  <si>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</si>
  <si>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</si>
  <si>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</si>
  <si>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</si>
  <si>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</si>
  <si>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</si>
  <si>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</si>
  <si>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</si>
  <si>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</si>
  <si>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</si>
  <si>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</si>
  <si>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</si>
  <si>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</si>
  <si>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</si>
  <si>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</si>
  <si>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</si>
  <si>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</si>
  <si>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</si>
  <si>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</si>
  <si>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</si>
  <si>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</si>
  <si>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</si>
  <si>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</si>
  <si>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</si>
  <si>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</si>
  <si>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</si>
  <si>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</si>
  <si>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</si>
  <si>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</si>
  <si>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</si>
  <si>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</si>
  <si>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</si>
  <si>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</si>
  <si>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</si>
  <si>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</si>
  <si>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</si>
  <si>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</si>
  <si>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</si>
  <si>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</si>
  <si>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</si>
  <si>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</si>
  <si>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</si>
  <si>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</si>
  <si>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</si>
  <si>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</si>
  <si>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</si>
  <si>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</si>
  <si>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</si>
  <si>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</si>
  <si>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</si>
  <si>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</si>
  <si>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</si>
  <si>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</si>
  <si>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</si>
  <si>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</si>
  <si>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</si>
  <si>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</si>
  <si>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</si>
  <si>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</si>
  <si>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</si>
  <si>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</si>
  <si>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</si>
  <si>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</si>
  <si>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</si>
  <si>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</si>
  <si>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</si>
  <si>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</si>
  <si>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</si>
  <si>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</si>
  <si>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</si>
  <si>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</si>
  <si>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</si>
  <si>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</si>
  <si>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</si>
  <si>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</si>
  <si>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</si>
  <si>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</si>
  <si>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</si>
  <si>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</si>
  <si>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</si>
  <si>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</si>
  <si>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</si>
  <si>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</si>
  <si>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</si>
  <si>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</si>
  <si>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</si>
  <si>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</si>
  <si>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</si>
  <si>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</si>
  <si>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</si>
  <si>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</si>
  <si>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</si>
  <si>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</si>
  <si>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</si>
  <si>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</si>
  <si>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</si>
  <si>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</si>
  <si>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</si>
  <si>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</si>
  <si>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</si>
  <si>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</si>
  <si>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</si>
  <si>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</si>
  <si>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</si>
  <si>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</si>
  <si>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</si>
  <si>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</si>
  <si>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</si>
  <si>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</si>
  <si>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</si>
  <si>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</si>
  <si>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</si>
  <si>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</si>
  <si>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</si>
  <si>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</si>
  <si>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</si>
  <si>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</si>
  <si>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</si>
  <si>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</si>
  <si>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</si>
  <si>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</si>
  <si>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</si>
  <si>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</si>
  <si>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</si>
  <si>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</si>
  <si>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</si>
  <si>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</si>
  <si>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</si>
  <si>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</si>
  <si>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</si>
  <si>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</si>
  <si>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</si>
  <si>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</si>
  <si>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</si>
  <si>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</si>
  <si>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</si>
  <si>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</si>
  <si>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</si>
  <si>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</si>
  <si>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</si>
  <si>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</si>
  <si>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</si>
  <si>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</si>
  <si>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</si>
  <si>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</si>
  <si>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</si>
  <si>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</si>
  <si>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</si>
  <si>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</si>
  <si>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</si>
  <si>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</si>
  <si>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</si>
  <si>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</si>
  <si>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</si>
  <si>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</si>
  <si>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</si>
  <si>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</si>
  <si>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</si>
  <si>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</si>
  <si>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</si>
  <si>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</si>
  <si>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</si>
  <si>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</si>
  <si>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</si>
  <si>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</si>
  <si>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</si>
  <si>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</si>
  <si>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</si>
  <si>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</si>
  <si>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</si>
  <si>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</si>
  <si>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</si>
  <si>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</si>
  <si>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</si>
  <si>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</si>
  <si>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</si>
  <si>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</si>
  <si>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</si>
  <si>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</si>
  <si>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</si>
  <si>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</si>
  <si>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</si>
  <si>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</si>
  <si>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</si>
  <si>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</si>
  <si>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</si>
  <si>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</si>
  <si>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</si>
  <si>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</si>
  <si>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</si>
  <si>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</si>
  <si>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</si>
  <si>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</si>
  <si>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</si>
  <si>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</si>
  <si>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</si>
  <si>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</si>
  <si>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</si>
  <si>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</si>
  <si>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</si>
  <si>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</si>
  <si>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</si>
  <si>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</si>
  <si>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</si>
  <si>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</si>
  <si>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</si>
  <si>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</si>
  <si>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</si>
  <si>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</si>
  <si>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</si>
  <si>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</si>
  <si>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</si>
  <si>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</si>
  <si>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</si>
  <si>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</si>
  <si>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</si>
  <si>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</si>
  <si>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</si>
  <si>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</si>
  <si>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</si>
  <si>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</si>
  <si>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</si>
  <si>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</si>
  <si>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</si>
  <si>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</si>
  <si>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</si>
  <si>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</si>
  <si>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</si>
  <si>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</si>
  <si>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</si>
  <si>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</si>
  <si>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</si>
  <si>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</si>
  <si>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</si>
  <si>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</si>
  <si>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</si>
  <si>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</si>
  <si>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</si>
  <si>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</si>
  <si>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</si>
  <si>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</si>
  <si>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</si>
  <si>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</si>
  <si>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</si>
  <si>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</si>
  <si>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</si>
  <si>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</si>
  <si>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</si>
  <si>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</si>
  <si>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</si>
  <si>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</si>
  <si>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</si>
  <si>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</si>
  <si>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</si>
  <si>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</si>
  <si>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</si>
  <si>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</si>
  <si>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</si>
  <si>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</si>
  <si>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</si>
  <si>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</si>
  <si>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</si>
  <si>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</si>
  <si>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</si>
  <si>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</si>
  <si>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</si>
  <si>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</si>
  <si>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</si>
  <si>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</si>
  <si>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</si>
  <si>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</si>
  <si>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</si>
  <si>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</si>
  <si>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</si>
  <si>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</si>
  <si>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</si>
  <si>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</si>
  <si>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</si>
  <si>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</si>
  <si>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</si>
  <si>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</si>
  <si>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</si>
  <si>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</si>
  <si>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</si>
  <si>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</si>
  <si>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</si>
  <si>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</si>
  <si>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</si>
  <si>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</si>
  <si>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</si>
  <si>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</si>
  <si>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</si>
  <si>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</si>
  <si>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</si>
  <si>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</si>
  <si>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</si>
  <si>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</si>
  <si>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</si>
  <si>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</si>
  <si>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</si>
  <si>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</si>
  <si>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</si>
  <si>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</si>
  <si>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</si>
  <si>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</si>
  <si>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</si>
  <si>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</si>
  <si>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</si>
  <si>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</si>
  <si>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</si>
  <si>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</si>
  <si>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</si>
  <si>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</si>
  <si>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</si>
  <si>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</si>
  <si>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</si>
  <si>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</si>
  <si>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</si>
  <si>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</si>
  <si>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</si>
  <si>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</si>
  <si>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</si>
  <si>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</si>
  <si>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</si>
  <si>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</si>
  <si>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</si>
  <si>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</si>
  <si>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</si>
  <si>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</si>
  <si>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</si>
  <si>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</si>
  <si>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</si>
  <si>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name to display</t>
  </si>
  <si>
    <t>playercode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</si>
  <si>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</si>
  <si>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</si>
  <si>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</si>
  <si>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</si>
  <si>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</si>
  <si>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</si>
  <si>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</si>
  <si>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</si>
  <si>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</si>
  <si>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</si>
  <si>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</si>
  <si>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</si>
  <si>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</si>
  <si>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</si>
  <si>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</si>
  <si>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</si>
  <si>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</si>
  <si>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</si>
  <si>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</si>
  <si>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</si>
  <si>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</si>
  <si>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</si>
  <si>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</si>
  <si>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</si>
  <si>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</si>
  <si>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</si>
  <si>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</si>
  <si>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</si>
  <si>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</si>
  <si>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</si>
  <si>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</si>
  <si>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</si>
  <si>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</si>
  <si>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</si>
  <si>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</si>
  <si>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</si>
  <si>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</si>
  <si>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</si>
  <si>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</si>
  <si>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</si>
  <si>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</si>
  <si>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</si>
  <si>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</si>
  <si>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</si>
  <si>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</si>
  <si>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</si>
  <si>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</si>
  <si>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</si>
  <si>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</si>
  <si>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</si>
  <si>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</si>
  <si>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</si>
  <si>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</si>
  <si>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</si>
  <si>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</si>
  <si>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</si>
  <si>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</si>
  <si>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</si>
  <si>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</si>
  <si>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</si>
  <si>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</si>
  <si>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</si>
  <si>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</si>
  <si>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</si>
  <si>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</si>
  <si>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</si>
  <si>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</si>
  <si>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</si>
  <si>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</si>
  <si>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</si>
  <si>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</si>
  <si>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</si>
  <si>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</si>
  <si>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</si>
  <si>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</si>
  <si>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</si>
  <si>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</si>
  <si>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</si>
  <si>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</si>
  <si>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</si>
  <si>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</si>
  <si>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</si>
  <si>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</si>
  <si>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</si>
  <si>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</si>
  <si>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</si>
  <si>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</si>
  <si>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</si>
  <si>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</si>
  <si>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</si>
  <si>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</si>
  <si>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</si>
  <si>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</si>
  <si>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</si>
  <si>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</si>
  <si>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</si>
  <si>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</si>
  <si>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</si>
  <si>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</si>
  <si>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</si>
  <si>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</si>
  <si>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</si>
  <si>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</si>
  <si>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</si>
  <si>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</si>
  <si>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</si>
  <si>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</si>
  <si>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</si>
  <si>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</si>
  <si>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</si>
  <si>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</si>
  <si>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</si>
  <si>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</si>
  <si>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08:00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</si>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</sst>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2" fillId="3" borderId="3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6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" activePane="bottomLeft" state="frozen"/>
      <selection pane="bottomLeft" activeCell="H21" sqref="H21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27.6328125" customWidth="1"/>
    <col min="8" max="8" width="26.6328125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2483</v>
      </c>
      <c r="E1" s="1" t="s">
        <v>3</v>
      </c>
      <c r="F1" s="1" t="s">
        <v>2361</v>
      </c>
      <c r="G1" s="144" t="s">
        <v>2488</v>
      </c>
      <c r="H1" s="144" t="s">
        <v>2489</v>
      </c>
      <c r="I1" s="144" t="s">
        <v>2457</v>
      </c>
      <c r="J1" s="144" t="s">
        <v>2490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2470</v>
      </c>
      <c r="E2" s="3" t="s">
        <v>7</v>
      </c>
      <c r="F2" s="127" t="s">
        <v>2461</v>
      </c>
      <c r="G2" s="145" t="s">
        <v>2484</v>
      </c>
      <c r="H2" s="146" t="s">
        <v>2486</v>
      </c>
      <c r="I2" t="str" cm="1">
        <f t="array" ref="I2">_xlfn.IFS(LEFT(G2,1)-RIGHT(G2,1) &gt; 0, "W1",LEFT(G2,1)-RIGHT(G2,1) = 0, "D",LEFT(G2,1)-RIGHT(G2,1) &lt; 0, "W2", ISBLANK(G2), "")</f>
        <v>W1</v>
      </c>
      <c r="J2" s="145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6</v>
      </c>
      <c r="D3" s="3" t="s">
        <v>2471</v>
      </c>
      <c r="E3" s="3" t="s">
        <v>7</v>
      </c>
      <c r="F3" s="127" t="s">
        <v>2462</v>
      </c>
      <c r="G3" s="145" t="s">
        <v>2485</v>
      </c>
      <c r="H3" s="146" t="s">
        <v>2487</v>
      </c>
      <c r="I3" t="str" cm="1">
        <f t="array" ref="I3">_xlfn.IFS(LEFT(G3,1)-RIGHT(G3,1) &gt; 0, "W1",LEFT(G3,1)-RIGHT(G3,1) = 0, "D",LEFT(G3,1)-RIGHT(G3,1) &lt; 0, "W2", ISBLANK(G3), "")</f>
        <v>W1</v>
      </c>
      <c r="J3" s="145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2476</v>
      </c>
      <c r="E4" s="3" t="s">
        <v>13</v>
      </c>
      <c r="F4" s="127" t="s">
        <v>2362</v>
      </c>
      <c r="G4" s="145"/>
      <c r="I4" t="e" cm="1">
        <f t="array" ref="I4">_xlfn.IFS(LEFT(G4,1)-RIGHT(G4,1)&gt;0,"W1",LEFT(G4,1)-RIGHT(G4,1)=0,"D",LEFT(G4,1)-RIGHT(G4,1)&lt;0,"W2",ISBLANK(G4),"")</f>
        <v>#VALUE!</v>
      </c>
      <c r="J4" s="145" t="e">
        <f t="shared" ref="J4:J67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12</v>
      </c>
      <c r="D5" s="3" t="s">
        <v>2479</v>
      </c>
      <c r="E5" s="3" t="s">
        <v>13</v>
      </c>
      <c r="F5" s="127" t="s">
        <v>2363</v>
      </c>
      <c r="G5" s="145"/>
      <c r="I5" t="e" cm="1">
        <f t="array" ref="I5">_xlfn.IFS(LEFT(G5,1)-RIGHT(G5,1) &gt; 0, "W1",LEFT(G5,1)-RIGHT(G5,1) = 0, "D",LEFT(G5,1)-RIGHT(G5,1) &lt; 0, "W2", ISBLANK(G5), "")</f>
        <v>#VALUE!</v>
      </c>
      <c r="J5" s="145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18</v>
      </c>
      <c r="D6" s="3" t="s">
        <v>2479</v>
      </c>
      <c r="E6" s="3" t="s">
        <v>19</v>
      </c>
      <c r="F6" s="127" t="s">
        <v>2364</v>
      </c>
      <c r="G6" s="145"/>
      <c r="I6" t="e" cm="1">
        <f t="array" ref="I6">_xlfn.IFS(LEFT(G6,1)-RIGHT(G6,1) &gt; 0, "W1",LEFT(G6,1)-RIGHT(G6,1) = 0, "D",LEFT(G6,1)-RIGHT(G6,1) &lt; 0, "W2", ISBLANK(G6), "")</f>
        <v>#VALUE!</v>
      </c>
      <c r="J6" s="145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18</v>
      </c>
      <c r="D7" s="3" t="s">
        <v>2479</v>
      </c>
      <c r="E7" s="3" t="s">
        <v>19</v>
      </c>
      <c r="F7" s="127" t="s">
        <v>2365</v>
      </c>
      <c r="G7" s="145"/>
      <c r="I7" t="e" cm="1">
        <f t="array" ref="I7">_xlfn.IFS(LEFT(G7,1)-RIGHT(G7,1) &gt; 0, "W1",LEFT(G7,1)-RIGHT(G7,1) = 0, "D",LEFT(G7,1)-RIGHT(G7,1) &lt; 0, "W2", ISBLANK(G7), "")</f>
        <v>#VALUE!</v>
      </c>
      <c r="J7" s="145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2472</v>
      </c>
      <c r="E8" s="5" t="s">
        <v>25</v>
      </c>
      <c r="F8" s="128" t="s">
        <v>2463</v>
      </c>
      <c r="G8" s="145" t="s">
        <v>2491</v>
      </c>
      <c r="H8" s="147" t="s">
        <v>2493</v>
      </c>
      <c r="I8" t="str" cm="1">
        <f t="array" ref="I8">_xlfn.IFS(LEFT(G8,1)-RIGHT(G8,1) &gt; 0, "W1",LEFT(G8,1)-RIGHT(G8,1) = 0, "D",LEFT(G8,1)-RIGHT(G8,1) &lt; 0, "W2", ISBLANK(G8), "")</f>
        <v>D</v>
      </c>
      <c r="J8" s="14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2470</v>
      </c>
      <c r="E9" s="5" t="s">
        <v>25</v>
      </c>
      <c r="F9" s="128" t="s">
        <v>2464</v>
      </c>
      <c r="G9" s="145"/>
      <c r="I9" t="e" cm="1">
        <f t="array" ref="I9">_xlfn.IFS(LEFT(G9,1)-RIGHT(G9,1) &gt; 0, "W1",LEFT(G9,1)-RIGHT(G9,1) = 0, "D",LEFT(G9,1)-RIGHT(G9,1) &lt; 0, "W2", ISBLANK(G9), "")</f>
        <v>#VALUE!</v>
      </c>
      <c r="J9" s="145" t="e">
        <f t="shared" si="0"/>
        <v>#VALUE!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2477</v>
      </c>
      <c r="E10" s="5" t="s">
        <v>31</v>
      </c>
      <c r="F10" s="128" t="s">
        <v>2366</v>
      </c>
      <c r="G10" s="145"/>
      <c r="I10" t="e" cm="1">
        <f t="array" ref="I10">_xlfn.IFS(LEFT(G10,1)-RIGHT(G10,1) &gt; 0, "W1",LEFT(G10,1)-RIGHT(G10,1) = 0, "D",LEFT(G10,1)-RIGHT(G10,1) &lt; 0, "W2", ISBLANK(G10), "")</f>
        <v>#VALUE!</v>
      </c>
      <c r="J10" s="14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12</v>
      </c>
      <c r="D11" s="5" t="s">
        <v>2478</v>
      </c>
      <c r="E11" s="5" t="s">
        <v>31</v>
      </c>
      <c r="F11" s="128" t="s">
        <v>2367</v>
      </c>
      <c r="G11" s="145"/>
      <c r="I11" t="e" cm="1">
        <f t="array" ref="I11">_xlfn.IFS(LEFT(G11,1)-RIGHT(G11,1) &gt; 0, "W1",LEFT(G11,1)-RIGHT(G11,1) = 0, "D",LEFT(G11,1)-RIGHT(G11,1) &lt; 0, "W2", ISBLANK(G11), "")</f>
        <v>#VALUE!</v>
      </c>
      <c r="J11" s="14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2477</v>
      </c>
      <c r="E12" s="5" t="s">
        <v>36</v>
      </c>
      <c r="F12" s="128" t="s">
        <v>2368</v>
      </c>
      <c r="G12" s="145"/>
      <c r="I12" t="e" cm="1">
        <f t="array" ref="I12">_xlfn.IFS(LEFT(G12,1)-RIGHT(G12,1) &gt; 0, "W1",LEFT(G12,1)-RIGHT(G12,1) = 0, "D",LEFT(G12,1)-RIGHT(G12,1) &lt; 0, "W2", ISBLANK(G12), "")</f>
        <v>#VALUE!</v>
      </c>
      <c r="J12" s="14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2477</v>
      </c>
      <c r="E13" s="5" t="s">
        <v>36</v>
      </c>
      <c r="F13" s="128" t="s">
        <v>2369</v>
      </c>
      <c r="G13" s="145"/>
      <c r="I13" t="e" cm="1">
        <f t="array" ref="I13">_xlfn.IFS(LEFT(G13,1)-RIGHT(G13,1) &gt; 0, "W1",LEFT(G13,1)-RIGHT(G13,1) = 0, "D",LEFT(G13,1)-RIGHT(G13,1) &lt; 0, "W2", ISBLANK(G13), "")</f>
        <v>#VALUE!</v>
      </c>
      <c r="J13" s="14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28</v>
      </c>
      <c r="D14" s="7" t="s">
        <v>2475</v>
      </c>
      <c r="E14" s="7" t="s">
        <v>41</v>
      </c>
      <c r="F14" s="129" t="s">
        <v>2465</v>
      </c>
      <c r="G14" s="145"/>
      <c r="I14" t="e" cm="1">
        <f t="array" ref="I14">_xlfn.IFS(LEFT(G14,1)-RIGHT(G14,1) &gt; 0, "W1",LEFT(G14,1)-RIGHT(G14,1) = 0, "D",LEFT(G14,1)-RIGHT(G14,1) &lt; 0, "W2", ISBLANK(G14), "")</f>
        <v>#VALUE!</v>
      </c>
      <c r="J14" s="145" t="e">
        <f t="shared" si="0"/>
        <v>#VALUE!</v>
      </c>
    </row>
    <row r="15" spans="1:10" ht="16" customHeight="1" x14ac:dyDescent="0.35">
      <c r="A15" s="6" t="s">
        <v>42</v>
      </c>
      <c r="B15" s="7" t="s">
        <v>43</v>
      </c>
      <c r="C15" s="7" t="s">
        <v>28</v>
      </c>
      <c r="D15" s="7" t="s">
        <v>2473</v>
      </c>
      <c r="E15" s="7" t="s">
        <v>41</v>
      </c>
      <c r="F15" s="129" t="s">
        <v>2466</v>
      </c>
      <c r="G15" s="145"/>
      <c r="I15" t="e" cm="1">
        <f t="array" ref="I15">_xlfn.IFS(LEFT(G15,1)-RIGHT(G15,1) &gt; 0, "W1",LEFT(G15,1)-RIGHT(G15,1) = 0, "D",LEFT(G15,1)-RIGHT(G15,1) &lt; 0, "W2", ISBLANK(G15), "")</f>
        <v>#VALUE!</v>
      </c>
      <c r="J15" s="145" t="e">
        <f t="shared" si="0"/>
        <v>#VALUE!</v>
      </c>
    </row>
    <row r="16" spans="1:10" ht="16" customHeight="1" x14ac:dyDescent="0.35">
      <c r="A16" s="6" t="s">
        <v>44</v>
      </c>
      <c r="B16" s="7" t="s">
        <v>45</v>
      </c>
      <c r="C16" s="7" t="s">
        <v>46</v>
      </c>
      <c r="D16" s="7" t="s">
        <v>2478</v>
      </c>
      <c r="E16" s="7" t="s">
        <v>47</v>
      </c>
      <c r="F16" s="129" t="s">
        <v>2370</v>
      </c>
      <c r="G16" s="145"/>
      <c r="I16" t="e" cm="1">
        <f t="array" ref="I16">_xlfn.IFS(LEFT(G16,1)-RIGHT(G16,1) &gt; 0, "W1",LEFT(G16,1)-RIGHT(G16,1) = 0, "D",LEFT(G16,1)-RIGHT(G16,1) &lt; 0, "W2", ISBLANK(G16), "")</f>
        <v>#VALUE!</v>
      </c>
      <c r="J16" s="145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46</v>
      </c>
      <c r="D17" s="7" t="s">
        <v>2479</v>
      </c>
      <c r="E17" s="7" t="s">
        <v>47</v>
      </c>
      <c r="F17" s="129" t="s">
        <v>2371</v>
      </c>
      <c r="G17" s="145"/>
      <c r="I17" t="e" cm="1">
        <f t="array" ref="I17">_xlfn.IFS(LEFT(G17,1)-RIGHT(G17,1) &gt; 0, "W1",LEFT(G17,1)-RIGHT(G17,1) = 0, "D",LEFT(G17,1)-RIGHT(G17,1) &lt; 0, "W2", ISBLANK(G17), "")</f>
        <v>#VALUE!</v>
      </c>
      <c r="J17" s="145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18</v>
      </c>
      <c r="D18" s="7" t="s">
        <v>2478</v>
      </c>
      <c r="E18" s="7" t="s">
        <v>52</v>
      </c>
      <c r="F18" s="129" t="s">
        <v>2372</v>
      </c>
      <c r="G18" s="145"/>
      <c r="I18" t="e" cm="1">
        <f t="array" ref="I18">_xlfn.IFS(LEFT(G18,1)-RIGHT(G18,1) &gt; 0, "W1",LEFT(G18,1)-RIGHT(G18,1) = 0, "D",LEFT(G18,1)-RIGHT(G18,1) &lt; 0, "W2", ISBLANK(G18), "")</f>
        <v>#VALUE!</v>
      </c>
      <c r="J18" s="145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18</v>
      </c>
      <c r="D19" s="7" t="s">
        <v>2478</v>
      </c>
      <c r="E19" s="7" t="s">
        <v>52</v>
      </c>
      <c r="F19" s="129" t="s">
        <v>2373</v>
      </c>
      <c r="G19" s="145"/>
      <c r="I19" t="e" cm="1">
        <f t="array" ref="I19">_xlfn.IFS(LEFT(G19,1)-RIGHT(G19,1) &gt; 0, "W1",LEFT(G19,1)-RIGHT(G19,1) = 0, "D",LEFT(G19,1)-RIGHT(G19,1) &lt; 0, "W2", ISBLANK(G19), "")</f>
        <v>#VALUE!</v>
      </c>
      <c r="J19" s="145" t="e">
        <f t="shared" si="0"/>
        <v>#VALUE!</v>
      </c>
    </row>
    <row r="20" spans="1:10" ht="16" customHeight="1" x14ac:dyDescent="0.35">
      <c r="A20" s="8" t="s">
        <v>55</v>
      </c>
      <c r="B20" s="9" t="s">
        <v>56</v>
      </c>
      <c r="C20" s="9" t="s">
        <v>24</v>
      </c>
      <c r="D20" s="9" t="s">
        <v>2473</v>
      </c>
      <c r="E20" s="9" t="s">
        <v>57</v>
      </c>
      <c r="F20" s="130" t="s">
        <v>2467</v>
      </c>
      <c r="G20" s="145" t="s">
        <v>2492</v>
      </c>
      <c r="H20" s="148" t="s">
        <v>2494</v>
      </c>
      <c r="I20" t="str" cm="1">
        <f t="array" ref="I20">_xlfn.IFS(LEFT(G20,1)-RIGHT(G20,1) &gt; 0, "W1",LEFT(G20,1)-RIGHT(G20,1) = 0, "D",LEFT(G20,1)-RIGHT(G20,1) &lt; 0, "W2", ISBLANK(G20), "")</f>
        <v>W1</v>
      </c>
      <c r="J20" s="145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28</v>
      </c>
      <c r="D21" s="9" t="s">
        <v>2474</v>
      </c>
      <c r="E21" s="9" t="s">
        <v>57</v>
      </c>
      <c r="F21" s="130" t="s">
        <v>2468</v>
      </c>
      <c r="G21" s="145"/>
      <c r="I21" t="e" cm="1">
        <f t="array" ref="I21">_xlfn.IFS(LEFT(G21,1)-RIGHT(G21,1) &gt; 0, "W1",LEFT(G21,1)-RIGHT(G21,1) = 0, "D",LEFT(G21,1)-RIGHT(G21,1) &lt; 0, "W2", ISBLANK(G21), "")</f>
        <v>#VALUE!</v>
      </c>
      <c r="J21" s="145" t="e">
        <f t="shared" si="0"/>
        <v>#VALUE!</v>
      </c>
    </row>
    <row r="22" spans="1:10" ht="16" customHeight="1" x14ac:dyDescent="0.35">
      <c r="A22" s="8" t="s">
        <v>60</v>
      </c>
      <c r="B22" s="9" t="s">
        <v>61</v>
      </c>
      <c r="C22" s="9" t="s">
        <v>46</v>
      </c>
      <c r="D22" s="9" t="s">
        <v>2474</v>
      </c>
      <c r="E22" s="9" t="s">
        <v>62</v>
      </c>
      <c r="F22" s="130" t="s">
        <v>2374</v>
      </c>
      <c r="G22" s="145"/>
      <c r="I22" t="e" cm="1">
        <f t="array" ref="I22">_xlfn.IFS(LEFT(G22,1)-RIGHT(G22,1) &gt; 0, "W1",LEFT(G22,1)-RIGHT(G22,1) = 0, "D",LEFT(G22,1)-RIGHT(G22,1) &lt; 0, "W2", ISBLANK(G22), "")</f>
        <v>#VALUE!</v>
      </c>
      <c r="J22" s="145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2477</v>
      </c>
      <c r="E23" s="9" t="s">
        <v>62</v>
      </c>
      <c r="F23" s="130" t="s">
        <v>2375</v>
      </c>
      <c r="G23" s="145"/>
      <c r="I23" t="e" cm="1">
        <f t="array" ref="I23">_xlfn.IFS(LEFT(G23,1)-RIGHT(G23,1) &gt; 0, "W1",LEFT(G23,1)-RIGHT(G23,1) = 0, "D",LEFT(G23,1)-RIGHT(G23,1) &lt; 0, "W2", ISBLANK(G23), "")</f>
        <v>#VALUE!</v>
      </c>
      <c r="J23" s="145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67</v>
      </c>
      <c r="D24" s="9" t="s">
        <v>2479</v>
      </c>
      <c r="E24" s="9" t="s">
        <v>68</v>
      </c>
      <c r="F24" s="130" t="s">
        <v>2376</v>
      </c>
      <c r="G24" s="145"/>
      <c r="I24" t="e" cm="1">
        <f t="array" ref="I24">_xlfn.IFS(LEFT(G24,1)-RIGHT(G24,1) &gt; 0, "W1",LEFT(G24,1)-RIGHT(G24,1) = 0, "D",LEFT(G24,1)-RIGHT(G24,1) &lt; 0, "W2", ISBLANK(G24), "")</f>
        <v>#VALUE!</v>
      </c>
      <c r="J24" s="145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67</v>
      </c>
      <c r="D25" s="9" t="s">
        <v>2479</v>
      </c>
      <c r="E25" s="9" t="s">
        <v>68</v>
      </c>
      <c r="F25" s="130" t="s">
        <v>2377</v>
      </c>
      <c r="G25" s="145"/>
      <c r="I25" t="e" cm="1">
        <f t="array" ref="I25">_xlfn.IFS(LEFT(G25,1)-RIGHT(G25,1) &gt; 0, "W1",LEFT(G25,1)-RIGHT(G25,1) = 0, "D",LEFT(G25,1)-RIGHT(G25,1) &lt; 0, "W2", ISBLANK(G25), "")</f>
        <v>#VALUE!</v>
      </c>
      <c r="J25" s="145" t="e">
        <f t="shared" si="0"/>
        <v>#VALUE!</v>
      </c>
    </row>
    <row r="26" spans="1:10" ht="16" customHeight="1" x14ac:dyDescent="0.35">
      <c r="A26" s="10" t="s">
        <v>71</v>
      </c>
      <c r="B26" s="11" t="s">
        <v>72</v>
      </c>
      <c r="C26" s="11" t="s">
        <v>73</v>
      </c>
      <c r="D26" s="11" t="s">
        <v>2476</v>
      </c>
      <c r="E26" s="11" t="s">
        <v>74</v>
      </c>
      <c r="F26" s="131" t="s">
        <v>2378</v>
      </c>
      <c r="G26" s="145"/>
      <c r="I26" t="e" cm="1">
        <f t="array" ref="I26">_xlfn.IFS(LEFT(G26,1)-RIGHT(G26,1) &gt; 0, "W1",LEFT(G26,1)-RIGHT(G26,1) = 0, "D",LEFT(G26,1)-RIGHT(G26,1) &lt; 0, "W2", ISBLANK(G26), "")</f>
        <v>#VALUE!</v>
      </c>
      <c r="J26" s="145" t="e">
        <f t="shared" si="0"/>
        <v>#VALUE!</v>
      </c>
    </row>
    <row r="27" spans="1:10" ht="16" customHeight="1" x14ac:dyDescent="0.35">
      <c r="A27" s="10" t="s">
        <v>2458</v>
      </c>
      <c r="B27" s="11" t="s">
        <v>75</v>
      </c>
      <c r="C27" s="11" t="s">
        <v>73</v>
      </c>
      <c r="D27" s="11" t="s">
        <v>2478</v>
      </c>
      <c r="E27" s="11" t="s">
        <v>74</v>
      </c>
      <c r="F27" s="131" t="s">
        <v>2469</v>
      </c>
      <c r="G27" s="145"/>
      <c r="I27" t="e" cm="1">
        <f t="array" ref="I27">_xlfn.IFS(LEFT(G27,1)-RIGHT(G27,1) &gt; 0, "W1",LEFT(G27,1)-RIGHT(G27,1) = 0, "D",LEFT(G27,1)-RIGHT(G27,1) &lt; 0, "W2", ISBLANK(G27), "")</f>
        <v>#VALUE!</v>
      </c>
      <c r="J27" s="145" t="e">
        <f t="shared" si="0"/>
        <v>#VALUE!</v>
      </c>
    </row>
    <row r="28" spans="1:10" ht="16" customHeight="1" x14ac:dyDescent="0.35">
      <c r="A28" s="10" t="s">
        <v>2459</v>
      </c>
      <c r="B28" s="11" t="s">
        <v>76</v>
      </c>
      <c r="C28" s="11" t="s">
        <v>77</v>
      </c>
      <c r="D28" s="11" t="s">
        <v>2480</v>
      </c>
      <c r="E28" s="11" t="s">
        <v>78</v>
      </c>
      <c r="F28" s="131" t="s">
        <v>2379</v>
      </c>
      <c r="G28" s="145"/>
      <c r="I28" t="e" cm="1">
        <f t="array" ref="I28">_xlfn.IFS(LEFT(G28,1)-RIGHT(G28,1) &gt; 0, "W1",LEFT(G28,1)-RIGHT(G28,1) = 0, "D",LEFT(G28,1)-RIGHT(G28,1) &lt; 0, "W2", ISBLANK(G28), "")</f>
        <v>#VALUE!</v>
      </c>
      <c r="J28" s="145" t="e">
        <f t="shared" si="0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77</v>
      </c>
      <c r="D29" s="11" t="s">
        <v>2473</v>
      </c>
      <c r="E29" s="11" t="s">
        <v>78</v>
      </c>
      <c r="F29" s="131" t="s">
        <v>2380</v>
      </c>
      <c r="G29" s="145"/>
      <c r="I29" t="e" cm="1">
        <f t="array" ref="I29">_xlfn.IFS(LEFT(G29,1)-RIGHT(G29,1) &gt; 0, "W1",LEFT(G29,1)-RIGHT(G29,1) = 0, "D",LEFT(G29,1)-RIGHT(G29,1) &lt; 0, "W2", ISBLANK(G29), "")</f>
        <v>#VALUE!</v>
      </c>
      <c r="J29" s="145" t="e">
        <f t="shared" si="0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2477</v>
      </c>
      <c r="E30" s="11" t="s">
        <v>83</v>
      </c>
      <c r="F30" s="131" t="s">
        <v>2381</v>
      </c>
      <c r="G30" s="145"/>
      <c r="I30" t="e" cm="1">
        <f t="array" ref="I30">_xlfn.IFS(LEFT(G30,1)-RIGHT(G30,1) &gt; 0, "W1",LEFT(G30,1)-RIGHT(G30,1) = 0, "D",LEFT(G30,1)-RIGHT(G30,1) &lt; 0, "W2", ISBLANK(G30), "")</f>
        <v>#VALUE!</v>
      </c>
      <c r="J30" s="145" t="e">
        <f t="shared" si="0"/>
        <v>#VALUE!</v>
      </c>
    </row>
    <row r="31" spans="1:10" ht="16" customHeight="1" x14ac:dyDescent="0.35">
      <c r="A31" s="10" t="s">
        <v>2460</v>
      </c>
      <c r="B31" s="11" t="s">
        <v>84</v>
      </c>
      <c r="C31" s="11" t="s">
        <v>67</v>
      </c>
      <c r="D31" s="11" t="s">
        <v>2477</v>
      </c>
      <c r="E31" s="11" t="s">
        <v>83</v>
      </c>
      <c r="F31" s="131" t="s">
        <v>2382</v>
      </c>
      <c r="G31" s="145"/>
      <c r="I31" t="e" cm="1">
        <f t="array" ref="I31">_xlfn.IFS(LEFT(G31,1)-RIGHT(G31,1) &gt; 0, "W1",LEFT(G31,1)-RIGHT(G31,1) = 0, "D",LEFT(G31,1)-RIGHT(G31,1) &lt; 0, "W2", ISBLANK(G31), "")</f>
        <v>#VALUE!</v>
      </c>
      <c r="J31" s="145" t="e">
        <f t="shared" si="0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2477</v>
      </c>
      <c r="E32" s="13" t="s">
        <v>87</v>
      </c>
      <c r="F32" s="132" t="s">
        <v>2383</v>
      </c>
      <c r="G32" s="145"/>
      <c r="I32" t="e" cm="1">
        <f t="array" ref="I32">_xlfn.IFS(LEFT(G32,1)-RIGHT(G32,1) &gt; 0, "W1",LEFT(G32,1)-RIGHT(G32,1) = 0, "D",LEFT(G32,1)-RIGHT(G32,1) &lt; 0, "W2", ISBLANK(G32), "")</f>
        <v>#VALUE!</v>
      </c>
      <c r="J32" s="145" t="e">
        <f t="shared" si="0"/>
        <v>#VALUE!</v>
      </c>
    </row>
    <row r="33" spans="1:10" ht="16" customHeight="1" x14ac:dyDescent="0.35">
      <c r="A33" s="12" t="s">
        <v>88</v>
      </c>
      <c r="B33" s="13" t="s">
        <v>89</v>
      </c>
      <c r="C33" s="13" t="s">
        <v>73</v>
      </c>
      <c r="D33" s="13" t="s">
        <v>2479</v>
      </c>
      <c r="E33" s="13" t="s">
        <v>87</v>
      </c>
      <c r="F33" s="132" t="s">
        <v>2384</v>
      </c>
      <c r="G33" s="145"/>
      <c r="I33" t="e" cm="1">
        <f t="array" ref="I33">_xlfn.IFS(LEFT(G33,1)-RIGHT(G33,1) &gt; 0, "W1",LEFT(G33,1)-RIGHT(G33,1) = 0, "D",LEFT(G33,1)-RIGHT(G33,1) &lt; 0, "W2", ISBLANK(G33), "")</f>
        <v>#VALUE!</v>
      </c>
      <c r="J33" s="145" t="e">
        <f t="shared" si="0"/>
        <v>#VALUE!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2472</v>
      </c>
      <c r="E34" s="13" t="s">
        <v>92</v>
      </c>
      <c r="F34" s="132" t="s">
        <v>2385</v>
      </c>
      <c r="G34" s="145"/>
      <c r="I34" t="e" cm="1">
        <f t="array" ref="I34">_xlfn.IFS(LEFT(G34,1)-RIGHT(G34,1) &gt; 0, "W1",LEFT(G34,1)-RIGHT(G34,1) = 0, "D",LEFT(G34,1)-RIGHT(G34,1) &lt; 0, "W2", ISBLANK(G34), "")</f>
        <v>#VALUE!</v>
      </c>
      <c r="J34" s="145" t="e">
        <f t="shared" si="0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77</v>
      </c>
      <c r="D35" s="13" t="s">
        <v>2471</v>
      </c>
      <c r="E35" s="13" t="s">
        <v>92</v>
      </c>
      <c r="F35" s="132" t="s">
        <v>2386</v>
      </c>
      <c r="G35" s="145"/>
      <c r="I35" t="e" cm="1">
        <f t="array" ref="I35">_xlfn.IFS(LEFT(G35,1)-RIGHT(G35,1) &gt; 0, "W1",LEFT(G35,1)-RIGHT(G35,1) = 0, "D",LEFT(G35,1)-RIGHT(G35,1) &lt; 0, "W2", ISBLANK(G35), "")</f>
        <v>#VALUE!</v>
      </c>
      <c r="J35" s="145" t="e">
        <f t="shared" si="0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67</v>
      </c>
      <c r="D36" s="13" t="s">
        <v>2478</v>
      </c>
      <c r="E36" s="13" t="s">
        <v>97</v>
      </c>
      <c r="F36" s="132" t="s">
        <v>2387</v>
      </c>
      <c r="G36" s="145"/>
      <c r="I36" t="e" cm="1">
        <f t="array" ref="I36">_xlfn.IFS(LEFT(G36,1)-RIGHT(G36,1) &gt; 0, "W1",LEFT(G36,1)-RIGHT(G36,1) = 0, "D",LEFT(G36,1)-RIGHT(G36,1) &lt; 0, "W2", ISBLANK(G36), "")</f>
        <v>#VALUE!</v>
      </c>
      <c r="J36" s="145" t="e">
        <f t="shared" si="0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67</v>
      </c>
      <c r="D37" s="13" t="s">
        <v>2478</v>
      </c>
      <c r="E37" s="13" t="s">
        <v>97</v>
      </c>
      <c r="F37" s="132" t="s">
        <v>2388</v>
      </c>
      <c r="G37" s="145"/>
      <c r="I37" t="e" cm="1">
        <f t="array" ref="I37">_xlfn.IFS(LEFT(G37,1)-RIGHT(G37,1) &gt; 0, "W1",LEFT(G37,1)-RIGHT(G37,1) = 0, "D",LEFT(G37,1)-RIGHT(G37,1) &lt; 0, "W2", ISBLANK(G37), "")</f>
        <v>#VALUE!</v>
      </c>
      <c r="J37" s="145" t="e">
        <f t="shared" si="0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2477</v>
      </c>
      <c r="E38" s="15" t="s">
        <v>103</v>
      </c>
      <c r="F38" s="133" t="s">
        <v>2389</v>
      </c>
      <c r="G38" s="145"/>
      <c r="I38" t="e" cm="1">
        <f t="array" ref="I38">_xlfn.IFS(LEFT(G38,1)-RIGHT(G38,1) &gt; 0, "W1",LEFT(G38,1)-RIGHT(G38,1) = 0, "D",LEFT(G38,1)-RIGHT(G38,1) &lt; 0, "W2", ISBLANK(G38), "")</f>
        <v>#VALUE!</v>
      </c>
      <c r="J38" s="145" t="e">
        <f t="shared" si="0"/>
        <v>#VALUE!</v>
      </c>
    </row>
    <row r="39" spans="1:10" ht="16" customHeight="1" x14ac:dyDescent="0.35">
      <c r="A39" s="14" t="s">
        <v>104</v>
      </c>
      <c r="B39" s="15" t="s">
        <v>105</v>
      </c>
      <c r="C39" s="15" t="s">
        <v>102</v>
      </c>
      <c r="D39" s="15" t="s">
        <v>2479</v>
      </c>
      <c r="E39" s="15" t="s">
        <v>103</v>
      </c>
      <c r="F39" s="133" t="s">
        <v>2390</v>
      </c>
      <c r="G39" s="145"/>
      <c r="I39" t="e" cm="1">
        <f t="array" ref="I39">_xlfn.IFS(LEFT(G39,1)-RIGHT(G39,1) &gt; 0, "W1",LEFT(G39,1)-RIGHT(G39,1) = 0, "D",LEFT(G39,1)-RIGHT(G39,1) &lt; 0, "W2", ISBLANK(G39), "")</f>
        <v>#VALUE!</v>
      </c>
      <c r="J39" s="145" t="e">
        <f t="shared" si="0"/>
        <v>#VALUE!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2477</v>
      </c>
      <c r="E40" s="15" t="s">
        <v>109</v>
      </c>
      <c r="F40" s="133" t="s">
        <v>2391</v>
      </c>
      <c r="G40" s="145"/>
      <c r="I40" t="e" cm="1">
        <f t="array" ref="I40">_xlfn.IFS(LEFT(G40,1)-RIGHT(G40,1) &gt; 0, "W1",LEFT(G40,1)-RIGHT(G40,1) = 0, "D",LEFT(G40,1)-RIGHT(G40,1) &lt; 0, "W2", ISBLANK(G40), "")</f>
        <v>#VALUE!</v>
      </c>
      <c r="J40" s="145" t="e">
        <f t="shared" si="0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108</v>
      </c>
      <c r="D41" s="15" t="s">
        <v>2479</v>
      </c>
      <c r="E41" s="15" t="s">
        <v>109</v>
      </c>
      <c r="F41" s="133" t="s">
        <v>2392</v>
      </c>
      <c r="G41" s="145"/>
      <c r="I41" t="e" cm="1">
        <f t="array" ref="I41">_xlfn.IFS(LEFT(G41,1)-RIGHT(G41,1) &gt; 0, "W1",LEFT(G41,1)-RIGHT(G41,1) = 0, "D",LEFT(G41,1)-RIGHT(G41,1) &lt; 0, "W2", ISBLANK(G41), "")</f>
        <v>#VALUE!</v>
      </c>
      <c r="J41" s="145" t="e">
        <f t="shared" si="0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114</v>
      </c>
      <c r="D42" s="15" t="s">
        <v>2479</v>
      </c>
      <c r="E42" s="15" t="s">
        <v>115</v>
      </c>
      <c r="F42" s="133" t="s">
        <v>2393</v>
      </c>
      <c r="G42" s="145"/>
      <c r="I42" t="e" cm="1">
        <f t="array" ref="I42">_xlfn.IFS(LEFT(G42,1)-RIGHT(G42,1) &gt; 0, "W1",LEFT(G42,1)-RIGHT(G42,1) = 0, "D",LEFT(G42,1)-RIGHT(G42,1) &lt; 0, "W2", ISBLANK(G42), "")</f>
        <v>#VALUE!</v>
      </c>
      <c r="J42" s="145" t="e">
        <f t="shared" si="0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114</v>
      </c>
      <c r="D43" s="15" t="s">
        <v>2479</v>
      </c>
      <c r="E43" s="15" t="s">
        <v>115</v>
      </c>
      <c r="F43" s="133" t="s">
        <v>2394</v>
      </c>
      <c r="G43" s="145"/>
      <c r="I43" t="e" cm="1">
        <f t="array" ref="I43">_xlfn.IFS(LEFT(G43,1)-RIGHT(G43,1) &gt; 0, "W1",LEFT(G43,1)-RIGHT(G43,1) = 0, "D",LEFT(G43,1)-RIGHT(G43,1) &lt; 0, "W2", ISBLANK(G43), "")</f>
        <v>#VALUE!</v>
      </c>
      <c r="J43" s="145" t="e">
        <f t="shared" si="0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2476</v>
      </c>
      <c r="E44" s="17" t="s">
        <v>120</v>
      </c>
      <c r="F44" s="134" t="s">
        <v>2395</v>
      </c>
      <c r="G44" s="145"/>
      <c r="I44" t="e" cm="1">
        <f t="array" ref="I44">_xlfn.IFS(LEFT(G44,1)-RIGHT(G44,1) &gt; 0, "W1",LEFT(G44,1)-RIGHT(G44,1) = 0, "D",LEFT(G44,1)-RIGHT(G44,1) &lt; 0, "W2", ISBLANK(G44), "")</f>
        <v>#VALUE!</v>
      </c>
      <c r="J44" s="145" t="e">
        <f t="shared" si="0"/>
        <v>#VALUE!</v>
      </c>
    </row>
    <row r="45" spans="1:10" ht="16" customHeight="1" x14ac:dyDescent="0.35">
      <c r="A45" s="16" t="s">
        <v>121</v>
      </c>
      <c r="B45" s="17" t="s">
        <v>122</v>
      </c>
      <c r="C45" s="17" t="s">
        <v>102</v>
      </c>
      <c r="D45" s="17" t="s">
        <v>2478</v>
      </c>
      <c r="E45" s="17" t="s">
        <v>120</v>
      </c>
      <c r="F45" s="134" t="s">
        <v>2396</v>
      </c>
      <c r="G45" s="145"/>
      <c r="I45" t="e" cm="1">
        <f t="array" ref="I45">_xlfn.IFS(LEFT(G45,1)-RIGHT(G45,1) &gt; 0, "W1",LEFT(G45,1)-RIGHT(G45,1) = 0, "D",LEFT(G45,1)-RIGHT(G45,1) &lt; 0, "W2", ISBLANK(G45), "")</f>
        <v>#VALUE!</v>
      </c>
      <c r="J45" s="145" t="e">
        <f t="shared" si="0"/>
        <v>#VALUE!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2476</v>
      </c>
      <c r="E46" s="17" t="s">
        <v>125</v>
      </c>
      <c r="F46" s="134" t="s">
        <v>2397</v>
      </c>
      <c r="G46" s="145"/>
      <c r="I46" t="e" cm="1">
        <f t="array" ref="I46">_xlfn.IFS(LEFT(G46,1)-RIGHT(G46,1) &gt; 0, "W1",LEFT(G46,1)-RIGHT(G46,1) = 0, "D",LEFT(G46,1)-RIGHT(G46,1) &lt; 0, "W2", ISBLANK(G46), "")</f>
        <v>#VALUE!</v>
      </c>
      <c r="J46" s="145" t="e">
        <f t="shared" si="0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108</v>
      </c>
      <c r="D47" s="17" t="s">
        <v>2478</v>
      </c>
      <c r="E47" s="17" t="s">
        <v>125</v>
      </c>
      <c r="F47" s="134" t="s">
        <v>2398</v>
      </c>
      <c r="G47" s="145"/>
      <c r="I47" t="e" cm="1">
        <f t="array" ref="I47">_xlfn.IFS(LEFT(G47,1)-RIGHT(G47,1) &gt; 0, "W1",LEFT(G47,1)-RIGHT(G47,1) = 0, "D",LEFT(G47,1)-RIGHT(G47,1) &lt; 0, "W2", ISBLANK(G47), "")</f>
        <v>#VALUE!</v>
      </c>
      <c r="J47" s="145" t="e">
        <f t="shared" si="0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114</v>
      </c>
      <c r="D48" s="17" t="s">
        <v>2478</v>
      </c>
      <c r="E48" s="17" t="s">
        <v>130</v>
      </c>
      <c r="F48" s="134" t="s">
        <v>2399</v>
      </c>
      <c r="G48" s="145"/>
      <c r="I48" t="e" cm="1">
        <f t="array" ref="I48">_xlfn.IFS(LEFT(G48,1)-RIGHT(G48,1) &gt; 0, "W1",LEFT(G48,1)-RIGHT(G48,1) = 0, "D",LEFT(G48,1)-RIGHT(G48,1) &lt; 0, "W2", ISBLANK(G48), "")</f>
        <v>#VALUE!</v>
      </c>
      <c r="J48" s="145" t="e">
        <f t="shared" si="0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114</v>
      </c>
      <c r="D49" s="17" t="s">
        <v>2478</v>
      </c>
      <c r="E49" s="17" t="s">
        <v>130</v>
      </c>
      <c r="F49" s="134" t="s">
        <v>2400</v>
      </c>
      <c r="G49" s="145"/>
      <c r="I49" t="e" cm="1">
        <f t="array" ref="I49">_xlfn.IFS(LEFT(G49,1)-RIGHT(G49,1) &gt; 0, "W1",LEFT(G49,1)-RIGHT(G49,1) = 0, "D",LEFT(G49,1)-RIGHT(G49,1) &lt; 0, "W2", ISBLANK(G49), "")</f>
        <v>#VALUE!</v>
      </c>
      <c r="J49" s="145" t="e">
        <f t="shared" si="0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2477</v>
      </c>
      <c r="E50" s="19" t="s">
        <v>136</v>
      </c>
      <c r="F50" s="135" t="s">
        <v>2401</v>
      </c>
      <c r="G50" s="145"/>
      <c r="I50" t="e" cm="1">
        <f t="array" ref="I50">_xlfn.IFS(LEFT(G50,1)-RIGHT(G50,1) &gt; 0, "W1",LEFT(G50,1)-RIGHT(G50,1) = 0, "D",LEFT(G50,1)-RIGHT(G50,1) &lt; 0, "W2", ISBLANK(G50), "")</f>
        <v>#VALUE!</v>
      </c>
      <c r="J50" s="145" t="e">
        <f t="shared" si="0"/>
        <v>#VALUE!</v>
      </c>
    </row>
    <row r="51" spans="1:10" ht="16" customHeight="1" x14ac:dyDescent="0.35">
      <c r="A51" s="18" t="s">
        <v>137</v>
      </c>
      <c r="B51" s="19" t="s">
        <v>138</v>
      </c>
      <c r="C51" s="19" t="s">
        <v>135</v>
      </c>
      <c r="D51" s="19" t="s">
        <v>2478</v>
      </c>
      <c r="E51" s="19" t="s">
        <v>136</v>
      </c>
      <c r="F51" s="135" t="s">
        <v>2402</v>
      </c>
      <c r="G51" s="145"/>
      <c r="I51" t="e" cm="1">
        <f t="array" ref="I51">_xlfn.IFS(LEFT(G51,1)-RIGHT(G51,1) &gt; 0, "W1",LEFT(G51,1)-RIGHT(G51,1) = 0, "D",LEFT(G51,1)-RIGHT(G51,1) &lt; 0, "W2", ISBLANK(G51), "")</f>
        <v>#VALUE!</v>
      </c>
      <c r="J51" s="145" t="e">
        <f t="shared" si="0"/>
        <v>#VALUE!</v>
      </c>
    </row>
    <row r="52" spans="1:10" ht="16" customHeight="1" x14ac:dyDescent="0.35">
      <c r="A52" s="18" t="s">
        <v>139</v>
      </c>
      <c r="B52" s="19" t="s">
        <v>140</v>
      </c>
      <c r="C52" s="19" t="s">
        <v>141</v>
      </c>
      <c r="D52" s="19" t="s">
        <v>2475</v>
      </c>
      <c r="E52" s="19" t="s">
        <v>142</v>
      </c>
      <c r="F52" s="135" t="s">
        <v>2403</v>
      </c>
      <c r="G52" s="145"/>
      <c r="I52" t="e" cm="1">
        <f t="array" ref="I52">_xlfn.IFS(LEFT(G52,1)-RIGHT(G52,1) &gt; 0, "W1",LEFT(G52,1)-RIGHT(G52,1) = 0, "D",LEFT(G52,1)-RIGHT(G52,1) &lt; 0, "W2", ISBLANK(G52), "")</f>
        <v>#VALUE!</v>
      </c>
      <c r="J52" s="145" t="e">
        <f t="shared" si="0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141</v>
      </c>
      <c r="D53" s="19" t="s">
        <v>2473</v>
      </c>
      <c r="E53" s="19" t="s">
        <v>142</v>
      </c>
      <c r="F53" s="135" t="s">
        <v>2404</v>
      </c>
      <c r="G53" s="145"/>
      <c r="I53" t="e" cm="1">
        <f t="array" ref="I53">_xlfn.IFS(LEFT(G53,1)-RIGHT(G53,1) &gt; 0, "W1",LEFT(G53,1)-RIGHT(G53,1) = 0, "D",LEFT(G53,1)-RIGHT(G53,1) &lt; 0, "W2", ISBLANK(G53), "")</f>
        <v>#VALUE!</v>
      </c>
      <c r="J53" s="145" t="e">
        <f t="shared" si="0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2477</v>
      </c>
      <c r="E54" s="19" t="s">
        <v>147</v>
      </c>
      <c r="F54" s="135" t="s">
        <v>2405</v>
      </c>
      <c r="G54" s="145"/>
      <c r="I54" t="e" cm="1">
        <f t="array" ref="I54">_xlfn.IFS(LEFT(G54,1)-RIGHT(G54,1) &gt; 0, "W1",LEFT(G54,1)-RIGHT(G54,1) = 0, "D",LEFT(G54,1)-RIGHT(G54,1) &lt; 0, "W2", ISBLANK(G54), "")</f>
        <v>#VALUE!</v>
      </c>
      <c r="J54" s="145" t="e">
        <f t="shared" si="0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2477</v>
      </c>
      <c r="E55" s="19" t="s">
        <v>147</v>
      </c>
      <c r="F55" s="135" t="s">
        <v>2406</v>
      </c>
      <c r="G55" s="145"/>
      <c r="I55" t="e" cm="1">
        <f t="array" ref="I55">_xlfn.IFS(LEFT(G55,1)-RIGHT(G55,1) &gt; 0, "W1",LEFT(G55,1)-RIGHT(G55,1) = 0, "D",LEFT(G55,1)-RIGHT(G55,1) &lt; 0, "W2", ISBLANK(G55), "")</f>
        <v>#VALUE!</v>
      </c>
      <c r="J55" s="145" t="e">
        <f t="shared" si="0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135</v>
      </c>
      <c r="D56" s="21" t="s">
        <v>2479</v>
      </c>
      <c r="E56" s="21" t="s">
        <v>152</v>
      </c>
      <c r="F56" s="136" t="s">
        <v>2407</v>
      </c>
      <c r="G56" s="145"/>
      <c r="I56" t="e" cm="1">
        <f t="array" ref="I56">_xlfn.IFS(LEFT(G56,1)-RIGHT(G56,1) &gt; 0, "W1",LEFT(G56,1)-RIGHT(G56,1) = 0, "D",LEFT(G56,1)-RIGHT(G56,1) &lt; 0, "W2", ISBLANK(G56), "")</f>
        <v>#VALUE!</v>
      </c>
      <c r="J56" s="145" t="e">
        <f t="shared" si="0"/>
        <v>#VALUE!</v>
      </c>
    </row>
    <row r="57" spans="1:10" ht="16" customHeight="1" x14ac:dyDescent="0.35">
      <c r="A57" s="20" t="s">
        <v>153</v>
      </c>
      <c r="B57" s="21" t="s">
        <v>154</v>
      </c>
      <c r="C57" s="21" t="s">
        <v>135</v>
      </c>
      <c r="D57" s="21" t="s">
        <v>2474</v>
      </c>
      <c r="E57" s="21" t="s">
        <v>152</v>
      </c>
      <c r="F57" s="136" t="s">
        <v>2408</v>
      </c>
      <c r="G57" s="145"/>
      <c r="I57" t="e" cm="1">
        <f t="array" ref="I57">_xlfn.IFS(LEFT(G57,1)-RIGHT(G57,1) &gt; 0, "W1",LEFT(G57,1)-RIGHT(G57,1) = 0, "D",LEFT(G57,1)-RIGHT(G57,1) &lt; 0, "W2", ISBLANK(G57), "")</f>
        <v>#VALUE!</v>
      </c>
      <c r="J57" s="145" t="e">
        <f t="shared" si="0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2472</v>
      </c>
      <c r="E58" s="21" t="s">
        <v>157</v>
      </c>
      <c r="F58" s="136" t="s">
        <v>2409</v>
      </c>
      <c r="G58" s="145"/>
      <c r="I58" t="e" cm="1">
        <f t="array" ref="I58">_xlfn.IFS(LEFT(G58,1)-RIGHT(G58,1) &gt; 0, "W1",LEFT(G58,1)-RIGHT(G58,1) = 0, "D",LEFT(G58,1)-RIGHT(G58,1) &lt; 0, "W2", ISBLANK(G58), "")</f>
        <v>#VALUE!</v>
      </c>
      <c r="J58" s="145" t="e">
        <f t="shared" si="0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141</v>
      </c>
      <c r="D59" s="21" t="s">
        <v>2482</v>
      </c>
      <c r="E59" s="21" t="s">
        <v>157</v>
      </c>
      <c r="F59" s="136" t="s">
        <v>2410</v>
      </c>
      <c r="G59" s="145"/>
      <c r="I59" t="e" cm="1">
        <f t="array" ref="I59">_xlfn.IFS(LEFT(G59,1)-RIGHT(G59,1) &gt; 0, "W1",LEFT(G59,1)-RIGHT(G59,1) = 0, "D",LEFT(G59,1)-RIGHT(G59,1) &lt; 0, "W2", ISBLANK(G59), "")</f>
        <v>#VALUE!</v>
      </c>
      <c r="J59" s="145" t="e">
        <f t="shared" si="0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162</v>
      </c>
      <c r="D60" s="21" t="s">
        <v>2479</v>
      </c>
      <c r="E60" s="21" t="s">
        <v>163</v>
      </c>
      <c r="F60" s="136" t="s">
        <v>2411</v>
      </c>
      <c r="G60" s="145"/>
      <c r="I60" t="e" cm="1">
        <f t="array" ref="I60">_xlfn.IFS(LEFT(G60,1)-RIGHT(G60,1) &gt; 0, "W1",LEFT(G60,1)-RIGHT(G60,1) = 0, "D",LEFT(G60,1)-RIGHT(G60,1) &lt; 0, "W2", ISBLANK(G60), "")</f>
        <v>#VALUE!</v>
      </c>
      <c r="J60" s="145" t="e">
        <f t="shared" si="0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162</v>
      </c>
      <c r="D61" s="21" t="s">
        <v>2479</v>
      </c>
      <c r="E61" s="21" t="s">
        <v>163</v>
      </c>
      <c r="F61" s="136" t="s">
        <v>2412</v>
      </c>
      <c r="G61" s="145"/>
      <c r="I61" t="e" cm="1">
        <f t="array" ref="I61">_xlfn.IFS(LEFT(G61,1)-RIGHT(G61,1) &gt; 0, "W1",LEFT(G61,1)-RIGHT(G61,1) = 0, "D",LEFT(G61,1)-RIGHT(G61,1) &lt; 0, "W2", ISBLANK(G61), "")</f>
        <v>#VALUE!</v>
      </c>
      <c r="J61" s="145" t="e">
        <f t="shared" si="0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2472</v>
      </c>
      <c r="E62" s="23" t="s">
        <v>169</v>
      </c>
      <c r="F62" s="137" t="s">
        <v>2413</v>
      </c>
      <c r="G62" s="145"/>
      <c r="I62" t="e" cm="1">
        <f t="array" ref="I62">_xlfn.IFS(LEFT(G62,1)-RIGHT(G62,1) &gt; 0, "W1",LEFT(G62,1)-RIGHT(G62,1) = 0, "D",LEFT(G62,1)-RIGHT(G62,1) &lt; 0, "W2", ISBLANK(G62), "")</f>
        <v>#VALUE!</v>
      </c>
      <c r="J62" s="145" t="e">
        <f t="shared" si="0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168</v>
      </c>
      <c r="D63" s="23" t="s">
        <v>2481</v>
      </c>
      <c r="E63" s="23" t="s">
        <v>169</v>
      </c>
      <c r="F63" s="137" t="s">
        <v>2414</v>
      </c>
      <c r="G63" s="145"/>
      <c r="I63" t="e" cm="1">
        <f t="array" ref="I63">_xlfn.IFS(LEFT(G63,1)-RIGHT(G63,1) &gt; 0, "W1",LEFT(G63,1)-RIGHT(G63,1) = 0, "D",LEFT(G63,1)-RIGHT(G63,1) &lt; 0, "W2", ISBLANK(G63), "")</f>
        <v>#VALUE!</v>
      </c>
      <c r="J63" s="145" t="e">
        <f t="shared" si="0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2472</v>
      </c>
      <c r="E64" s="23" t="s">
        <v>175</v>
      </c>
      <c r="F64" s="137" t="s">
        <v>2415</v>
      </c>
      <c r="G64" s="145"/>
      <c r="I64" t="e" cm="1">
        <f t="array" ref="I64">_xlfn.IFS(LEFT(G64,1)-RIGHT(G64,1) &gt; 0, "W1",LEFT(G64,1)-RIGHT(G64,1) = 0, "D",LEFT(G64,1)-RIGHT(G64,1) &lt; 0, "W2", ISBLANK(G64), "")</f>
        <v>#VALUE!</v>
      </c>
      <c r="J64" s="145" t="e">
        <f t="shared" si="0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174</v>
      </c>
      <c r="D65" s="23" t="s">
        <v>2481</v>
      </c>
      <c r="E65" s="23" t="s">
        <v>175</v>
      </c>
      <c r="F65" s="137" t="s">
        <v>2416</v>
      </c>
      <c r="G65" s="145"/>
      <c r="I65" t="e" cm="1">
        <f t="array" ref="I65">_xlfn.IFS(LEFT(G65,1)-RIGHT(G65,1) &gt; 0, "W1",LEFT(G65,1)-RIGHT(G65,1) = 0, "D",LEFT(G65,1)-RIGHT(G65,1) &lt; 0, "W2", ISBLANK(G65), "")</f>
        <v>#VALUE!</v>
      </c>
      <c r="J65" s="145" t="e">
        <f t="shared" si="0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162</v>
      </c>
      <c r="D66" s="23" t="s">
        <v>2478</v>
      </c>
      <c r="E66" s="23" t="s">
        <v>180</v>
      </c>
      <c r="F66" s="137" t="s">
        <v>2417</v>
      </c>
      <c r="G66" s="145"/>
      <c r="I66" t="e" cm="1">
        <f t="array" ref="I66">_xlfn.IFS(LEFT(G66,1)-RIGHT(G66,1) &gt; 0, "W1",LEFT(G66,1)-RIGHT(G66,1) = 0, "D",LEFT(G66,1)-RIGHT(G66,1) &lt; 0, "W2", ISBLANK(G66), "")</f>
        <v>#VALUE!</v>
      </c>
      <c r="J66" s="145" t="e">
        <f t="shared" si="0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162</v>
      </c>
      <c r="D67" s="23" t="s">
        <v>2478</v>
      </c>
      <c r="E67" s="23" t="s">
        <v>180</v>
      </c>
      <c r="F67" s="137" t="s">
        <v>2418</v>
      </c>
      <c r="G67" s="145"/>
      <c r="I67" t="e" cm="1">
        <f t="array" ref="I67">_xlfn.IFS(LEFT(G67,1)-RIGHT(G67,1) &gt; 0, "W1",LEFT(G67,1)-RIGHT(G67,1) = 0, "D",LEFT(G67,1)-RIGHT(G67,1) &lt; 0, "W2", ISBLANK(G67), "")</f>
        <v>#VALUE!</v>
      </c>
      <c r="J67" s="145" t="e">
        <f t="shared" si="0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2480</v>
      </c>
      <c r="E68" s="25" t="s">
        <v>185</v>
      </c>
      <c r="F68" s="138" t="s">
        <v>2419</v>
      </c>
      <c r="G68" s="145"/>
      <c r="I68" t="e" cm="1">
        <f t="array" ref="I68">_xlfn.IFS(LEFT(G68,1)-RIGHT(G68,1) &gt; 0, "W1",LEFT(G68,1)-RIGHT(G68,1) = 0, "D",LEFT(G68,1)-RIGHT(G68,1) &lt; 0, "W2", ISBLANK(G68), "")</f>
        <v>#VALUE!</v>
      </c>
      <c r="J68" s="145" t="e">
        <f t="shared" ref="J68:J105" si="1">LEFT(G68,1)-RIGHT(G68,1)</f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168</v>
      </c>
      <c r="D69" s="25" t="s">
        <v>2471</v>
      </c>
      <c r="E69" s="25" t="s">
        <v>185</v>
      </c>
      <c r="F69" s="138" t="s">
        <v>2420</v>
      </c>
      <c r="G69" s="145"/>
      <c r="I69" t="e" cm="1">
        <f t="array" ref="I69">_xlfn.IFS(LEFT(G69,1)-RIGHT(G69,1) &gt; 0, "W1",LEFT(G69,1)-RIGHT(G69,1) = 0, "D",LEFT(G69,1)-RIGHT(G69,1) &lt; 0, "W2", ISBLANK(G69), "")</f>
        <v>#VALUE!</v>
      </c>
      <c r="J69" s="145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2480</v>
      </c>
      <c r="E70" s="25" t="s">
        <v>190</v>
      </c>
      <c r="F70" s="138" t="s">
        <v>2421</v>
      </c>
      <c r="G70" s="145"/>
      <c r="I70" t="e" cm="1">
        <f t="array" ref="I70">_xlfn.IFS(LEFT(G70,1)-RIGHT(G70,1) &gt; 0, "W1",LEFT(G70,1)-RIGHT(G70,1) = 0, "D",LEFT(G70,1)-RIGHT(G70,1) &lt; 0, "W2", ISBLANK(G70), "")</f>
        <v>#VALUE!</v>
      </c>
      <c r="J70" s="14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174</v>
      </c>
      <c r="D71" s="25" t="s">
        <v>2471</v>
      </c>
      <c r="E71" s="25" t="s">
        <v>190</v>
      </c>
      <c r="F71" s="138" t="s">
        <v>2422</v>
      </c>
      <c r="G71" s="145"/>
      <c r="I71" t="e" cm="1">
        <f t="array" ref="I71">_xlfn.IFS(LEFT(G71,1)-RIGHT(G71,1) &gt; 0, "W1",LEFT(G71,1)-RIGHT(G71,1) = 0, "D",LEFT(G71,1)-RIGHT(G71,1) &lt; 0, "W2", ISBLANK(G71), "")</f>
        <v>#VALUE!</v>
      </c>
      <c r="J71" s="14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162</v>
      </c>
      <c r="D72" s="25" t="s">
        <v>2477</v>
      </c>
      <c r="E72" s="25" t="s">
        <v>195</v>
      </c>
      <c r="F72" s="138" t="s">
        <v>2423</v>
      </c>
      <c r="G72" s="145"/>
      <c r="I72" t="e" cm="1">
        <f t="array" ref="I72">_xlfn.IFS(LEFT(G72,1)-RIGHT(G72,1) &gt; 0, "W1",LEFT(G72,1)-RIGHT(G72,1) = 0, "D",LEFT(G72,1)-RIGHT(G72,1) &lt; 0, "W2", ISBLANK(G72), "")</f>
        <v>#VALUE!</v>
      </c>
      <c r="J72" s="14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162</v>
      </c>
      <c r="D73" s="25" t="s">
        <v>2477</v>
      </c>
      <c r="E73" s="25" t="s">
        <v>195</v>
      </c>
      <c r="F73" s="138" t="s">
        <v>2424</v>
      </c>
      <c r="G73" s="145"/>
      <c r="I73" t="e" cm="1">
        <f t="array" ref="I73">_xlfn.IFS(LEFT(G73,1)-RIGHT(G73,1) &gt; 0, "W1",LEFT(G73,1)-RIGHT(G73,1) = 0, "D",LEFT(G73,1)-RIGHT(G73,1) &lt; 0, "W2", ISBLANK(G73), "")</f>
        <v>#VALUE!</v>
      </c>
      <c r="J73" s="14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/>
      <c r="E74" s="27" t="s">
        <v>201</v>
      </c>
      <c r="F74" s="139" t="s">
        <v>2425</v>
      </c>
      <c r="G74" s="145"/>
      <c r="I74" t="e" cm="1">
        <f t="array" ref="I74">_xlfn.IFS(LEFT(G74,1)-RIGHT(G74,1) &gt; 0, "W1",LEFT(G74,1)-RIGHT(G74,1) = 0, "D",LEFT(G74,1)-RIGHT(G74,1) &lt; 0, "W2", ISBLANK(G74), "")</f>
        <v>#VALUE!</v>
      </c>
      <c r="J74" s="145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/>
      <c r="E75" s="27" t="s">
        <v>201</v>
      </c>
      <c r="F75" s="139" t="s">
        <v>2426</v>
      </c>
      <c r="G75" s="145"/>
      <c r="I75" t="e" cm="1">
        <f t="array" ref="I75">_xlfn.IFS(LEFT(G75,1)-RIGHT(G75,1) &gt; 0, "W1",LEFT(G75,1)-RIGHT(G75,1) = 0, "D",LEFT(G75,1)-RIGHT(G75,1) &lt; 0, "W2", ISBLANK(G75), "")</f>
        <v>#VALUE!</v>
      </c>
      <c r="J75" s="145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203</v>
      </c>
      <c r="D76" s="27"/>
      <c r="E76" s="27" t="s">
        <v>205</v>
      </c>
      <c r="F76" s="139" t="s">
        <v>2427</v>
      </c>
      <c r="G76" s="145"/>
      <c r="I76" t="e" cm="1">
        <f t="array" ref="I76">_xlfn.IFS(LEFT(G76,1)-RIGHT(G76,1) &gt; 0, "W1",LEFT(G76,1)-RIGHT(G76,1) = 0, "D",LEFT(G76,1)-RIGHT(G76,1) &lt; 0, "W2", ISBLANK(G76), "")</f>
        <v>#VALUE!</v>
      </c>
      <c r="J76" s="145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/>
      <c r="E77" s="27" t="s">
        <v>205</v>
      </c>
      <c r="F77" s="139" t="s">
        <v>2428</v>
      </c>
      <c r="G77" s="145"/>
      <c r="I77" t="e" cm="1">
        <f t="array" ref="I77">_xlfn.IFS(LEFT(G77,1)-RIGHT(G77,1) &gt; 0, "W1",LEFT(G77,1)-RIGHT(G77,1) = 0, "D",LEFT(G77,1)-RIGHT(G77,1) &lt; 0, "W2", ISBLANK(G77), "")</f>
        <v>#VALUE!</v>
      </c>
      <c r="J77" s="145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208</v>
      </c>
      <c r="D78" s="27"/>
      <c r="E78" s="27" t="s">
        <v>209</v>
      </c>
      <c r="F78" s="139" t="s">
        <v>2429</v>
      </c>
      <c r="G78" s="145"/>
      <c r="I78" t="e" cm="1">
        <f t="array" ref="I78">_xlfn.IFS(LEFT(G78,1)-RIGHT(G78,1) &gt; 0, "W1",LEFT(G78,1)-RIGHT(G78,1) = 0, "D",LEFT(G78,1)-RIGHT(G78,1) &lt; 0, "W2", ISBLANK(G78), "")</f>
        <v>#VALUE!</v>
      </c>
      <c r="J78" s="145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/>
      <c r="E79" s="27" t="s">
        <v>209</v>
      </c>
      <c r="F79" s="139" t="s">
        <v>2430</v>
      </c>
      <c r="G79" s="145"/>
      <c r="I79" t="e" cm="1">
        <f t="array" ref="I79">_xlfn.IFS(LEFT(G79,1)-RIGHT(G79,1) &gt; 0, "W1",LEFT(G79,1)-RIGHT(G79,1) = 0, "D",LEFT(G79,1)-RIGHT(G79,1) &lt; 0, "W2", ISBLANK(G79), "")</f>
        <v>#VALUE!</v>
      </c>
      <c r="J79" s="145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208</v>
      </c>
      <c r="D80" s="27"/>
      <c r="E80" s="27" t="s">
        <v>212</v>
      </c>
      <c r="F80" s="139" t="s">
        <v>2431</v>
      </c>
      <c r="G80" s="145"/>
      <c r="I80" t="e" cm="1">
        <f t="array" ref="I80">_xlfn.IFS(LEFT(G80,1)-RIGHT(G80,1) &gt; 0, "W1",LEFT(G80,1)-RIGHT(G80,1) = 0, "D",LEFT(G80,1)-RIGHT(G80,1) &lt; 0, "W2", ISBLANK(G80), "")</f>
        <v>#VALUE!</v>
      </c>
      <c r="J80" s="145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/>
      <c r="E81" s="27" t="s">
        <v>215</v>
      </c>
      <c r="F81" s="139" t="s">
        <v>2432</v>
      </c>
      <c r="G81" s="145"/>
      <c r="I81" t="e" cm="1">
        <f t="array" ref="I81">_xlfn.IFS(LEFT(G81,1)-RIGHT(G81,1) &gt; 0, "W1",LEFT(G81,1)-RIGHT(G81,1) = 0, "D",LEFT(G81,1)-RIGHT(G81,1) &lt; 0, "W2", ISBLANK(G81), "")</f>
        <v>#VALUE!</v>
      </c>
      <c r="J81" s="145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214</v>
      </c>
      <c r="D82" s="27"/>
      <c r="E82" s="27" t="s">
        <v>217</v>
      </c>
      <c r="F82" s="139" t="s">
        <v>2433</v>
      </c>
      <c r="G82" s="145"/>
      <c r="I82" t="e" cm="1">
        <f t="array" ref="I82">_xlfn.IFS(LEFT(G82,1)-RIGHT(G82,1) &gt; 0, "W1",LEFT(G82,1)-RIGHT(G82,1) = 0, "D",LEFT(G82,1)-RIGHT(G82,1) &lt; 0, "W2", ISBLANK(G82), "")</f>
        <v>#VALUE!</v>
      </c>
      <c r="J82" s="145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/>
      <c r="E83" s="27" t="s">
        <v>201</v>
      </c>
      <c r="F83" s="139" t="s">
        <v>2434</v>
      </c>
      <c r="G83" s="145"/>
      <c r="I83" t="e" cm="1">
        <f t="array" ref="I83">_xlfn.IFS(LEFT(G83,1)-RIGHT(G83,1) &gt; 0, "W1",LEFT(G83,1)-RIGHT(G83,1) = 0, "D",LEFT(G83,1)-RIGHT(G83,1) &lt; 0, "W2", ISBLANK(G83), "")</f>
        <v>#VALUE!</v>
      </c>
      <c r="J83" s="145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220</v>
      </c>
      <c r="D84" s="27"/>
      <c r="E84" s="27" t="s">
        <v>201</v>
      </c>
      <c r="F84" s="139" t="s">
        <v>2435</v>
      </c>
      <c r="G84" s="145"/>
      <c r="I84" t="e" cm="1">
        <f t="array" ref="I84">_xlfn.IFS(LEFT(G84,1)-RIGHT(G84,1) &gt; 0, "W1",LEFT(G84,1)-RIGHT(G84,1) = 0, "D",LEFT(G84,1)-RIGHT(G84,1) &lt; 0, "W2", ISBLANK(G84), "")</f>
        <v>#VALUE!</v>
      </c>
      <c r="J84" s="145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/>
      <c r="E85" s="27" t="s">
        <v>201</v>
      </c>
      <c r="F85" s="139" t="s">
        <v>2436</v>
      </c>
      <c r="G85" s="145"/>
      <c r="I85" t="e" cm="1">
        <f t="array" ref="I85">_xlfn.IFS(LEFT(G85,1)-RIGHT(G85,1) &gt; 0, "W1",LEFT(G85,1)-RIGHT(G85,1) = 0, "D",LEFT(G85,1)-RIGHT(G85,1) &lt; 0, "W2", ISBLANK(G85), "")</f>
        <v>#VALUE!</v>
      </c>
      <c r="J85" s="145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220</v>
      </c>
      <c r="D86" s="27"/>
      <c r="E86" s="27" t="s">
        <v>201</v>
      </c>
      <c r="F86" s="139" t="s">
        <v>2437</v>
      </c>
      <c r="G86" s="145"/>
      <c r="I86" t="e" cm="1">
        <f t="array" ref="I86">_xlfn.IFS(LEFT(G86,1)-RIGHT(G86,1) &gt; 0, "W1",LEFT(G86,1)-RIGHT(G86,1) = 0, "D",LEFT(G86,1)-RIGHT(G86,1) &lt; 0, "W2", ISBLANK(G86), "")</f>
        <v>#VALUE!</v>
      </c>
      <c r="J86" s="145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224</v>
      </c>
      <c r="D87" s="27"/>
      <c r="E87" s="27" t="s">
        <v>201</v>
      </c>
      <c r="F87" s="139" t="s">
        <v>2438</v>
      </c>
      <c r="G87" s="145"/>
      <c r="I87" t="e" cm="1">
        <f t="array" ref="I87">_xlfn.IFS(LEFT(G87,1)-RIGHT(G87,1) &gt; 0, "W1",LEFT(G87,1)-RIGHT(G87,1) = 0, "D",LEFT(G87,1)-RIGHT(G87,1) &lt; 0, "W2", ISBLANK(G87), "")</f>
        <v>#VALUE!</v>
      </c>
      <c r="J87" s="145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224</v>
      </c>
      <c r="D88" s="27"/>
      <c r="E88" s="27" t="s">
        <v>201</v>
      </c>
      <c r="F88" s="139" t="s">
        <v>2439</v>
      </c>
      <c r="G88" s="145"/>
      <c r="I88" t="e" cm="1">
        <f t="array" ref="I88">_xlfn.IFS(LEFT(G88,1)-RIGHT(G88,1) &gt; 0, "W1",LEFT(G88,1)-RIGHT(G88,1) = 0, "D",LEFT(G88,1)-RIGHT(G88,1) &lt; 0, "W2", ISBLANK(G88), "")</f>
        <v>#VALUE!</v>
      </c>
      <c r="J88" s="145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/>
      <c r="E89" s="27" t="s">
        <v>201</v>
      </c>
      <c r="F89" s="139" t="s">
        <v>2440</v>
      </c>
      <c r="G89" s="145"/>
      <c r="I89" t="e" cm="1">
        <f t="array" ref="I89">_xlfn.IFS(LEFT(G89,1)-RIGHT(G89,1) &gt; 0, "W1",LEFT(G89,1)-RIGHT(G89,1) = 0, "D",LEFT(G89,1)-RIGHT(G89,1) &lt; 0, "W2", ISBLANK(G89), "")</f>
        <v>#VALUE!</v>
      </c>
      <c r="J89" s="145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228</v>
      </c>
      <c r="D90" s="29"/>
      <c r="E90" s="29" t="s">
        <v>229</v>
      </c>
      <c r="F90" s="140" t="s">
        <v>2441</v>
      </c>
      <c r="G90" s="145"/>
      <c r="I90" t="e" cm="1">
        <f t="array" ref="I90">_xlfn.IFS(LEFT(G90,1)-RIGHT(G90,1) &gt; 0, "W1",LEFT(G90,1)-RIGHT(G90,1) = 0, "D",LEFT(G90,1)-RIGHT(G90,1) &lt; 0, "W2", ISBLANK(G90), "")</f>
        <v>#VALUE!</v>
      </c>
      <c r="J90" s="145" t="e">
        <f t="shared" si="1"/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/>
      <c r="E91" s="29" t="s">
        <v>229</v>
      </c>
      <c r="F91" s="140" t="s">
        <v>2442</v>
      </c>
      <c r="G91" s="145"/>
      <c r="I91" t="e" cm="1">
        <f t="array" ref="I91">_xlfn.IFS(LEFT(G91,1)-RIGHT(G91,1) &gt; 0, "W1",LEFT(G91,1)-RIGHT(G91,1) = 0, "D",LEFT(G91,1)-RIGHT(G91,1) &lt; 0, "W2", ISBLANK(G91), "")</f>
        <v>#VALUE!</v>
      </c>
      <c r="J91" s="145" t="e">
        <f t="shared" si="1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/>
      <c r="E92" s="29" t="s">
        <v>233</v>
      </c>
      <c r="F92" s="140" t="s">
        <v>2443</v>
      </c>
      <c r="G92" s="145"/>
      <c r="I92" t="e" cm="1">
        <f t="array" ref="I92">_xlfn.IFS(LEFT(G92,1)-RIGHT(G92,1) &gt; 0, "W1",LEFT(G92,1)-RIGHT(G92,1) = 0, "D",LEFT(G92,1)-RIGHT(G92,1) &lt; 0, "W2", ISBLANK(G92), "")</f>
        <v>#VALUE!</v>
      </c>
      <c r="J92" s="145" t="e">
        <f t="shared" si="1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232</v>
      </c>
      <c r="D93" s="29"/>
      <c r="E93" s="29" t="s">
        <v>233</v>
      </c>
      <c r="F93" s="140" t="s">
        <v>2444</v>
      </c>
      <c r="G93" s="145"/>
      <c r="I93" t="e" cm="1">
        <f t="array" ref="I93">_xlfn.IFS(LEFT(G93,1)-RIGHT(G93,1) &gt; 0, "W1",LEFT(G93,1)-RIGHT(G93,1) = 0, "D",LEFT(G93,1)-RIGHT(G93,1) &lt; 0, "W2", ISBLANK(G93), "")</f>
        <v>#VALUE!</v>
      </c>
      <c r="J93" s="145" t="e">
        <f t="shared" si="1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/>
      <c r="E94" s="29" t="s">
        <v>237</v>
      </c>
      <c r="F94" s="140" t="s">
        <v>2445</v>
      </c>
      <c r="G94" s="145"/>
      <c r="I94" t="e" cm="1">
        <f t="array" ref="I94">_xlfn.IFS(LEFT(G94,1)-RIGHT(G94,1) &gt; 0, "W1",LEFT(G94,1)-RIGHT(G94,1) = 0, "D",LEFT(G94,1)-RIGHT(G94,1) &lt; 0, "W2", ISBLANK(G94), "")</f>
        <v>#VALUE!</v>
      </c>
      <c r="J94" s="145" t="e">
        <f t="shared" si="1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236</v>
      </c>
      <c r="D95" s="29"/>
      <c r="E95" s="29" t="s">
        <v>237</v>
      </c>
      <c r="F95" s="140" t="s">
        <v>2446</v>
      </c>
      <c r="G95" s="145"/>
      <c r="I95" t="e" cm="1">
        <f t="array" ref="I95">_xlfn.IFS(LEFT(G95,1)-RIGHT(G95,1) &gt; 0, "W1",LEFT(G95,1)-RIGHT(G95,1) = 0, "D",LEFT(G95,1)-RIGHT(G95,1) &lt; 0, "W2", ISBLANK(G95), "")</f>
        <v>#VALUE!</v>
      </c>
      <c r="J95" s="145" t="e">
        <f t="shared" si="1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/>
      <c r="E96" s="29" t="s">
        <v>241</v>
      </c>
      <c r="F96" s="140" t="s">
        <v>2447</v>
      </c>
      <c r="G96" s="145"/>
      <c r="I96" t="e" cm="1">
        <f t="array" ref="I96">_xlfn.IFS(LEFT(G96,1)-RIGHT(G96,1) &gt; 0, "W1",LEFT(G96,1)-RIGHT(G96,1) = 0, "D",LEFT(G96,1)-RIGHT(G96,1) &lt; 0, "W2", ISBLANK(G96), "")</f>
        <v>#VALUE!</v>
      </c>
      <c r="J96" s="145" t="e">
        <f t="shared" si="1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/>
      <c r="E97" s="29" t="s">
        <v>243</v>
      </c>
      <c r="F97" s="140" t="s">
        <v>2448</v>
      </c>
      <c r="G97" s="145"/>
      <c r="I97" t="e" cm="1">
        <f t="array" ref="I97">_xlfn.IFS(LEFT(G97,1)-RIGHT(G97,1) &gt; 0, "W1",LEFT(G97,1)-RIGHT(G97,1) = 0, "D",LEFT(G97,1)-RIGHT(G97,1) &lt; 0, "W2", ISBLANK(G97), "")</f>
        <v>#VALUE!</v>
      </c>
      <c r="J97" s="145" t="e">
        <f t="shared" si="1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/>
      <c r="E98" s="31" t="s">
        <v>246</v>
      </c>
      <c r="F98" s="141" t="s">
        <v>2449</v>
      </c>
      <c r="G98" s="145"/>
      <c r="I98" t="e" cm="1">
        <f t="array" ref="I98">_xlfn.IFS(LEFT(G98,1)-RIGHT(G98,1) &gt; 0, "W1",LEFT(G98,1)-RIGHT(G98,1) = 0, "D",LEFT(G98,1)-RIGHT(G98,1) &lt; 0, "W2", ISBLANK(G98), "")</f>
        <v>#VALUE!</v>
      </c>
      <c r="J98" s="145" t="e">
        <f t="shared" si="1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/>
      <c r="E99" s="31" t="s">
        <v>246</v>
      </c>
      <c r="F99" s="141" t="s">
        <v>2450</v>
      </c>
      <c r="G99" s="145"/>
      <c r="I99" t="e" cm="1">
        <f t="array" ref="I99">_xlfn.IFS(LEFT(G99,1)-RIGHT(G99,1) &gt; 0, "W1",LEFT(G99,1)-RIGHT(G99,1) = 0, "D",LEFT(G99,1)-RIGHT(G99,1) &lt; 0, "W2", ISBLANK(G99), "")</f>
        <v>#VALUE!</v>
      </c>
      <c r="J99" s="145" t="e">
        <f t="shared" si="1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250</v>
      </c>
      <c r="D100" s="31"/>
      <c r="E100" s="31" t="s">
        <v>251</v>
      </c>
      <c r="F100" s="141" t="s">
        <v>2451</v>
      </c>
      <c r="G100" s="145"/>
      <c r="I100" t="e" cm="1">
        <f t="array" ref="I100">_xlfn.IFS(LEFT(G100,1)-RIGHT(G100,1) &gt; 0, "W1",LEFT(G100,1)-RIGHT(G100,1) = 0, "D",LEFT(G100,1)-RIGHT(G100,1) &lt; 0, "W2", ISBLANK(G100), "")</f>
        <v>#VALUE!</v>
      </c>
      <c r="J100" s="145" t="e">
        <f t="shared" si="1"/>
        <v>#VALUE!</v>
      </c>
    </row>
    <row r="101" spans="1:10" ht="16" customHeight="1" x14ac:dyDescent="0.35">
      <c r="A101" s="30" t="s">
        <v>252</v>
      </c>
      <c r="B101" s="31" t="s">
        <v>199</v>
      </c>
      <c r="C101" s="31" t="s">
        <v>250</v>
      </c>
      <c r="D101" s="31"/>
      <c r="E101" s="31" t="s">
        <v>251</v>
      </c>
      <c r="F101" s="141" t="s">
        <v>2452</v>
      </c>
      <c r="G101" s="145"/>
      <c r="I101" t="e" cm="1">
        <f t="array" ref="I101">_xlfn.IFS(LEFT(G101,1)-RIGHT(G101,1) &gt; 0, "W1",LEFT(G101,1)-RIGHT(G101,1) = 0, "D",LEFT(G101,1)-RIGHT(G101,1) &lt; 0, "W2", ISBLANK(G101), "")</f>
        <v>#VALUE!</v>
      </c>
      <c r="J101" s="145" t="e">
        <f t="shared" si="1"/>
        <v>#VALUE!</v>
      </c>
    </row>
    <row r="102" spans="1:10" ht="16" customHeight="1" x14ac:dyDescent="0.35">
      <c r="A102" s="32" t="s">
        <v>253</v>
      </c>
      <c r="B102" s="33" t="s">
        <v>199</v>
      </c>
      <c r="C102" s="33" t="s">
        <v>254</v>
      </c>
      <c r="D102" s="33"/>
      <c r="E102" s="33" t="s">
        <v>255</v>
      </c>
      <c r="F102" s="142" t="s">
        <v>2453</v>
      </c>
      <c r="I102" t="e" cm="1">
        <f t="array" ref="I102">_xlfn.IFS(LEFT(G102,1)-RIGHT(G102,1) &gt; 0, "W1",LEFT(G102,1)-RIGHT(G102,1) = 0, "D",LEFT(G102,1)-RIGHT(G102,1) &lt; 0, "W2", ISBLANK(G102), "")</f>
        <v>#VALUE!</v>
      </c>
      <c r="J102" s="145" t="e">
        <f t="shared" si="1"/>
        <v>#VALUE!</v>
      </c>
    </row>
    <row r="103" spans="1:10" ht="16" customHeight="1" x14ac:dyDescent="0.35">
      <c r="A103" s="32" t="s">
        <v>256</v>
      </c>
      <c r="B103" s="33" t="s">
        <v>199</v>
      </c>
      <c r="C103" s="33" t="s">
        <v>257</v>
      </c>
      <c r="D103" s="33"/>
      <c r="E103" s="33" t="s">
        <v>255</v>
      </c>
      <c r="F103" s="142" t="s">
        <v>2454</v>
      </c>
      <c r="I103" t="e" cm="1">
        <f t="array" ref="I103">_xlfn.IFS(LEFT(G103,1)-RIGHT(G103,1) &gt; 0, "W1",LEFT(G103,1)-RIGHT(G103,1) = 0, "D",LEFT(G103,1)-RIGHT(G103,1) &lt; 0, "W2", ISBLANK(G103), "")</f>
        <v>#VALUE!</v>
      </c>
      <c r="J103" s="145" t="e">
        <f t="shared" si="1"/>
        <v>#VALUE!</v>
      </c>
    </row>
    <row r="104" spans="1:10" ht="16" customHeight="1" x14ac:dyDescent="0.35">
      <c r="A104" s="34" t="s">
        <v>258</v>
      </c>
      <c r="B104" s="35" t="s">
        <v>199</v>
      </c>
      <c r="C104" s="35" t="s">
        <v>259</v>
      </c>
      <c r="D104" s="35"/>
      <c r="E104" s="35" t="s">
        <v>260</v>
      </c>
      <c r="F104" s="143" t="s">
        <v>2455</v>
      </c>
      <c r="I104" t="e" cm="1">
        <f t="array" ref="I104">_xlfn.IFS(LEFT(G104,1)-RIGHT(G104,1) &gt; 0, "W1",LEFT(G104,1)-RIGHT(G104,1) = 0, "D",LEFT(G104,1)-RIGHT(G104,1) &lt; 0, "W2", ISBLANK(G104), "")</f>
        <v>#VALUE!</v>
      </c>
      <c r="J104" s="145" t="e">
        <f t="shared" si="1"/>
        <v>#VALUE!</v>
      </c>
    </row>
    <row r="105" spans="1:10" ht="16" customHeight="1" x14ac:dyDescent="0.35">
      <c r="A105" s="26" t="s">
        <v>261</v>
      </c>
      <c r="B105" s="27" t="s">
        <v>199</v>
      </c>
      <c r="C105" s="27" t="s">
        <v>262</v>
      </c>
      <c r="D105" s="27"/>
      <c r="E105" s="27" t="s">
        <v>263</v>
      </c>
      <c r="F105" s="139" t="s">
        <v>2456</v>
      </c>
      <c r="I105" t="e" cm="1">
        <f t="array" ref="I105">_xlfn.IFS(LEFT(G105,1)-RIGHT(G105,1) &gt; 0, "W1",LEFT(G105,1)-RIGHT(G105,1) = 0, "D",LEFT(G105,1)-RIGHT(G105,1) &lt; 0, "W2", ISBLANK(G105), "")</f>
        <v>#VALUE!</v>
      </c>
      <c r="J105" s="145" t="e">
        <f t="shared" si="1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249"/>
  <sheetViews>
    <sheetView workbookViewId="0">
      <pane ySplit="1" topLeftCell="A1202" activePane="bottomLeft" state="frozen"/>
      <selection pane="bottomLeft" activeCell="D288" sqref="D288"/>
    </sheetView>
  </sheetViews>
  <sheetFormatPr defaultRowHeight="14.5" x14ac:dyDescent="0.35"/>
  <cols>
    <col min="1" max="1" width="6" customWidth="1"/>
    <col min="2" max="2" width="12" customWidth="1"/>
    <col min="3" max="3" width="22" customWidth="1"/>
    <col min="4" max="4" width="25" customWidth="1"/>
    <col min="5" max="5" width="21.1796875" customWidth="1"/>
    <col min="6" max="6" width="29.08984375" customWidth="1"/>
    <col min="7" max="7" width="21.1796875" customWidth="1"/>
  </cols>
  <sheetData>
    <row r="1" spans="1:7" ht="22" customHeight="1" x14ac:dyDescent="0.35">
      <c r="A1" s="36" t="s">
        <v>264</v>
      </c>
      <c r="B1" s="36" t="s">
        <v>265</v>
      </c>
      <c r="C1" s="36" t="s">
        <v>266</v>
      </c>
      <c r="D1" s="36" t="s">
        <v>267</v>
      </c>
      <c r="E1" s="36" t="s">
        <v>268</v>
      </c>
      <c r="F1" s="36" t="s">
        <v>2359</v>
      </c>
      <c r="G1" s="36" t="s">
        <v>2360</v>
      </c>
    </row>
    <row r="2" spans="1:7" ht="15" hidden="1" customHeight="1" x14ac:dyDescent="0.35">
      <c r="A2" s="37">
        <v>1</v>
      </c>
      <c r="B2" s="37" t="s">
        <v>269</v>
      </c>
      <c r="C2" s="38" t="s">
        <v>270</v>
      </c>
      <c r="D2" s="38" t="s">
        <v>271</v>
      </c>
      <c r="E2" s="37" t="s">
        <v>272</v>
      </c>
      <c r="F2" s="37" t="str">
        <f>IF(B2="GK", _xlfn.CONCAT(E2, " ","(",B2, ") ",D2, " - ", A2),  _xlfn.CONCAT(E2, " ",D2, " - ", A2))</f>
        <v>DZA (GK) MASTIL - 1</v>
      </c>
      <c r="G2" s="37" t="str">
        <f>_xlfn.CONCAT(E2,A2)</f>
        <v>DZA1</v>
      </c>
    </row>
    <row r="3" spans="1:7" ht="15" hidden="1" customHeight="1" x14ac:dyDescent="0.35">
      <c r="A3" s="37">
        <v>2</v>
      </c>
      <c r="B3" s="37" t="s">
        <v>273</v>
      </c>
      <c r="C3" s="38" t="s">
        <v>274</v>
      </c>
      <c r="D3" s="38" t="s">
        <v>275</v>
      </c>
      <c r="E3" s="37" t="s">
        <v>272</v>
      </c>
      <c r="F3" s="37" t="str">
        <f t="shared" ref="F3:F66" si="0">IF(B3="GK", _xlfn.CONCAT(E3, " ","(",B3, ") ",D3, " - ", A3),  _xlfn.CONCAT(E3, " ",D3, " - ", A3))</f>
        <v>DZA MANDI - 2</v>
      </c>
      <c r="G3" s="37" t="str">
        <f t="shared" ref="G3:G66" si="1">_xlfn.CONCAT(E3,A3)</f>
        <v>DZA2</v>
      </c>
    </row>
    <row r="4" spans="1:7" ht="15" hidden="1" customHeight="1" x14ac:dyDescent="0.35">
      <c r="A4" s="37">
        <v>3</v>
      </c>
      <c r="B4" s="37" t="s">
        <v>273</v>
      </c>
      <c r="C4" s="38" t="s">
        <v>276</v>
      </c>
      <c r="D4" s="38" t="s">
        <v>277</v>
      </c>
      <c r="E4" s="37" t="s">
        <v>272</v>
      </c>
      <c r="F4" s="37" t="str">
        <f t="shared" si="0"/>
        <v>DZA ABADA - 3</v>
      </c>
      <c r="G4" s="37" t="str">
        <f t="shared" si="1"/>
        <v>DZA3</v>
      </c>
    </row>
    <row r="5" spans="1:7" ht="15" hidden="1" customHeight="1" x14ac:dyDescent="0.35">
      <c r="A5" s="37">
        <v>4</v>
      </c>
      <c r="B5" s="37" t="s">
        <v>273</v>
      </c>
      <c r="C5" s="38" t="s">
        <v>278</v>
      </c>
      <c r="D5" s="38" t="s">
        <v>279</v>
      </c>
      <c r="E5" s="37" t="s">
        <v>272</v>
      </c>
      <c r="F5" s="37" t="str">
        <f t="shared" si="0"/>
        <v>DZA TOUGAI - 4</v>
      </c>
      <c r="G5" s="37" t="str">
        <f t="shared" si="1"/>
        <v>DZA4</v>
      </c>
    </row>
    <row r="6" spans="1:7" ht="15" hidden="1" customHeight="1" x14ac:dyDescent="0.35">
      <c r="A6" s="37">
        <v>5</v>
      </c>
      <c r="B6" s="37" t="s">
        <v>273</v>
      </c>
      <c r="C6" s="38" t="s">
        <v>280</v>
      </c>
      <c r="D6" s="38" t="s">
        <v>281</v>
      </c>
      <c r="E6" s="37" t="s">
        <v>272</v>
      </c>
      <c r="F6" s="37" t="str">
        <f t="shared" si="0"/>
        <v>DZA BELAID - 5</v>
      </c>
      <c r="G6" s="37" t="str">
        <f t="shared" si="1"/>
        <v>DZA5</v>
      </c>
    </row>
    <row r="7" spans="1:7" ht="15" hidden="1" customHeight="1" x14ac:dyDescent="0.35">
      <c r="A7" s="37">
        <v>6</v>
      </c>
      <c r="B7" s="37" t="s">
        <v>282</v>
      </c>
      <c r="C7" s="38" t="s">
        <v>283</v>
      </c>
      <c r="D7" s="38" t="s">
        <v>284</v>
      </c>
      <c r="E7" s="37" t="s">
        <v>272</v>
      </c>
      <c r="F7" s="37" t="str">
        <f t="shared" si="0"/>
        <v>DZA ZERROUKI - 6</v>
      </c>
      <c r="G7" s="37" t="str">
        <f t="shared" si="1"/>
        <v>DZA6</v>
      </c>
    </row>
    <row r="8" spans="1:7" ht="15" hidden="1" customHeight="1" x14ac:dyDescent="0.35">
      <c r="A8" s="37">
        <v>7</v>
      </c>
      <c r="B8" s="37" t="s">
        <v>285</v>
      </c>
      <c r="C8" s="38" t="s">
        <v>286</v>
      </c>
      <c r="D8" s="38" t="s">
        <v>287</v>
      </c>
      <c r="E8" s="37" t="s">
        <v>272</v>
      </c>
      <c r="F8" s="37" t="str">
        <f t="shared" si="0"/>
        <v>DZA MAHREZ - 7</v>
      </c>
      <c r="G8" s="37" t="str">
        <f t="shared" si="1"/>
        <v>DZA7</v>
      </c>
    </row>
    <row r="9" spans="1:7" ht="15" hidden="1" customHeight="1" x14ac:dyDescent="0.35">
      <c r="A9" s="37">
        <v>8</v>
      </c>
      <c r="B9" s="37" t="s">
        <v>282</v>
      </c>
      <c r="C9" s="38" t="s">
        <v>288</v>
      </c>
      <c r="D9" s="38" t="s">
        <v>289</v>
      </c>
      <c r="E9" s="37" t="s">
        <v>272</v>
      </c>
      <c r="F9" s="37" t="str">
        <f t="shared" si="0"/>
        <v>DZA AOUAR - 8</v>
      </c>
      <c r="G9" s="37" t="str">
        <f t="shared" si="1"/>
        <v>DZA8</v>
      </c>
    </row>
    <row r="10" spans="1:7" ht="15" hidden="1" customHeight="1" x14ac:dyDescent="0.35">
      <c r="A10" s="37">
        <v>9</v>
      </c>
      <c r="B10" s="37" t="s">
        <v>285</v>
      </c>
      <c r="C10" s="38" t="s">
        <v>290</v>
      </c>
      <c r="D10" s="38" t="s">
        <v>291</v>
      </c>
      <c r="E10" s="37" t="s">
        <v>272</v>
      </c>
      <c r="F10" s="37" t="str">
        <f t="shared" si="0"/>
        <v>DZA GOUIRI - 9</v>
      </c>
      <c r="G10" s="37" t="str">
        <f t="shared" si="1"/>
        <v>DZA9</v>
      </c>
    </row>
    <row r="11" spans="1:7" ht="15" hidden="1" customHeight="1" x14ac:dyDescent="0.35">
      <c r="A11" s="37">
        <v>10</v>
      </c>
      <c r="B11" s="37" t="s">
        <v>282</v>
      </c>
      <c r="C11" s="38" t="s">
        <v>292</v>
      </c>
      <c r="D11" s="38" t="s">
        <v>293</v>
      </c>
      <c r="E11" s="37" t="s">
        <v>272</v>
      </c>
      <c r="F11" s="37" t="str">
        <f t="shared" si="0"/>
        <v>DZA CHAIBI - 10</v>
      </c>
      <c r="G11" s="37" t="str">
        <f t="shared" si="1"/>
        <v>DZA10</v>
      </c>
    </row>
    <row r="12" spans="1:7" ht="15" hidden="1" customHeight="1" x14ac:dyDescent="0.35">
      <c r="A12" s="37">
        <v>11</v>
      </c>
      <c r="B12" s="37" t="s">
        <v>285</v>
      </c>
      <c r="C12" s="38" t="s">
        <v>294</v>
      </c>
      <c r="D12" s="38" t="s">
        <v>295</v>
      </c>
      <c r="E12" s="37" t="s">
        <v>272</v>
      </c>
      <c r="F12" s="37" t="str">
        <f t="shared" si="0"/>
        <v>DZA HADJ MOUSSA - 11</v>
      </c>
      <c r="G12" s="37" t="str">
        <f t="shared" si="1"/>
        <v>DZA11</v>
      </c>
    </row>
    <row r="13" spans="1:7" ht="15" hidden="1" customHeight="1" x14ac:dyDescent="0.35">
      <c r="A13" s="37">
        <v>12</v>
      </c>
      <c r="B13" s="37" t="s">
        <v>285</v>
      </c>
      <c r="C13" s="38" t="s">
        <v>296</v>
      </c>
      <c r="D13" s="38" t="s">
        <v>297</v>
      </c>
      <c r="E13" s="37" t="s">
        <v>272</v>
      </c>
      <c r="F13" s="37" t="str">
        <f t="shared" si="0"/>
        <v>DZA BENBOUALI - 12</v>
      </c>
      <c r="G13" s="37" t="str">
        <f t="shared" si="1"/>
        <v>DZA12</v>
      </c>
    </row>
    <row r="14" spans="1:7" ht="15" hidden="1" customHeight="1" x14ac:dyDescent="0.35">
      <c r="A14" s="37">
        <v>13</v>
      </c>
      <c r="B14" s="37" t="s">
        <v>273</v>
      </c>
      <c r="C14" s="38" t="s">
        <v>298</v>
      </c>
      <c r="D14" s="38" t="s">
        <v>299</v>
      </c>
      <c r="E14" s="37" t="s">
        <v>272</v>
      </c>
      <c r="F14" s="37" t="str">
        <f t="shared" si="0"/>
        <v>DZA HADJAM - 13</v>
      </c>
      <c r="G14" s="37" t="str">
        <f t="shared" si="1"/>
        <v>DZA13</v>
      </c>
    </row>
    <row r="15" spans="1:7" ht="15" hidden="1" customHeight="1" x14ac:dyDescent="0.35">
      <c r="A15" s="37">
        <v>14</v>
      </c>
      <c r="B15" s="37" t="s">
        <v>282</v>
      </c>
      <c r="C15" s="38" t="s">
        <v>300</v>
      </c>
      <c r="D15" s="38" t="s">
        <v>301</v>
      </c>
      <c r="E15" s="37" t="s">
        <v>272</v>
      </c>
      <c r="F15" s="37" t="str">
        <f t="shared" si="0"/>
        <v>DZA BOUDAOUI - 14</v>
      </c>
      <c r="G15" s="37" t="str">
        <f t="shared" si="1"/>
        <v>DZA14</v>
      </c>
    </row>
    <row r="16" spans="1:7" ht="15" hidden="1" customHeight="1" x14ac:dyDescent="0.35">
      <c r="A16" s="37">
        <v>15</v>
      </c>
      <c r="B16" s="37" t="s">
        <v>273</v>
      </c>
      <c r="C16" s="38" t="s">
        <v>302</v>
      </c>
      <c r="D16" s="38" t="s">
        <v>303</v>
      </c>
      <c r="E16" s="37" t="s">
        <v>272</v>
      </c>
      <c r="F16" s="37" t="str">
        <f t="shared" si="0"/>
        <v>DZA AIT-NOURI - 15</v>
      </c>
      <c r="G16" s="37" t="str">
        <f t="shared" si="1"/>
        <v>DZA15</v>
      </c>
    </row>
    <row r="17" spans="1:7" ht="15" hidden="1" customHeight="1" x14ac:dyDescent="0.35">
      <c r="A17" s="37">
        <v>16</v>
      </c>
      <c r="B17" s="37" t="s">
        <v>269</v>
      </c>
      <c r="C17" s="38" t="s">
        <v>304</v>
      </c>
      <c r="D17" s="38" t="s">
        <v>305</v>
      </c>
      <c r="E17" s="37" t="s">
        <v>272</v>
      </c>
      <c r="F17" s="37" t="str">
        <f t="shared" si="0"/>
        <v>DZA (GK) BENBOT - 16</v>
      </c>
      <c r="G17" s="37" t="str">
        <f t="shared" si="1"/>
        <v>DZA16</v>
      </c>
    </row>
    <row r="18" spans="1:7" ht="15" hidden="1" customHeight="1" x14ac:dyDescent="0.35">
      <c r="A18" s="37">
        <v>17</v>
      </c>
      <c r="B18" s="37" t="s">
        <v>273</v>
      </c>
      <c r="C18" s="38" t="s">
        <v>306</v>
      </c>
      <c r="D18" s="38" t="s">
        <v>307</v>
      </c>
      <c r="E18" s="37" t="s">
        <v>272</v>
      </c>
      <c r="F18" s="37" t="str">
        <f t="shared" si="0"/>
        <v>DZA BELGHALI - 17</v>
      </c>
      <c r="G18" s="37" t="str">
        <f t="shared" si="1"/>
        <v>DZA17</v>
      </c>
    </row>
    <row r="19" spans="1:7" ht="15" hidden="1" customHeight="1" x14ac:dyDescent="0.35">
      <c r="A19" s="37">
        <v>18</v>
      </c>
      <c r="B19" s="37" t="s">
        <v>285</v>
      </c>
      <c r="C19" s="38" t="s">
        <v>308</v>
      </c>
      <c r="D19" s="38" t="s">
        <v>309</v>
      </c>
      <c r="E19" s="37" t="s">
        <v>272</v>
      </c>
      <c r="F19" s="37" t="str">
        <f t="shared" si="0"/>
        <v>DZA AMOURA - 18</v>
      </c>
      <c r="G19" s="37" t="str">
        <f t="shared" si="1"/>
        <v>DZA18</v>
      </c>
    </row>
    <row r="20" spans="1:7" ht="15" hidden="1" customHeight="1" x14ac:dyDescent="0.35">
      <c r="A20" s="37">
        <v>19</v>
      </c>
      <c r="B20" s="37" t="s">
        <v>282</v>
      </c>
      <c r="C20" s="38" t="s">
        <v>310</v>
      </c>
      <c r="D20" s="38" t="s">
        <v>311</v>
      </c>
      <c r="E20" s="37" t="s">
        <v>272</v>
      </c>
      <c r="F20" s="37" t="str">
        <f t="shared" si="0"/>
        <v>DZA BENTALEB - 19</v>
      </c>
      <c r="G20" s="37" t="str">
        <f t="shared" si="1"/>
        <v>DZA19</v>
      </c>
    </row>
    <row r="21" spans="1:7" ht="15" hidden="1" customHeight="1" x14ac:dyDescent="0.35">
      <c r="A21" s="37">
        <v>20</v>
      </c>
      <c r="B21" s="37" t="s">
        <v>285</v>
      </c>
      <c r="C21" s="38" t="s">
        <v>312</v>
      </c>
      <c r="D21" s="38" t="s">
        <v>313</v>
      </c>
      <c r="E21" s="37" t="s">
        <v>272</v>
      </c>
      <c r="F21" s="37" t="str">
        <f t="shared" si="0"/>
        <v>DZA BOULBINA - 20</v>
      </c>
      <c r="G21" s="37" t="str">
        <f t="shared" si="1"/>
        <v>DZA20</v>
      </c>
    </row>
    <row r="22" spans="1:7" ht="15" hidden="1" customHeight="1" x14ac:dyDescent="0.35">
      <c r="A22" s="37">
        <v>21</v>
      </c>
      <c r="B22" s="37" t="s">
        <v>273</v>
      </c>
      <c r="C22" s="38" t="s">
        <v>314</v>
      </c>
      <c r="D22" s="38" t="s">
        <v>315</v>
      </c>
      <c r="E22" s="37" t="s">
        <v>272</v>
      </c>
      <c r="F22" s="37" t="str">
        <f t="shared" si="0"/>
        <v>DZA BENSEBAINI - 21</v>
      </c>
      <c r="G22" s="37" t="str">
        <f t="shared" si="1"/>
        <v>DZA21</v>
      </c>
    </row>
    <row r="23" spans="1:7" ht="15" hidden="1" customHeight="1" x14ac:dyDescent="0.35">
      <c r="A23" s="37">
        <v>22</v>
      </c>
      <c r="B23" s="37" t="s">
        <v>282</v>
      </c>
      <c r="C23" s="38" t="s">
        <v>316</v>
      </c>
      <c r="D23" s="38" t="s">
        <v>317</v>
      </c>
      <c r="E23" s="37" t="s">
        <v>272</v>
      </c>
      <c r="F23" s="37" t="str">
        <f t="shared" si="0"/>
        <v>DZA MAZA - 22</v>
      </c>
      <c r="G23" s="37" t="str">
        <f t="shared" si="1"/>
        <v>DZA22</v>
      </c>
    </row>
    <row r="24" spans="1:7" ht="15" hidden="1" customHeight="1" x14ac:dyDescent="0.35">
      <c r="A24" s="37">
        <v>23</v>
      </c>
      <c r="B24" s="37" t="s">
        <v>269</v>
      </c>
      <c r="C24" s="38" t="s">
        <v>318</v>
      </c>
      <c r="D24" s="38" t="s">
        <v>319</v>
      </c>
      <c r="E24" s="37" t="s">
        <v>272</v>
      </c>
      <c r="F24" s="37" t="str">
        <f t="shared" si="0"/>
        <v>DZA (GK) ZIDANE - 23</v>
      </c>
      <c r="G24" s="37" t="str">
        <f t="shared" si="1"/>
        <v>DZA23</v>
      </c>
    </row>
    <row r="25" spans="1:7" ht="15" hidden="1" customHeight="1" x14ac:dyDescent="0.35">
      <c r="A25" s="37">
        <v>24</v>
      </c>
      <c r="B25" s="37" t="s">
        <v>282</v>
      </c>
      <c r="C25" s="38" t="s">
        <v>320</v>
      </c>
      <c r="D25" s="38" t="s">
        <v>321</v>
      </c>
      <c r="E25" s="37" t="s">
        <v>272</v>
      </c>
      <c r="F25" s="37" t="str">
        <f t="shared" si="0"/>
        <v>DZA TITRAOUI - 24</v>
      </c>
      <c r="G25" s="37" t="str">
        <f t="shared" si="1"/>
        <v>DZA24</v>
      </c>
    </row>
    <row r="26" spans="1:7" ht="15" hidden="1" customHeight="1" x14ac:dyDescent="0.35">
      <c r="A26" s="37">
        <v>25</v>
      </c>
      <c r="B26" s="37" t="s">
        <v>285</v>
      </c>
      <c r="C26" s="38" t="s">
        <v>292</v>
      </c>
      <c r="D26" s="38" t="s">
        <v>322</v>
      </c>
      <c r="E26" s="37" t="s">
        <v>272</v>
      </c>
      <c r="F26" s="37" t="str">
        <f t="shared" si="0"/>
        <v>DZA GHEDJEMIS - 25</v>
      </c>
      <c r="G26" s="37" t="str">
        <f t="shared" si="1"/>
        <v>DZA25</v>
      </c>
    </row>
    <row r="27" spans="1:7" ht="15" hidden="1" customHeight="1" x14ac:dyDescent="0.35">
      <c r="A27" s="37">
        <v>26</v>
      </c>
      <c r="B27" s="37" t="s">
        <v>273</v>
      </c>
      <c r="C27" s="38" t="s">
        <v>323</v>
      </c>
      <c r="D27" s="38" t="s">
        <v>324</v>
      </c>
      <c r="E27" s="37" t="s">
        <v>272</v>
      </c>
      <c r="F27" s="37" t="str">
        <f t="shared" si="0"/>
        <v>DZA CHERGUI - 26</v>
      </c>
      <c r="G27" s="37" t="str">
        <f t="shared" si="1"/>
        <v>DZA26</v>
      </c>
    </row>
    <row r="28" spans="1:7" ht="15" hidden="1" customHeight="1" x14ac:dyDescent="0.35">
      <c r="A28" s="39">
        <v>1</v>
      </c>
      <c r="B28" s="39" t="s">
        <v>269</v>
      </c>
      <c r="C28" s="40" t="s">
        <v>325</v>
      </c>
      <c r="D28" s="40" t="s">
        <v>326</v>
      </c>
      <c r="E28" s="39" t="s">
        <v>327</v>
      </c>
      <c r="F28" s="39" t="str">
        <f t="shared" si="0"/>
        <v>ARG (GK) MUSSO - 1</v>
      </c>
      <c r="G28" s="39" t="str">
        <f t="shared" si="1"/>
        <v>ARG1</v>
      </c>
    </row>
    <row r="29" spans="1:7" ht="15" hidden="1" customHeight="1" x14ac:dyDescent="0.35">
      <c r="A29" s="39">
        <v>2</v>
      </c>
      <c r="B29" s="39" t="s">
        <v>273</v>
      </c>
      <c r="C29" s="40" t="s">
        <v>328</v>
      </c>
      <c r="D29" s="40" t="s">
        <v>329</v>
      </c>
      <c r="E29" s="39" t="s">
        <v>327</v>
      </c>
      <c r="F29" s="39" t="str">
        <f t="shared" si="0"/>
        <v>ARG BALERDI - 2</v>
      </c>
      <c r="G29" s="39" t="str">
        <f t="shared" si="1"/>
        <v>ARG2</v>
      </c>
    </row>
    <row r="30" spans="1:7" ht="15" hidden="1" customHeight="1" x14ac:dyDescent="0.35">
      <c r="A30" s="39">
        <v>3</v>
      </c>
      <c r="B30" s="39" t="s">
        <v>273</v>
      </c>
      <c r="C30" s="40" t="s">
        <v>330</v>
      </c>
      <c r="D30" s="40" t="s">
        <v>331</v>
      </c>
      <c r="E30" s="39" t="s">
        <v>327</v>
      </c>
      <c r="F30" s="39" t="str">
        <f t="shared" si="0"/>
        <v>ARG TAGLIAFICO - 3</v>
      </c>
      <c r="G30" s="39" t="str">
        <f t="shared" si="1"/>
        <v>ARG3</v>
      </c>
    </row>
    <row r="31" spans="1:7" ht="15" hidden="1" customHeight="1" x14ac:dyDescent="0.35">
      <c r="A31" s="39">
        <v>4</v>
      </c>
      <c r="B31" s="39" t="s">
        <v>273</v>
      </c>
      <c r="C31" s="40" t="s">
        <v>332</v>
      </c>
      <c r="D31" s="40" t="s">
        <v>333</v>
      </c>
      <c r="E31" s="39" t="s">
        <v>327</v>
      </c>
      <c r="F31" s="39" t="str">
        <f t="shared" si="0"/>
        <v>ARG MONTIEL - 4</v>
      </c>
      <c r="G31" s="39" t="str">
        <f t="shared" si="1"/>
        <v>ARG4</v>
      </c>
    </row>
    <row r="32" spans="1:7" ht="15" hidden="1" customHeight="1" x14ac:dyDescent="0.35">
      <c r="A32" s="39">
        <v>5</v>
      </c>
      <c r="B32" s="39" t="s">
        <v>282</v>
      </c>
      <c r="C32" s="40" t="s">
        <v>334</v>
      </c>
      <c r="D32" s="40" t="s">
        <v>335</v>
      </c>
      <c r="E32" s="39" t="s">
        <v>327</v>
      </c>
      <c r="F32" s="39" t="str">
        <f t="shared" si="0"/>
        <v>ARG PAREDES - 5</v>
      </c>
      <c r="G32" s="39" t="str">
        <f t="shared" si="1"/>
        <v>ARG5</v>
      </c>
    </row>
    <row r="33" spans="1:7" ht="15" hidden="1" customHeight="1" x14ac:dyDescent="0.35">
      <c r="A33" s="39">
        <v>6</v>
      </c>
      <c r="B33" s="39" t="s">
        <v>273</v>
      </c>
      <c r="C33" s="40" t="s">
        <v>336</v>
      </c>
      <c r="D33" s="40" t="s">
        <v>337</v>
      </c>
      <c r="E33" s="39" t="s">
        <v>327</v>
      </c>
      <c r="F33" s="39" t="str">
        <f t="shared" si="0"/>
        <v>ARG MARTINEZ - 6</v>
      </c>
      <c r="G33" s="39" t="str">
        <f t="shared" si="1"/>
        <v>ARG6</v>
      </c>
    </row>
    <row r="34" spans="1:7" ht="15" hidden="1" customHeight="1" x14ac:dyDescent="0.35">
      <c r="A34" s="39">
        <v>7</v>
      </c>
      <c r="B34" s="39" t="s">
        <v>282</v>
      </c>
      <c r="C34" s="40" t="s">
        <v>338</v>
      </c>
      <c r="D34" s="40" t="s">
        <v>339</v>
      </c>
      <c r="E34" s="39" t="s">
        <v>327</v>
      </c>
      <c r="F34" s="39" t="str">
        <f t="shared" si="0"/>
        <v>ARG DE PAUL - 7</v>
      </c>
      <c r="G34" s="39" t="str">
        <f t="shared" si="1"/>
        <v>ARG7</v>
      </c>
    </row>
    <row r="35" spans="1:7" ht="15" hidden="1" customHeight="1" x14ac:dyDescent="0.35">
      <c r="A35" s="39">
        <v>8</v>
      </c>
      <c r="B35" s="39" t="s">
        <v>282</v>
      </c>
      <c r="C35" s="40" t="s">
        <v>340</v>
      </c>
      <c r="D35" s="40" t="s">
        <v>341</v>
      </c>
      <c r="E35" s="39" t="s">
        <v>327</v>
      </c>
      <c r="F35" s="39" t="str">
        <f t="shared" si="0"/>
        <v>ARG BARCO - 8</v>
      </c>
      <c r="G35" s="39" t="str">
        <f t="shared" si="1"/>
        <v>ARG8</v>
      </c>
    </row>
    <row r="36" spans="1:7" ht="15" hidden="1" customHeight="1" x14ac:dyDescent="0.35">
      <c r="A36" s="39">
        <v>9</v>
      </c>
      <c r="B36" s="39" t="s">
        <v>285</v>
      </c>
      <c r="C36" s="40" t="s">
        <v>342</v>
      </c>
      <c r="D36" s="40" t="s">
        <v>343</v>
      </c>
      <c r="E36" s="39" t="s">
        <v>327</v>
      </c>
      <c r="F36" s="39" t="str">
        <f t="shared" si="0"/>
        <v>ARG ALVAREZ - 9</v>
      </c>
      <c r="G36" s="39" t="str">
        <f t="shared" si="1"/>
        <v>ARG9</v>
      </c>
    </row>
    <row r="37" spans="1:7" ht="15" hidden="1" customHeight="1" x14ac:dyDescent="0.35">
      <c r="A37" s="39">
        <v>10</v>
      </c>
      <c r="B37" s="39" t="s">
        <v>285</v>
      </c>
      <c r="C37" s="40" t="s">
        <v>344</v>
      </c>
      <c r="D37" s="40" t="s">
        <v>345</v>
      </c>
      <c r="E37" s="39" t="s">
        <v>327</v>
      </c>
      <c r="F37" s="39" t="str">
        <f t="shared" si="0"/>
        <v>ARG MESSI - 10</v>
      </c>
      <c r="G37" s="39" t="str">
        <f t="shared" si="1"/>
        <v>ARG10</v>
      </c>
    </row>
    <row r="38" spans="1:7" ht="15" hidden="1" customHeight="1" x14ac:dyDescent="0.35">
      <c r="A38" s="39">
        <v>11</v>
      </c>
      <c r="B38" s="39" t="s">
        <v>282</v>
      </c>
      <c r="C38" s="40" t="s">
        <v>346</v>
      </c>
      <c r="D38" s="40" t="s">
        <v>347</v>
      </c>
      <c r="E38" s="39" t="s">
        <v>327</v>
      </c>
      <c r="F38" s="39" t="str">
        <f t="shared" si="0"/>
        <v>ARG LO CELSO - 11</v>
      </c>
      <c r="G38" s="39" t="str">
        <f t="shared" si="1"/>
        <v>ARG11</v>
      </c>
    </row>
    <row r="39" spans="1:7" ht="15" hidden="1" customHeight="1" x14ac:dyDescent="0.35">
      <c r="A39" s="39">
        <v>12</v>
      </c>
      <c r="B39" s="39" t="s">
        <v>269</v>
      </c>
      <c r="C39" s="40" t="s">
        <v>348</v>
      </c>
      <c r="D39" s="40" t="s">
        <v>349</v>
      </c>
      <c r="E39" s="39" t="s">
        <v>327</v>
      </c>
      <c r="F39" s="39" t="str">
        <f t="shared" si="0"/>
        <v>ARG (GK) RULLI - 12</v>
      </c>
      <c r="G39" s="39" t="str">
        <f t="shared" si="1"/>
        <v>ARG12</v>
      </c>
    </row>
    <row r="40" spans="1:7" ht="15" hidden="1" customHeight="1" x14ac:dyDescent="0.35">
      <c r="A40" s="39">
        <v>13</v>
      </c>
      <c r="B40" s="39" t="s">
        <v>273</v>
      </c>
      <c r="C40" s="40" t="s">
        <v>350</v>
      </c>
      <c r="D40" s="40" t="s">
        <v>351</v>
      </c>
      <c r="E40" s="39" t="s">
        <v>327</v>
      </c>
      <c r="F40" s="39" t="str">
        <f t="shared" si="0"/>
        <v>ARG ROMERO - 13</v>
      </c>
      <c r="G40" s="39" t="str">
        <f t="shared" si="1"/>
        <v>ARG13</v>
      </c>
    </row>
    <row r="41" spans="1:7" ht="15" hidden="1" customHeight="1" x14ac:dyDescent="0.35">
      <c r="A41" s="39">
        <v>14</v>
      </c>
      <c r="B41" s="39" t="s">
        <v>282</v>
      </c>
      <c r="C41" s="40" t="s">
        <v>352</v>
      </c>
      <c r="D41" s="40" t="s">
        <v>353</v>
      </c>
      <c r="E41" s="39" t="s">
        <v>327</v>
      </c>
      <c r="F41" s="39" t="str">
        <f t="shared" si="0"/>
        <v>ARG PALACIOS - 14</v>
      </c>
      <c r="G41" s="39" t="str">
        <f t="shared" si="1"/>
        <v>ARG14</v>
      </c>
    </row>
    <row r="42" spans="1:7" ht="15" hidden="1" customHeight="1" x14ac:dyDescent="0.35">
      <c r="A42" s="39">
        <v>15</v>
      </c>
      <c r="B42" s="39" t="s">
        <v>282</v>
      </c>
      <c r="C42" s="40" t="s">
        <v>354</v>
      </c>
      <c r="D42" s="40" t="s">
        <v>355</v>
      </c>
      <c r="E42" s="39" t="s">
        <v>327</v>
      </c>
      <c r="F42" s="39" t="str">
        <f t="shared" si="0"/>
        <v>ARG GONZALEZ - 15</v>
      </c>
      <c r="G42" s="39" t="str">
        <f t="shared" si="1"/>
        <v>ARG15</v>
      </c>
    </row>
    <row r="43" spans="1:7" ht="15" hidden="1" customHeight="1" x14ac:dyDescent="0.35">
      <c r="A43" s="39">
        <v>16</v>
      </c>
      <c r="B43" s="39" t="s">
        <v>285</v>
      </c>
      <c r="C43" s="40" t="s">
        <v>356</v>
      </c>
      <c r="D43" s="40" t="s">
        <v>357</v>
      </c>
      <c r="E43" s="39" t="s">
        <v>327</v>
      </c>
      <c r="F43" s="39" t="str">
        <f t="shared" si="0"/>
        <v>ARG ALMADA - 16</v>
      </c>
      <c r="G43" s="39" t="str">
        <f t="shared" si="1"/>
        <v>ARG16</v>
      </c>
    </row>
    <row r="44" spans="1:7" ht="15" hidden="1" customHeight="1" x14ac:dyDescent="0.35">
      <c r="A44" s="39">
        <v>17</v>
      </c>
      <c r="B44" s="39" t="s">
        <v>285</v>
      </c>
      <c r="C44" s="40" t="s">
        <v>358</v>
      </c>
      <c r="D44" s="40" t="s">
        <v>359</v>
      </c>
      <c r="E44" s="39" t="s">
        <v>327</v>
      </c>
      <c r="F44" s="39" t="str">
        <f t="shared" si="0"/>
        <v>ARG SIMEONE - 17</v>
      </c>
      <c r="G44" s="39" t="str">
        <f t="shared" si="1"/>
        <v>ARG17</v>
      </c>
    </row>
    <row r="45" spans="1:7" ht="15" hidden="1" customHeight="1" x14ac:dyDescent="0.35">
      <c r="A45" s="39">
        <v>18</v>
      </c>
      <c r="B45" s="39" t="s">
        <v>285</v>
      </c>
      <c r="C45" s="40" t="s">
        <v>354</v>
      </c>
      <c r="D45" s="40" t="s">
        <v>360</v>
      </c>
      <c r="E45" s="39" t="s">
        <v>327</v>
      </c>
      <c r="F45" s="39" t="str">
        <f t="shared" si="0"/>
        <v>ARG PAZ - 18</v>
      </c>
      <c r="G45" s="39" t="str">
        <f t="shared" si="1"/>
        <v>ARG18</v>
      </c>
    </row>
    <row r="46" spans="1:7" ht="15" hidden="1" customHeight="1" x14ac:dyDescent="0.35">
      <c r="A46" s="39">
        <v>19</v>
      </c>
      <c r="B46" s="39" t="s">
        <v>273</v>
      </c>
      <c r="C46" s="40" t="s">
        <v>330</v>
      </c>
      <c r="D46" s="40" t="s">
        <v>361</v>
      </c>
      <c r="E46" s="39" t="s">
        <v>327</v>
      </c>
      <c r="F46" s="39" t="str">
        <f t="shared" si="0"/>
        <v>ARG OTAMENDI - 19</v>
      </c>
      <c r="G46" s="39" t="str">
        <f t="shared" si="1"/>
        <v>ARG19</v>
      </c>
    </row>
    <row r="47" spans="1:7" ht="15" hidden="1" customHeight="1" x14ac:dyDescent="0.35">
      <c r="A47" s="39">
        <v>20</v>
      </c>
      <c r="B47" s="39" t="s">
        <v>282</v>
      </c>
      <c r="C47" s="40" t="s">
        <v>362</v>
      </c>
      <c r="D47" s="40" t="s">
        <v>363</v>
      </c>
      <c r="E47" s="39" t="s">
        <v>327</v>
      </c>
      <c r="F47" s="39" t="str">
        <f t="shared" si="0"/>
        <v>ARG MAC ALLISTER - 20</v>
      </c>
      <c r="G47" s="39" t="str">
        <f t="shared" si="1"/>
        <v>ARG20</v>
      </c>
    </row>
    <row r="48" spans="1:7" ht="15" hidden="1" customHeight="1" x14ac:dyDescent="0.35">
      <c r="A48" s="39">
        <v>21</v>
      </c>
      <c r="B48" s="39" t="s">
        <v>285</v>
      </c>
      <c r="C48" s="40" t="s">
        <v>364</v>
      </c>
      <c r="D48" s="40" t="s">
        <v>365</v>
      </c>
      <c r="E48" s="39" t="s">
        <v>327</v>
      </c>
      <c r="F48" s="39" t="str">
        <f t="shared" si="0"/>
        <v>ARG LOPEZ - 21</v>
      </c>
      <c r="G48" s="39" t="str">
        <f t="shared" si="1"/>
        <v>ARG21</v>
      </c>
    </row>
    <row r="49" spans="1:7" ht="15" hidden="1" customHeight="1" x14ac:dyDescent="0.35">
      <c r="A49" s="39">
        <v>22</v>
      </c>
      <c r="B49" s="39" t="s">
        <v>285</v>
      </c>
      <c r="C49" s="40" t="s">
        <v>366</v>
      </c>
      <c r="D49" s="40" t="s">
        <v>337</v>
      </c>
      <c r="E49" s="39" t="s">
        <v>327</v>
      </c>
      <c r="F49" s="39" t="str">
        <f t="shared" si="0"/>
        <v>ARG MARTINEZ - 22</v>
      </c>
      <c r="G49" s="39" t="str">
        <f t="shared" si="1"/>
        <v>ARG22</v>
      </c>
    </row>
    <row r="50" spans="1:7" ht="15" hidden="1" customHeight="1" x14ac:dyDescent="0.35">
      <c r="A50" s="39">
        <v>23</v>
      </c>
      <c r="B50" s="39" t="s">
        <v>269</v>
      </c>
      <c r="C50" s="40" t="s">
        <v>367</v>
      </c>
      <c r="D50" s="40" t="s">
        <v>337</v>
      </c>
      <c r="E50" s="39" t="s">
        <v>327</v>
      </c>
      <c r="F50" s="39" t="str">
        <f t="shared" si="0"/>
        <v>ARG (GK) MARTINEZ - 23</v>
      </c>
      <c r="G50" s="39" t="str">
        <f t="shared" si="1"/>
        <v>ARG23</v>
      </c>
    </row>
    <row r="51" spans="1:7" ht="15" hidden="1" customHeight="1" x14ac:dyDescent="0.35">
      <c r="A51" s="39">
        <v>24</v>
      </c>
      <c r="B51" s="39" t="s">
        <v>282</v>
      </c>
      <c r="C51" s="40" t="s">
        <v>368</v>
      </c>
      <c r="D51" s="40" t="s">
        <v>369</v>
      </c>
      <c r="E51" s="39" t="s">
        <v>327</v>
      </c>
      <c r="F51" s="39" t="str">
        <f t="shared" si="0"/>
        <v>ARG FERNANDEZ - 24</v>
      </c>
      <c r="G51" s="39" t="str">
        <f t="shared" si="1"/>
        <v>ARG24</v>
      </c>
    </row>
    <row r="52" spans="1:7" ht="15" hidden="1" customHeight="1" x14ac:dyDescent="0.35">
      <c r="A52" s="39">
        <v>25</v>
      </c>
      <c r="B52" s="39" t="s">
        <v>273</v>
      </c>
      <c r="C52" s="40" t="s">
        <v>370</v>
      </c>
      <c r="D52" s="40" t="s">
        <v>371</v>
      </c>
      <c r="E52" s="39" t="s">
        <v>327</v>
      </c>
      <c r="F52" s="39" t="str">
        <f t="shared" si="0"/>
        <v>ARG MEDINA - 25</v>
      </c>
      <c r="G52" s="39" t="str">
        <f t="shared" si="1"/>
        <v>ARG25</v>
      </c>
    </row>
    <row r="53" spans="1:7" ht="15" hidden="1" customHeight="1" x14ac:dyDescent="0.35">
      <c r="A53" s="39">
        <v>26</v>
      </c>
      <c r="B53" s="39" t="s">
        <v>273</v>
      </c>
      <c r="C53" s="40" t="s">
        <v>372</v>
      </c>
      <c r="D53" s="40" t="s">
        <v>373</v>
      </c>
      <c r="E53" s="39" t="s">
        <v>327</v>
      </c>
      <c r="F53" s="39" t="str">
        <f t="shared" si="0"/>
        <v>ARG MOLINA - 26</v>
      </c>
      <c r="G53" s="39" t="str">
        <f t="shared" si="1"/>
        <v>ARG26</v>
      </c>
    </row>
    <row r="54" spans="1:7" ht="15" hidden="1" customHeight="1" x14ac:dyDescent="0.35">
      <c r="A54" s="41">
        <v>1</v>
      </c>
      <c r="B54" s="41" t="s">
        <v>269</v>
      </c>
      <c r="C54" s="42" t="s">
        <v>374</v>
      </c>
      <c r="D54" s="42" t="s">
        <v>375</v>
      </c>
      <c r="E54" s="41" t="s">
        <v>376</v>
      </c>
      <c r="F54" s="41" t="str">
        <f t="shared" si="0"/>
        <v>AUS (GK) RYAN - 1</v>
      </c>
      <c r="G54" s="41" t="str">
        <f t="shared" si="1"/>
        <v>AUS1</v>
      </c>
    </row>
    <row r="55" spans="1:7" ht="15" hidden="1" customHeight="1" x14ac:dyDescent="0.35">
      <c r="A55" s="41">
        <v>2</v>
      </c>
      <c r="B55" s="41" t="s">
        <v>273</v>
      </c>
      <c r="C55" s="42" t="s">
        <v>377</v>
      </c>
      <c r="D55" s="42" t="s">
        <v>378</v>
      </c>
      <c r="E55" s="41" t="s">
        <v>376</v>
      </c>
      <c r="F55" s="41" t="str">
        <f t="shared" si="0"/>
        <v>AUS DEGENEK - 2</v>
      </c>
      <c r="G55" s="41" t="str">
        <f t="shared" si="1"/>
        <v>AUS2</v>
      </c>
    </row>
    <row r="56" spans="1:7" ht="15" hidden="1" customHeight="1" x14ac:dyDescent="0.35">
      <c r="A56" s="41">
        <v>3</v>
      </c>
      <c r="B56" s="41" t="s">
        <v>273</v>
      </c>
      <c r="C56" s="42" t="s">
        <v>379</v>
      </c>
      <c r="D56" s="42" t="s">
        <v>380</v>
      </c>
      <c r="E56" s="41" t="s">
        <v>376</v>
      </c>
      <c r="F56" s="41" t="str">
        <f t="shared" si="0"/>
        <v>AUS CIRCATI - 3</v>
      </c>
      <c r="G56" s="41" t="str">
        <f t="shared" si="1"/>
        <v>AUS3</v>
      </c>
    </row>
    <row r="57" spans="1:7" ht="15" hidden="1" customHeight="1" x14ac:dyDescent="0.35">
      <c r="A57" s="41">
        <v>4</v>
      </c>
      <c r="B57" s="41" t="s">
        <v>273</v>
      </c>
      <c r="C57" s="42" t="s">
        <v>381</v>
      </c>
      <c r="D57" s="42" t="s">
        <v>382</v>
      </c>
      <c r="E57" s="41" t="s">
        <v>376</v>
      </c>
      <c r="F57" s="41" t="str">
        <f t="shared" si="0"/>
        <v>AUS ITALIANO - 4</v>
      </c>
      <c r="G57" s="41" t="str">
        <f t="shared" si="1"/>
        <v>AUS4</v>
      </c>
    </row>
    <row r="58" spans="1:7" ht="15" hidden="1" customHeight="1" x14ac:dyDescent="0.35">
      <c r="A58" s="41">
        <v>5</v>
      </c>
      <c r="B58" s="41" t="s">
        <v>273</v>
      </c>
      <c r="C58" s="42" t="s">
        <v>383</v>
      </c>
      <c r="D58" s="42" t="s">
        <v>384</v>
      </c>
      <c r="E58" s="41" t="s">
        <v>376</v>
      </c>
      <c r="F58" s="41" t="str">
        <f t="shared" si="0"/>
        <v>AUS BOS - 5</v>
      </c>
      <c r="G58" s="41" t="str">
        <f t="shared" si="1"/>
        <v>AUS5</v>
      </c>
    </row>
    <row r="59" spans="1:7" ht="15" hidden="1" customHeight="1" x14ac:dyDescent="0.35">
      <c r="A59" s="41">
        <v>6</v>
      </c>
      <c r="B59" s="41" t="s">
        <v>273</v>
      </c>
      <c r="C59" s="42" t="s">
        <v>385</v>
      </c>
      <c r="D59" s="42" t="s">
        <v>386</v>
      </c>
      <c r="E59" s="41" t="s">
        <v>376</v>
      </c>
      <c r="F59" s="41" t="str">
        <f t="shared" si="0"/>
        <v>AUS GERIA - 6</v>
      </c>
      <c r="G59" s="41" t="str">
        <f t="shared" si="1"/>
        <v>AUS6</v>
      </c>
    </row>
    <row r="60" spans="1:7" ht="15" hidden="1" customHeight="1" x14ac:dyDescent="0.35">
      <c r="A60" s="41">
        <v>7</v>
      </c>
      <c r="B60" s="41" t="s">
        <v>285</v>
      </c>
      <c r="C60" s="42" t="s">
        <v>374</v>
      </c>
      <c r="D60" s="42" t="s">
        <v>387</v>
      </c>
      <c r="E60" s="41" t="s">
        <v>376</v>
      </c>
      <c r="F60" s="41" t="str">
        <f t="shared" si="0"/>
        <v>AUS LECKIE - 7</v>
      </c>
      <c r="G60" s="41" t="str">
        <f t="shared" si="1"/>
        <v>AUS7</v>
      </c>
    </row>
    <row r="61" spans="1:7" ht="15" hidden="1" customHeight="1" x14ac:dyDescent="0.35">
      <c r="A61" s="41">
        <v>8</v>
      </c>
      <c r="B61" s="41" t="s">
        <v>282</v>
      </c>
      <c r="C61" s="42" t="s">
        <v>388</v>
      </c>
      <c r="D61" s="42" t="s">
        <v>389</v>
      </c>
      <c r="E61" s="41" t="s">
        <v>376</v>
      </c>
      <c r="F61" s="41" t="str">
        <f t="shared" si="0"/>
        <v>AUS METCALFE - 8</v>
      </c>
      <c r="G61" s="41" t="str">
        <f t="shared" si="1"/>
        <v>AUS8</v>
      </c>
    </row>
    <row r="62" spans="1:7" ht="15" hidden="1" customHeight="1" x14ac:dyDescent="0.35">
      <c r="A62" s="41">
        <v>9</v>
      </c>
      <c r="B62" s="41" t="s">
        <v>285</v>
      </c>
      <c r="C62" s="42" t="s">
        <v>308</v>
      </c>
      <c r="D62" s="42" t="s">
        <v>390</v>
      </c>
      <c r="E62" s="41" t="s">
        <v>376</v>
      </c>
      <c r="F62" s="41" t="str">
        <f t="shared" si="0"/>
        <v>AUS TOURE - 9</v>
      </c>
      <c r="G62" s="41" t="str">
        <f t="shared" si="1"/>
        <v>AUS9</v>
      </c>
    </row>
    <row r="63" spans="1:7" ht="15" hidden="1" customHeight="1" x14ac:dyDescent="0.35">
      <c r="A63" s="41">
        <v>10</v>
      </c>
      <c r="B63" s="41" t="s">
        <v>285</v>
      </c>
      <c r="C63" s="42" t="s">
        <v>391</v>
      </c>
      <c r="D63" s="42" t="s">
        <v>392</v>
      </c>
      <c r="E63" s="41" t="s">
        <v>376</v>
      </c>
      <c r="F63" s="41" t="str">
        <f t="shared" si="0"/>
        <v>AUS HRUSTIC - 10</v>
      </c>
      <c r="G63" s="41" t="str">
        <f t="shared" si="1"/>
        <v>AUS10</v>
      </c>
    </row>
    <row r="64" spans="1:7" ht="15" hidden="1" customHeight="1" x14ac:dyDescent="0.35">
      <c r="A64" s="41">
        <v>11</v>
      </c>
      <c r="B64" s="41" t="s">
        <v>285</v>
      </c>
      <c r="C64" s="42" t="s">
        <v>393</v>
      </c>
      <c r="D64" s="42" t="s">
        <v>394</v>
      </c>
      <c r="E64" s="41" t="s">
        <v>376</v>
      </c>
      <c r="F64" s="41" t="str">
        <f t="shared" si="0"/>
        <v>AUS MABIL - 11</v>
      </c>
      <c r="G64" s="41" t="str">
        <f t="shared" si="1"/>
        <v>AUS11</v>
      </c>
    </row>
    <row r="65" spans="1:7" ht="15" hidden="1" customHeight="1" x14ac:dyDescent="0.35">
      <c r="A65" s="41">
        <v>12</v>
      </c>
      <c r="B65" s="41" t="s">
        <v>269</v>
      </c>
      <c r="C65" s="42" t="s">
        <v>395</v>
      </c>
      <c r="D65" s="42" t="s">
        <v>396</v>
      </c>
      <c r="E65" s="41" t="s">
        <v>376</v>
      </c>
      <c r="F65" s="41" t="str">
        <f t="shared" si="0"/>
        <v>AUS (GK) IZZO - 12</v>
      </c>
      <c r="G65" s="41" t="str">
        <f t="shared" si="1"/>
        <v>AUS12</v>
      </c>
    </row>
    <row r="66" spans="1:7" ht="15" hidden="1" customHeight="1" x14ac:dyDescent="0.35">
      <c r="A66" s="41">
        <v>13</v>
      </c>
      <c r="B66" s="41" t="s">
        <v>282</v>
      </c>
      <c r="C66" s="42" t="s">
        <v>397</v>
      </c>
      <c r="D66" s="42" t="s">
        <v>398</v>
      </c>
      <c r="E66" s="41" t="s">
        <v>376</v>
      </c>
      <c r="F66" s="41" t="str">
        <f t="shared" si="0"/>
        <v>AUS ONEILL - 13</v>
      </c>
      <c r="G66" s="41" t="str">
        <f t="shared" si="1"/>
        <v>AUS13</v>
      </c>
    </row>
    <row r="67" spans="1:7" ht="15" hidden="1" customHeight="1" x14ac:dyDescent="0.35">
      <c r="A67" s="41">
        <v>14</v>
      </c>
      <c r="B67" s="41" t="s">
        <v>282</v>
      </c>
      <c r="C67" s="42" t="s">
        <v>399</v>
      </c>
      <c r="D67" s="42" t="s">
        <v>400</v>
      </c>
      <c r="E67" s="41" t="s">
        <v>376</v>
      </c>
      <c r="F67" s="41" t="str">
        <f t="shared" ref="F67:F130" si="2">IF(B67="GK", _xlfn.CONCAT(E67, " ","(",B67, ") ",D67, " - ", A67),  _xlfn.CONCAT(E67, " ",D67, " - ", A67))</f>
        <v>AUS DEVLIN - 14</v>
      </c>
      <c r="G67" s="41" t="str">
        <f t="shared" ref="G67:G130" si="3">_xlfn.CONCAT(E67,A67)</f>
        <v>AUS14</v>
      </c>
    </row>
    <row r="68" spans="1:7" ht="15" hidden="1" customHeight="1" x14ac:dyDescent="0.35">
      <c r="A68" s="41">
        <v>15</v>
      </c>
      <c r="B68" s="41" t="s">
        <v>273</v>
      </c>
      <c r="C68" s="42" t="s">
        <v>401</v>
      </c>
      <c r="D68" s="42" t="s">
        <v>402</v>
      </c>
      <c r="E68" s="41" t="s">
        <v>376</v>
      </c>
      <c r="F68" s="41" t="str">
        <f t="shared" si="2"/>
        <v>AUS TREWIN - 15</v>
      </c>
      <c r="G68" s="41" t="str">
        <f t="shared" si="3"/>
        <v>AUS15</v>
      </c>
    </row>
    <row r="69" spans="1:7" ht="15" hidden="1" customHeight="1" x14ac:dyDescent="0.35">
      <c r="A69" s="41">
        <v>16</v>
      </c>
      <c r="B69" s="41" t="s">
        <v>273</v>
      </c>
      <c r="C69" s="42" t="s">
        <v>403</v>
      </c>
      <c r="D69" s="42" t="s">
        <v>404</v>
      </c>
      <c r="E69" s="41" t="s">
        <v>376</v>
      </c>
      <c r="F69" s="41" t="str">
        <f t="shared" si="2"/>
        <v>AUS BEHICH - 16</v>
      </c>
      <c r="G69" s="41" t="str">
        <f t="shared" si="3"/>
        <v>AUS16</v>
      </c>
    </row>
    <row r="70" spans="1:7" ht="15" hidden="1" customHeight="1" x14ac:dyDescent="0.35">
      <c r="A70" s="41">
        <v>17</v>
      </c>
      <c r="B70" s="41" t="s">
        <v>285</v>
      </c>
      <c r="C70" s="42" t="s">
        <v>405</v>
      </c>
      <c r="D70" s="42" t="s">
        <v>406</v>
      </c>
      <c r="E70" s="41" t="s">
        <v>376</v>
      </c>
      <c r="F70" s="41" t="str">
        <f t="shared" si="2"/>
        <v>AUS IRANKUNDA - 17</v>
      </c>
      <c r="G70" s="41" t="str">
        <f t="shared" si="3"/>
        <v>AUS17</v>
      </c>
    </row>
    <row r="71" spans="1:7" ht="15" hidden="1" customHeight="1" x14ac:dyDescent="0.35">
      <c r="A71" s="41">
        <v>18</v>
      </c>
      <c r="B71" s="41" t="s">
        <v>269</v>
      </c>
      <c r="C71" s="42" t="s">
        <v>407</v>
      </c>
      <c r="D71" s="42" t="s">
        <v>408</v>
      </c>
      <c r="E71" s="41" t="s">
        <v>376</v>
      </c>
      <c r="F71" s="41" t="str">
        <f t="shared" si="2"/>
        <v>AUS (GK) BEACH - 18</v>
      </c>
      <c r="G71" s="41" t="str">
        <f t="shared" si="3"/>
        <v>AUS18</v>
      </c>
    </row>
    <row r="72" spans="1:7" ht="15" hidden="1" customHeight="1" x14ac:dyDescent="0.35">
      <c r="A72" s="41">
        <v>19</v>
      </c>
      <c r="B72" s="41" t="s">
        <v>273</v>
      </c>
      <c r="C72" s="42" t="s">
        <v>409</v>
      </c>
      <c r="D72" s="42" t="s">
        <v>410</v>
      </c>
      <c r="E72" s="41" t="s">
        <v>376</v>
      </c>
      <c r="F72" s="41" t="str">
        <f t="shared" si="2"/>
        <v>AUS SOUTTAR - 19</v>
      </c>
      <c r="G72" s="41" t="str">
        <f t="shared" si="3"/>
        <v>AUS19</v>
      </c>
    </row>
    <row r="73" spans="1:7" ht="15" hidden="1" customHeight="1" x14ac:dyDescent="0.35">
      <c r="A73" s="41">
        <v>20</v>
      </c>
      <c r="B73" s="41" t="s">
        <v>285</v>
      </c>
      <c r="C73" s="42" t="s">
        <v>350</v>
      </c>
      <c r="D73" s="42" t="s">
        <v>411</v>
      </c>
      <c r="E73" s="41" t="s">
        <v>376</v>
      </c>
      <c r="F73" s="41" t="str">
        <f t="shared" si="2"/>
        <v>AUS VOLPATO - 20</v>
      </c>
      <c r="G73" s="41" t="str">
        <f t="shared" si="3"/>
        <v>AUS20</v>
      </c>
    </row>
    <row r="74" spans="1:7" ht="15" hidden="1" customHeight="1" x14ac:dyDescent="0.35">
      <c r="A74" s="41">
        <v>21</v>
      </c>
      <c r="B74" s="41" t="s">
        <v>273</v>
      </c>
      <c r="C74" s="42" t="s">
        <v>399</v>
      </c>
      <c r="D74" s="42" t="s">
        <v>412</v>
      </c>
      <c r="E74" s="41" t="s">
        <v>376</v>
      </c>
      <c r="F74" s="41" t="str">
        <f t="shared" si="2"/>
        <v>AUS BURGESS - 21</v>
      </c>
      <c r="G74" s="41" t="str">
        <f t="shared" si="3"/>
        <v>AUS21</v>
      </c>
    </row>
    <row r="75" spans="1:7" ht="15" hidden="1" customHeight="1" x14ac:dyDescent="0.35">
      <c r="A75" s="41">
        <v>22</v>
      </c>
      <c r="B75" s="41" t="s">
        <v>282</v>
      </c>
      <c r="C75" s="42" t="s">
        <v>413</v>
      </c>
      <c r="D75" s="42" t="s">
        <v>414</v>
      </c>
      <c r="E75" s="41" t="s">
        <v>376</v>
      </c>
      <c r="F75" s="41" t="str">
        <f t="shared" si="2"/>
        <v>AUS IRVINE - 22</v>
      </c>
      <c r="G75" s="41" t="str">
        <f t="shared" si="3"/>
        <v>AUS22</v>
      </c>
    </row>
    <row r="76" spans="1:7" ht="15" hidden="1" customHeight="1" x14ac:dyDescent="0.35">
      <c r="A76" s="41">
        <v>23</v>
      </c>
      <c r="B76" s="41" t="s">
        <v>285</v>
      </c>
      <c r="C76" s="42" t="s">
        <v>415</v>
      </c>
      <c r="D76" s="42" t="s">
        <v>416</v>
      </c>
      <c r="E76" s="41" t="s">
        <v>376</v>
      </c>
      <c r="F76" s="41" t="str">
        <f t="shared" si="2"/>
        <v>AUS VELUPILLAY - 23</v>
      </c>
      <c r="G76" s="41" t="str">
        <f t="shared" si="3"/>
        <v>AUS23</v>
      </c>
    </row>
    <row r="77" spans="1:7" ht="15" hidden="1" customHeight="1" x14ac:dyDescent="0.35">
      <c r="A77" s="41">
        <v>24</v>
      </c>
      <c r="B77" s="41" t="s">
        <v>282</v>
      </c>
      <c r="C77" s="42" t="s">
        <v>395</v>
      </c>
      <c r="D77" s="42" t="s">
        <v>417</v>
      </c>
      <c r="E77" s="41" t="s">
        <v>376</v>
      </c>
      <c r="F77" s="41" t="str">
        <f t="shared" si="2"/>
        <v>AUS OKON-ENGSTLER - 24</v>
      </c>
      <c r="G77" s="41" t="str">
        <f t="shared" si="3"/>
        <v>AUS24</v>
      </c>
    </row>
    <row r="78" spans="1:7" ht="15" hidden="1" customHeight="1" x14ac:dyDescent="0.35">
      <c r="A78" s="41">
        <v>25</v>
      </c>
      <c r="B78" s="41" t="s">
        <v>273</v>
      </c>
      <c r="C78" s="42" t="s">
        <v>418</v>
      </c>
      <c r="D78" s="42" t="s">
        <v>419</v>
      </c>
      <c r="E78" s="41" t="s">
        <v>376</v>
      </c>
      <c r="F78" s="41" t="str">
        <f t="shared" si="2"/>
        <v>AUS HERRINGTON - 25</v>
      </c>
      <c r="G78" s="41" t="str">
        <f t="shared" si="3"/>
        <v>AUS25</v>
      </c>
    </row>
    <row r="79" spans="1:7" ht="15" hidden="1" customHeight="1" x14ac:dyDescent="0.35">
      <c r="A79" s="41">
        <v>26</v>
      </c>
      <c r="B79" s="41" t="s">
        <v>285</v>
      </c>
      <c r="C79" s="42" t="s">
        <v>420</v>
      </c>
      <c r="D79" s="42" t="s">
        <v>421</v>
      </c>
      <c r="E79" s="41" t="s">
        <v>376</v>
      </c>
      <c r="F79" s="41" t="str">
        <f t="shared" si="2"/>
        <v>AUS YENGI - 26</v>
      </c>
      <c r="G79" s="41" t="str">
        <f t="shared" si="3"/>
        <v>AUS26</v>
      </c>
    </row>
    <row r="80" spans="1:7" ht="15" hidden="1" customHeight="1" x14ac:dyDescent="0.35">
      <c r="A80" s="43">
        <v>1</v>
      </c>
      <c r="B80" s="43" t="s">
        <v>269</v>
      </c>
      <c r="C80" s="44" t="s">
        <v>422</v>
      </c>
      <c r="D80" s="44" t="s">
        <v>423</v>
      </c>
      <c r="E80" s="43" t="s">
        <v>424</v>
      </c>
      <c r="F80" s="43" t="str">
        <f t="shared" si="2"/>
        <v>AUT (GK) SCHLAGER - 1</v>
      </c>
      <c r="G80" s="43" t="str">
        <f t="shared" si="3"/>
        <v>AUT1</v>
      </c>
    </row>
    <row r="81" spans="1:7" ht="15" hidden="1" customHeight="1" x14ac:dyDescent="0.35">
      <c r="A81" s="43">
        <v>2</v>
      </c>
      <c r="B81" s="43" t="s">
        <v>273</v>
      </c>
      <c r="C81" s="44" t="s">
        <v>425</v>
      </c>
      <c r="D81" s="44" t="s">
        <v>426</v>
      </c>
      <c r="E81" s="43" t="s">
        <v>424</v>
      </c>
      <c r="F81" s="43" t="str">
        <f t="shared" si="2"/>
        <v>AUT AFFENGRUBER - 2</v>
      </c>
      <c r="G81" s="43" t="str">
        <f t="shared" si="3"/>
        <v>AUT2</v>
      </c>
    </row>
    <row r="82" spans="1:7" ht="15" hidden="1" customHeight="1" x14ac:dyDescent="0.35">
      <c r="A82" s="43">
        <v>3</v>
      </c>
      <c r="B82" s="43" t="s">
        <v>273</v>
      </c>
      <c r="C82" s="44" t="s">
        <v>427</v>
      </c>
      <c r="D82" s="44" t="s">
        <v>428</v>
      </c>
      <c r="E82" s="43" t="s">
        <v>424</v>
      </c>
      <c r="F82" s="43" t="str">
        <f t="shared" si="2"/>
        <v>AUT DANSO - 3</v>
      </c>
      <c r="G82" s="43" t="str">
        <f t="shared" si="3"/>
        <v>AUT3</v>
      </c>
    </row>
    <row r="83" spans="1:7" ht="15" hidden="1" customHeight="1" x14ac:dyDescent="0.35">
      <c r="A83" s="43">
        <v>4</v>
      </c>
      <c r="B83" s="43" t="s">
        <v>282</v>
      </c>
      <c r="C83" s="44" t="s">
        <v>429</v>
      </c>
      <c r="D83" s="44" t="s">
        <v>423</v>
      </c>
      <c r="E83" s="43" t="s">
        <v>424</v>
      </c>
      <c r="F83" s="43" t="str">
        <f t="shared" si="2"/>
        <v>AUT SCHLAGER - 4</v>
      </c>
      <c r="G83" s="43" t="str">
        <f t="shared" si="3"/>
        <v>AUT4</v>
      </c>
    </row>
    <row r="84" spans="1:7" ht="15" hidden="1" customHeight="1" x14ac:dyDescent="0.35">
      <c r="A84" s="43">
        <v>5</v>
      </c>
      <c r="B84" s="43" t="s">
        <v>273</v>
      </c>
      <c r="C84" s="44" t="s">
        <v>430</v>
      </c>
      <c r="D84" s="44" t="s">
        <v>431</v>
      </c>
      <c r="E84" s="43" t="s">
        <v>424</v>
      </c>
      <c r="F84" s="43" t="str">
        <f t="shared" si="2"/>
        <v>AUT POSCH - 5</v>
      </c>
      <c r="G84" s="43" t="str">
        <f t="shared" si="3"/>
        <v>AUT5</v>
      </c>
    </row>
    <row r="85" spans="1:7" ht="15" hidden="1" customHeight="1" x14ac:dyDescent="0.35">
      <c r="A85" s="43">
        <v>6</v>
      </c>
      <c r="B85" s="43" t="s">
        <v>282</v>
      </c>
      <c r="C85" s="44" t="s">
        <v>330</v>
      </c>
      <c r="D85" s="44" t="s">
        <v>432</v>
      </c>
      <c r="E85" s="43" t="s">
        <v>424</v>
      </c>
      <c r="F85" s="43" t="str">
        <f t="shared" si="2"/>
        <v>AUT SEIWALD - 6</v>
      </c>
      <c r="G85" s="43" t="str">
        <f t="shared" si="3"/>
        <v>AUT6</v>
      </c>
    </row>
    <row r="86" spans="1:7" ht="15" hidden="1" customHeight="1" x14ac:dyDescent="0.35">
      <c r="A86" s="43">
        <v>7</v>
      </c>
      <c r="B86" s="43" t="s">
        <v>285</v>
      </c>
      <c r="C86" s="44" t="s">
        <v>433</v>
      </c>
      <c r="D86" s="44" t="s">
        <v>434</v>
      </c>
      <c r="E86" s="43" t="s">
        <v>424</v>
      </c>
      <c r="F86" s="43" t="str">
        <f t="shared" si="2"/>
        <v>AUT ARNAUTOVIC - 7</v>
      </c>
      <c r="G86" s="43" t="str">
        <f t="shared" si="3"/>
        <v>AUT7</v>
      </c>
    </row>
    <row r="87" spans="1:7" ht="15" hidden="1" customHeight="1" x14ac:dyDescent="0.35">
      <c r="A87" s="43">
        <v>8</v>
      </c>
      <c r="B87" s="43" t="s">
        <v>273</v>
      </c>
      <c r="C87" s="44" t="s">
        <v>425</v>
      </c>
      <c r="D87" s="44" t="s">
        <v>435</v>
      </c>
      <c r="E87" s="43" t="s">
        <v>424</v>
      </c>
      <c r="F87" s="43" t="str">
        <f t="shared" si="2"/>
        <v>AUT ALABA - 8</v>
      </c>
      <c r="G87" s="43" t="str">
        <f t="shared" si="3"/>
        <v>AUT8</v>
      </c>
    </row>
    <row r="88" spans="1:7" ht="15" hidden="1" customHeight="1" x14ac:dyDescent="0.35">
      <c r="A88" s="43">
        <v>9</v>
      </c>
      <c r="B88" s="43" t="s">
        <v>282</v>
      </c>
      <c r="C88" s="44" t="s">
        <v>436</v>
      </c>
      <c r="D88" s="44" t="s">
        <v>437</v>
      </c>
      <c r="E88" s="43" t="s">
        <v>424</v>
      </c>
      <c r="F88" s="43" t="str">
        <f t="shared" si="2"/>
        <v>AUT SABITZER - 9</v>
      </c>
      <c r="G88" s="43" t="str">
        <f t="shared" si="3"/>
        <v>AUT9</v>
      </c>
    </row>
    <row r="89" spans="1:7" ht="15" hidden="1" customHeight="1" x14ac:dyDescent="0.35">
      <c r="A89" s="43">
        <v>10</v>
      </c>
      <c r="B89" s="43" t="s">
        <v>282</v>
      </c>
      <c r="C89" s="44" t="s">
        <v>438</v>
      </c>
      <c r="D89" s="44" t="s">
        <v>439</v>
      </c>
      <c r="E89" s="43" t="s">
        <v>424</v>
      </c>
      <c r="F89" s="43" t="str">
        <f t="shared" si="2"/>
        <v>AUT GRILLITSCH - 10</v>
      </c>
      <c r="G89" s="43" t="str">
        <f t="shared" si="3"/>
        <v>AUT10</v>
      </c>
    </row>
    <row r="90" spans="1:7" ht="15" hidden="1" customHeight="1" x14ac:dyDescent="0.35">
      <c r="A90" s="43">
        <v>11</v>
      </c>
      <c r="B90" s="43" t="s">
        <v>285</v>
      </c>
      <c r="C90" s="44" t="s">
        <v>440</v>
      </c>
      <c r="D90" s="44" t="s">
        <v>441</v>
      </c>
      <c r="E90" s="43" t="s">
        <v>424</v>
      </c>
      <c r="F90" s="43" t="str">
        <f t="shared" si="2"/>
        <v>AUT GREGORITSCH - 11</v>
      </c>
      <c r="G90" s="43" t="str">
        <f t="shared" si="3"/>
        <v>AUT11</v>
      </c>
    </row>
    <row r="91" spans="1:7" ht="15" hidden="1" customHeight="1" x14ac:dyDescent="0.35">
      <c r="A91" s="43">
        <v>12</v>
      </c>
      <c r="B91" s="43" t="s">
        <v>269</v>
      </c>
      <c r="C91" s="44" t="s">
        <v>438</v>
      </c>
      <c r="D91" s="44" t="s">
        <v>442</v>
      </c>
      <c r="E91" s="43" t="s">
        <v>424</v>
      </c>
      <c r="F91" s="43" t="str">
        <f t="shared" si="2"/>
        <v>AUT (GK) WIEGELE - 12</v>
      </c>
      <c r="G91" s="43" t="str">
        <f t="shared" si="3"/>
        <v>AUT12</v>
      </c>
    </row>
    <row r="92" spans="1:7" ht="15" hidden="1" customHeight="1" x14ac:dyDescent="0.35">
      <c r="A92" s="43">
        <v>13</v>
      </c>
      <c r="B92" s="43" t="s">
        <v>269</v>
      </c>
      <c r="C92" s="44" t="s">
        <v>407</v>
      </c>
      <c r="D92" s="44" t="s">
        <v>443</v>
      </c>
      <c r="E92" s="43" t="s">
        <v>424</v>
      </c>
      <c r="F92" s="43" t="str">
        <f t="shared" si="2"/>
        <v>AUT (GK) PENTZ - 13</v>
      </c>
      <c r="G92" s="43" t="str">
        <f t="shared" si="3"/>
        <v>AUT13</v>
      </c>
    </row>
    <row r="93" spans="1:7" ht="15" hidden="1" customHeight="1" x14ac:dyDescent="0.35">
      <c r="A93" s="43">
        <v>14</v>
      </c>
      <c r="B93" s="43" t="s">
        <v>285</v>
      </c>
      <c r="C93" s="44" t="s">
        <v>444</v>
      </c>
      <c r="D93" s="44" t="s">
        <v>445</v>
      </c>
      <c r="E93" s="43" t="s">
        <v>424</v>
      </c>
      <c r="F93" s="43" t="str">
        <f t="shared" si="2"/>
        <v>AUT KALAJDZIC - 14</v>
      </c>
      <c r="G93" s="43" t="str">
        <f t="shared" si="3"/>
        <v>AUT14</v>
      </c>
    </row>
    <row r="94" spans="1:7" ht="15" hidden="1" customHeight="1" x14ac:dyDescent="0.35">
      <c r="A94" s="43">
        <v>15</v>
      </c>
      <c r="B94" s="43" t="s">
        <v>273</v>
      </c>
      <c r="C94" s="44" t="s">
        <v>446</v>
      </c>
      <c r="D94" s="44" t="s">
        <v>447</v>
      </c>
      <c r="E94" s="43" t="s">
        <v>424</v>
      </c>
      <c r="F94" s="43" t="str">
        <f t="shared" si="2"/>
        <v>AUT LIENHART - 15</v>
      </c>
      <c r="G94" s="43" t="str">
        <f t="shared" si="3"/>
        <v>AUT15</v>
      </c>
    </row>
    <row r="95" spans="1:7" ht="15" hidden="1" customHeight="1" x14ac:dyDescent="0.35">
      <c r="A95" s="43">
        <v>16</v>
      </c>
      <c r="B95" s="43" t="s">
        <v>273</v>
      </c>
      <c r="C95" s="44" t="s">
        <v>448</v>
      </c>
      <c r="D95" s="44" t="s">
        <v>449</v>
      </c>
      <c r="E95" s="43" t="s">
        <v>424</v>
      </c>
      <c r="F95" s="43" t="str">
        <f t="shared" si="2"/>
        <v>AUT MWENE - 16</v>
      </c>
      <c r="G95" s="43" t="str">
        <f t="shared" si="3"/>
        <v>AUT16</v>
      </c>
    </row>
    <row r="96" spans="1:7" ht="15" hidden="1" customHeight="1" x14ac:dyDescent="0.35">
      <c r="A96" s="43">
        <v>17</v>
      </c>
      <c r="B96" s="43" t="s">
        <v>282</v>
      </c>
      <c r="C96" s="44" t="s">
        <v>450</v>
      </c>
      <c r="D96" s="44" t="s">
        <v>451</v>
      </c>
      <c r="E96" s="43" t="s">
        <v>424</v>
      </c>
      <c r="F96" s="43" t="str">
        <f t="shared" si="2"/>
        <v>AUT CHUKWUEMEKA - 17</v>
      </c>
      <c r="G96" s="43" t="str">
        <f t="shared" si="3"/>
        <v>AUT17</v>
      </c>
    </row>
    <row r="97" spans="1:7" ht="15" hidden="1" customHeight="1" x14ac:dyDescent="0.35">
      <c r="A97" s="43">
        <v>18</v>
      </c>
      <c r="B97" s="43" t="s">
        <v>282</v>
      </c>
      <c r="C97" s="44" t="s">
        <v>452</v>
      </c>
      <c r="D97" s="44" t="s">
        <v>453</v>
      </c>
      <c r="E97" s="43" t="s">
        <v>424</v>
      </c>
      <c r="F97" s="43" t="str">
        <f t="shared" si="2"/>
        <v>AUT SCHMID - 18</v>
      </c>
      <c r="G97" s="43" t="str">
        <f t="shared" si="3"/>
        <v>AUT18</v>
      </c>
    </row>
    <row r="98" spans="1:7" ht="15" hidden="1" customHeight="1" x14ac:dyDescent="0.35">
      <c r="A98" s="43">
        <v>19</v>
      </c>
      <c r="B98" s="43" t="s">
        <v>282</v>
      </c>
      <c r="C98" s="44" t="s">
        <v>454</v>
      </c>
      <c r="D98" s="44" t="s">
        <v>455</v>
      </c>
      <c r="E98" s="43" t="s">
        <v>424</v>
      </c>
      <c r="F98" s="43" t="str">
        <f t="shared" si="2"/>
        <v>AUT BAUMGARTNER - 19</v>
      </c>
      <c r="G98" s="43" t="str">
        <f t="shared" si="3"/>
        <v>AUT19</v>
      </c>
    </row>
    <row r="99" spans="1:7" ht="15" hidden="1" customHeight="1" x14ac:dyDescent="0.35">
      <c r="A99" s="43">
        <v>20</v>
      </c>
      <c r="B99" s="43" t="s">
        <v>282</v>
      </c>
      <c r="C99" s="44" t="s">
        <v>456</v>
      </c>
      <c r="D99" s="44" t="s">
        <v>457</v>
      </c>
      <c r="E99" s="43" t="s">
        <v>424</v>
      </c>
      <c r="F99" s="43" t="str">
        <f t="shared" si="2"/>
        <v>AUT LAIMER - 20</v>
      </c>
      <c r="G99" s="43" t="str">
        <f t="shared" si="3"/>
        <v>AUT20</v>
      </c>
    </row>
    <row r="100" spans="1:7" ht="15" hidden="1" customHeight="1" x14ac:dyDescent="0.35">
      <c r="A100" s="43">
        <v>21</v>
      </c>
      <c r="B100" s="43" t="s">
        <v>285</v>
      </c>
      <c r="C100" s="44" t="s">
        <v>407</v>
      </c>
      <c r="D100" s="44" t="s">
        <v>458</v>
      </c>
      <c r="E100" s="43" t="s">
        <v>424</v>
      </c>
      <c r="F100" s="43" t="str">
        <f t="shared" si="2"/>
        <v>AUT WIMMER - 21</v>
      </c>
      <c r="G100" s="43" t="str">
        <f t="shared" si="3"/>
        <v>AUT21</v>
      </c>
    </row>
    <row r="101" spans="1:7" ht="15" hidden="1" customHeight="1" x14ac:dyDescent="0.35">
      <c r="A101" s="43">
        <v>22</v>
      </c>
      <c r="B101" s="43" t="s">
        <v>282</v>
      </c>
      <c r="C101" s="44" t="s">
        <v>422</v>
      </c>
      <c r="D101" s="44" t="s">
        <v>459</v>
      </c>
      <c r="E101" s="43" t="s">
        <v>424</v>
      </c>
      <c r="F101" s="43" t="str">
        <f t="shared" si="2"/>
        <v>AUT PRASS - 22</v>
      </c>
      <c r="G101" s="43" t="str">
        <f t="shared" si="3"/>
        <v>AUT22</v>
      </c>
    </row>
    <row r="102" spans="1:7" ht="15" hidden="1" customHeight="1" x14ac:dyDescent="0.35">
      <c r="A102" s="43">
        <v>23</v>
      </c>
      <c r="B102" s="43" t="s">
        <v>273</v>
      </c>
      <c r="C102" s="44" t="s">
        <v>460</v>
      </c>
      <c r="D102" s="44" t="s">
        <v>461</v>
      </c>
      <c r="E102" s="43" t="s">
        <v>424</v>
      </c>
      <c r="F102" s="43" t="str">
        <f t="shared" si="2"/>
        <v>AUT FRIEDL - 23</v>
      </c>
      <c r="G102" s="43" t="str">
        <f t="shared" si="3"/>
        <v>AUT23</v>
      </c>
    </row>
    <row r="103" spans="1:7" ht="15" hidden="1" customHeight="1" x14ac:dyDescent="0.35">
      <c r="A103" s="43">
        <v>24</v>
      </c>
      <c r="B103" s="43" t="s">
        <v>282</v>
      </c>
      <c r="C103" s="44" t="s">
        <v>395</v>
      </c>
      <c r="D103" s="44" t="s">
        <v>462</v>
      </c>
      <c r="E103" s="43" t="s">
        <v>424</v>
      </c>
      <c r="F103" s="43" t="str">
        <f t="shared" si="2"/>
        <v>AUT WANNER - 24</v>
      </c>
      <c r="G103" s="43" t="str">
        <f t="shared" si="3"/>
        <v>AUT24</v>
      </c>
    </row>
    <row r="104" spans="1:7" ht="15" hidden="1" customHeight="1" x14ac:dyDescent="0.35">
      <c r="A104" s="43">
        <v>25</v>
      </c>
      <c r="B104" s="43" t="s">
        <v>273</v>
      </c>
      <c r="C104" s="44" t="s">
        <v>440</v>
      </c>
      <c r="D104" s="44" t="s">
        <v>463</v>
      </c>
      <c r="E104" s="43" t="s">
        <v>424</v>
      </c>
      <c r="F104" s="43" t="str">
        <f t="shared" si="2"/>
        <v>AUT SVOBODA - 25</v>
      </c>
      <c r="G104" s="43" t="str">
        <f t="shared" si="3"/>
        <v>AUT25</v>
      </c>
    </row>
    <row r="105" spans="1:7" ht="15" hidden="1" customHeight="1" x14ac:dyDescent="0.35">
      <c r="A105" s="43">
        <v>26</v>
      </c>
      <c r="B105" s="43" t="s">
        <v>282</v>
      </c>
      <c r="C105" s="44" t="s">
        <v>379</v>
      </c>
      <c r="D105" s="44" t="s">
        <v>464</v>
      </c>
      <c r="E105" s="43" t="s">
        <v>424</v>
      </c>
      <c r="F105" s="43" t="str">
        <f t="shared" si="2"/>
        <v>AUT SCHOEPF - 26</v>
      </c>
      <c r="G105" s="43" t="str">
        <f t="shared" si="3"/>
        <v>AUT26</v>
      </c>
    </row>
    <row r="106" spans="1:7" ht="15" hidden="1" customHeight="1" x14ac:dyDescent="0.35">
      <c r="A106" s="45">
        <v>1</v>
      </c>
      <c r="B106" s="45" t="s">
        <v>269</v>
      </c>
      <c r="C106" s="46" t="s">
        <v>465</v>
      </c>
      <c r="D106" s="46" t="s">
        <v>466</v>
      </c>
      <c r="E106" s="45" t="s">
        <v>467</v>
      </c>
      <c r="F106" s="45" t="str">
        <f t="shared" si="2"/>
        <v>BEL (GK) COURTOIS - 1</v>
      </c>
      <c r="G106" s="45" t="str">
        <f t="shared" si="3"/>
        <v>BEL1</v>
      </c>
    </row>
    <row r="107" spans="1:7" ht="15" hidden="1" customHeight="1" x14ac:dyDescent="0.35">
      <c r="A107" s="45">
        <v>2</v>
      </c>
      <c r="B107" s="45" t="s">
        <v>273</v>
      </c>
      <c r="C107" s="46" t="s">
        <v>468</v>
      </c>
      <c r="D107" s="46" t="s">
        <v>469</v>
      </c>
      <c r="E107" s="45" t="s">
        <v>467</v>
      </c>
      <c r="F107" s="45" t="str">
        <f t="shared" si="2"/>
        <v>BEL DEBAST - 2</v>
      </c>
      <c r="G107" s="45" t="str">
        <f t="shared" si="3"/>
        <v>BEL2</v>
      </c>
    </row>
    <row r="108" spans="1:7" ht="15" hidden="1" customHeight="1" x14ac:dyDescent="0.35">
      <c r="A108" s="45">
        <v>3</v>
      </c>
      <c r="B108" s="45" t="s">
        <v>273</v>
      </c>
      <c r="C108" s="46" t="s">
        <v>470</v>
      </c>
      <c r="D108" s="46" t="s">
        <v>471</v>
      </c>
      <c r="E108" s="45" t="s">
        <v>467</v>
      </c>
      <c r="F108" s="45" t="str">
        <f t="shared" si="2"/>
        <v>BEL THEATE - 3</v>
      </c>
      <c r="G108" s="45" t="str">
        <f t="shared" si="3"/>
        <v>BEL3</v>
      </c>
    </row>
    <row r="109" spans="1:7" ht="15" hidden="1" customHeight="1" x14ac:dyDescent="0.35">
      <c r="A109" s="45">
        <v>4</v>
      </c>
      <c r="B109" s="45" t="s">
        <v>273</v>
      </c>
      <c r="C109" s="46" t="s">
        <v>472</v>
      </c>
      <c r="D109" s="46" t="s">
        <v>473</v>
      </c>
      <c r="E109" s="45" t="s">
        <v>467</v>
      </c>
      <c r="F109" s="45" t="str">
        <f t="shared" si="2"/>
        <v>BEL MECHELE - 4</v>
      </c>
      <c r="G109" s="45" t="str">
        <f t="shared" si="3"/>
        <v>BEL4</v>
      </c>
    </row>
    <row r="110" spans="1:7" ht="15" hidden="1" customHeight="1" x14ac:dyDescent="0.35">
      <c r="A110" s="45">
        <v>5</v>
      </c>
      <c r="B110" s="45" t="s">
        <v>273</v>
      </c>
      <c r="C110" s="46" t="s">
        <v>474</v>
      </c>
      <c r="D110" s="46" t="s">
        <v>475</v>
      </c>
      <c r="E110" s="45" t="s">
        <v>467</v>
      </c>
      <c r="F110" s="45" t="str">
        <f t="shared" si="2"/>
        <v>BEL DE CUYPER - 5</v>
      </c>
      <c r="G110" s="45" t="str">
        <f t="shared" si="3"/>
        <v>BEL5</v>
      </c>
    </row>
    <row r="111" spans="1:7" ht="15" hidden="1" customHeight="1" x14ac:dyDescent="0.35">
      <c r="A111" s="45">
        <v>6</v>
      </c>
      <c r="B111" s="45" t="s">
        <v>282</v>
      </c>
      <c r="C111" s="46" t="s">
        <v>476</v>
      </c>
      <c r="D111" s="46" t="s">
        <v>477</v>
      </c>
      <c r="E111" s="45" t="s">
        <v>467</v>
      </c>
      <c r="F111" s="45" t="str">
        <f t="shared" si="2"/>
        <v>BEL WITSEL - 6</v>
      </c>
      <c r="G111" s="45" t="str">
        <f t="shared" si="3"/>
        <v>BEL6</v>
      </c>
    </row>
    <row r="112" spans="1:7" ht="15" hidden="1" customHeight="1" x14ac:dyDescent="0.35">
      <c r="A112" s="45">
        <v>7</v>
      </c>
      <c r="B112" s="45" t="s">
        <v>282</v>
      </c>
      <c r="C112" s="46" t="s">
        <v>427</v>
      </c>
      <c r="D112" s="46" t="s">
        <v>478</v>
      </c>
      <c r="E112" s="45" t="s">
        <v>467</v>
      </c>
      <c r="F112" s="45" t="str">
        <f t="shared" si="2"/>
        <v>BEL DE BRUYNE - 7</v>
      </c>
      <c r="G112" s="45" t="str">
        <f t="shared" si="3"/>
        <v>BEL7</v>
      </c>
    </row>
    <row r="113" spans="1:7" ht="15" hidden="1" customHeight="1" x14ac:dyDescent="0.35">
      <c r="A113" s="45">
        <v>8</v>
      </c>
      <c r="B113" s="45" t="s">
        <v>282</v>
      </c>
      <c r="C113" s="46" t="s">
        <v>479</v>
      </c>
      <c r="D113" s="46" t="s">
        <v>480</v>
      </c>
      <c r="E113" s="45" t="s">
        <v>467</v>
      </c>
      <c r="F113" s="45" t="str">
        <f t="shared" si="2"/>
        <v>BEL TIELEMANS - 8</v>
      </c>
      <c r="G113" s="45" t="str">
        <f t="shared" si="3"/>
        <v>BEL8</v>
      </c>
    </row>
    <row r="114" spans="1:7" ht="15" hidden="1" customHeight="1" x14ac:dyDescent="0.35">
      <c r="A114" s="45">
        <v>9</v>
      </c>
      <c r="B114" s="45" t="s">
        <v>285</v>
      </c>
      <c r="C114" s="46" t="s">
        <v>481</v>
      </c>
      <c r="D114" s="46" t="s">
        <v>482</v>
      </c>
      <c r="E114" s="45" t="s">
        <v>467</v>
      </c>
      <c r="F114" s="45" t="str">
        <f t="shared" si="2"/>
        <v>BEL LUKAKU - 9</v>
      </c>
      <c r="G114" s="45" t="str">
        <f t="shared" si="3"/>
        <v>BEL9</v>
      </c>
    </row>
    <row r="115" spans="1:7" ht="15" hidden="1" customHeight="1" x14ac:dyDescent="0.35">
      <c r="A115" s="45">
        <v>10</v>
      </c>
      <c r="B115" s="45" t="s">
        <v>285</v>
      </c>
      <c r="C115" s="46" t="s">
        <v>334</v>
      </c>
      <c r="D115" s="46" t="s">
        <v>483</v>
      </c>
      <c r="E115" s="45" t="s">
        <v>467</v>
      </c>
      <c r="F115" s="45" t="str">
        <f t="shared" si="2"/>
        <v>BEL TROSSARD - 10</v>
      </c>
      <c r="G115" s="45" t="str">
        <f t="shared" si="3"/>
        <v>BEL10</v>
      </c>
    </row>
    <row r="116" spans="1:7" ht="15" hidden="1" customHeight="1" x14ac:dyDescent="0.35">
      <c r="A116" s="45">
        <v>11</v>
      </c>
      <c r="B116" s="45" t="s">
        <v>285</v>
      </c>
      <c r="C116" s="46" t="s">
        <v>484</v>
      </c>
      <c r="D116" s="46" t="s">
        <v>485</v>
      </c>
      <c r="E116" s="45" t="s">
        <v>467</v>
      </c>
      <c r="F116" s="45" t="str">
        <f t="shared" si="2"/>
        <v>BEL DOKU - 11</v>
      </c>
      <c r="G116" s="45" t="str">
        <f t="shared" si="3"/>
        <v>BEL11</v>
      </c>
    </row>
    <row r="117" spans="1:7" ht="15" hidden="1" customHeight="1" x14ac:dyDescent="0.35">
      <c r="A117" s="45">
        <v>12</v>
      </c>
      <c r="B117" s="45" t="s">
        <v>269</v>
      </c>
      <c r="C117" s="46" t="s">
        <v>486</v>
      </c>
      <c r="D117" s="46" t="s">
        <v>487</v>
      </c>
      <c r="E117" s="45" t="s">
        <v>467</v>
      </c>
      <c r="F117" s="45" t="str">
        <f t="shared" si="2"/>
        <v>BEL (GK) LAMMENS - 12</v>
      </c>
      <c r="G117" s="45" t="str">
        <f t="shared" si="3"/>
        <v>BEL12</v>
      </c>
    </row>
    <row r="118" spans="1:7" ht="15" hidden="1" customHeight="1" x14ac:dyDescent="0.35">
      <c r="A118" s="45">
        <v>13</v>
      </c>
      <c r="B118" s="45" t="s">
        <v>269</v>
      </c>
      <c r="C118" s="46" t="s">
        <v>488</v>
      </c>
      <c r="D118" s="46" t="s">
        <v>489</v>
      </c>
      <c r="E118" s="45" t="s">
        <v>467</v>
      </c>
      <c r="F118" s="45" t="str">
        <f t="shared" si="2"/>
        <v>BEL (GK) PENDERS - 13</v>
      </c>
      <c r="G118" s="45" t="str">
        <f t="shared" si="3"/>
        <v>BEL13</v>
      </c>
    </row>
    <row r="119" spans="1:7" ht="15" hidden="1" customHeight="1" x14ac:dyDescent="0.35">
      <c r="A119" s="45">
        <v>14</v>
      </c>
      <c r="B119" s="45" t="s">
        <v>285</v>
      </c>
      <c r="C119" s="46" t="s">
        <v>490</v>
      </c>
      <c r="D119" s="46" t="s">
        <v>491</v>
      </c>
      <c r="E119" s="45" t="s">
        <v>467</v>
      </c>
      <c r="F119" s="45" t="str">
        <f t="shared" si="2"/>
        <v>BEL LUKEBAKIO - 14</v>
      </c>
      <c r="G119" s="45" t="str">
        <f t="shared" si="3"/>
        <v>BEL14</v>
      </c>
    </row>
    <row r="120" spans="1:7" ht="15" hidden="1" customHeight="1" x14ac:dyDescent="0.35">
      <c r="A120" s="45">
        <v>15</v>
      </c>
      <c r="B120" s="45" t="s">
        <v>273</v>
      </c>
      <c r="C120" s="46" t="s">
        <v>492</v>
      </c>
      <c r="D120" s="46" t="s">
        <v>493</v>
      </c>
      <c r="E120" s="45" t="s">
        <v>467</v>
      </c>
      <c r="F120" s="45" t="str">
        <f t="shared" si="2"/>
        <v>BEL MEUNIER - 15</v>
      </c>
      <c r="G120" s="45" t="str">
        <f t="shared" si="3"/>
        <v>BEL15</v>
      </c>
    </row>
    <row r="121" spans="1:7" ht="15" hidden="1" customHeight="1" x14ac:dyDescent="0.35">
      <c r="A121" s="45">
        <v>16</v>
      </c>
      <c r="B121" s="45" t="s">
        <v>273</v>
      </c>
      <c r="C121" s="46" t="s">
        <v>494</v>
      </c>
      <c r="D121" s="46" t="s">
        <v>495</v>
      </c>
      <c r="E121" s="45" t="s">
        <v>467</v>
      </c>
      <c r="F121" s="45" t="str">
        <f t="shared" si="2"/>
        <v>BEL DE WINTER - 16</v>
      </c>
      <c r="G121" s="45" t="str">
        <f t="shared" si="3"/>
        <v>BEL16</v>
      </c>
    </row>
    <row r="122" spans="1:7" ht="15" hidden="1" customHeight="1" x14ac:dyDescent="0.35">
      <c r="A122" s="45">
        <v>17</v>
      </c>
      <c r="B122" s="45" t="s">
        <v>285</v>
      </c>
      <c r="C122" s="46" t="s">
        <v>496</v>
      </c>
      <c r="D122" s="46" t="s">
        <v>497</v>
      </c>
      <c r="E122" s="45" t="s">
        <v>467</v>
      </c>
      <c r="F122" s="45" t="str">
        <f t="shared" si="2"/>
        <v>BEL DE KETELAERE - 17</v>
      </c>
      <c r="G122" s="45" t="str">
        <f t="shared" si="3"/>
        <v>BEL17</v>
      </c>
    </row>
    <row r="123" spans="1:7" ht="15" hidden="1" customHeight="1" x14ac:dyDescent="0.35">
      <c r="A123" s="45">
        <v>18</v>
      </c>
      <c r="B123" s="45" t="s">
        <v>273</v>
      </c>
      <c r="C123" s="46" t="s">
        <v>498</v>
      </c>
      <c r="D123" s="46" t="s">
        <v>499</v>
      </c>
      <c r="E123" s="45" t="s">
        <v>467</v>
      </c>
      <c r="F123" s="45" t="str">
        <f t="shared" si="2"/>
        <v>BEL SEYS - 18</v>
      </c>
      <c r="G123" s="45" t="str">
        <f t="shared" si="3"/>
        <v>BEL18</v>
      </c>
    </row>
    <row r="124" spans="1:7" ht="15" hidden="1" customHeight="1" x14ac:dyDescent="0.35">
      <c r="A124" s="45">
        <v>19</v>
      </c>
      <c r="B124" s="45" t="s">
        <v>282</v>
      </c>
      <c r="C124" s="46" t="s">
        <v>500</v>
      </c>
      <c r="D124" s="46" t="s">
        <v>501</v>
      </c>
      <c r="E124" s="45" t="s">
        <v>467</v>
      </c>
      <c r="F124" s="45" t="str">
        <f t="shared" si="2"/>
        <v>BEL MOREIRA - 19</v>
      </c>
      <c r="G124" s="45" t="str">
        <f t="shared" si="3"/>
        <v>BEL19</v>
      </c>
    </row>
    <row r="125" spans="1:7" ht="15" hidden="1" customHeight="1" x14ac:dyDescent="0.35">
      <c r="A125" s="45">
        <v>20</v>
      </c>
      <c r="B125" s="45" t="s">
        <v>282</v>
      </c>
      <c r="C125" s="46" t="s">
        <v>502</v>
      </c>
      <c r="D125" s="46" t="s">
        <v>503</v>
      </c>
      <c r="E125" s="45" t="s">
        <v>467</v>
      </c>
      <c r="F125" s="45" t="str">
        <f t="shared" si="2"/>
        <v>BEL VANAKEN - 20</v>
      </c>
      <c r="G125" s="45" t="str">
        <f t="shared" si="3"/>
        <v>BEL20</v>
      </c>
    </row>
    <row r="126" spans="1:7" ht="15" hidden="1" customHeight="1" x14ac:dyDescent="0.35">
      <c r="A126" s="45">
        <v>21</v>
      </c>
      <c r="B126" s="45" t="s">
        <v>273</v>
      </c>
      <c r="C126" s="46" t="s">
        <v>504</v>
      </c>
      <c r="D126" s="46" t="s">
        <v>505</v>
      </c>
      <c r="E126" s="45" t="s">
        <v>467</v>
      </c>
      <c r="F126" s="45" t="str">
        <f t="shared" si="2"/>
        <v>BEL CASTAGNE - 21</v>
      </c>
      <c r="G126" s="45" t="str">
        <f t="shared" si="3"/>
        <v>BEL21</v>
      </c>
    </row>
    <row r="127" spans="1:7" ht="15" hidden="1" customHeight="1" x14ac:dyDescent="0.35">
      <c r="A127" s="45">
        <v>22</v>
      </c>
      <c r="B127" s="45" t="s">
        <v>282</v>
      </c>
      <c r="C127" s="46" t="s">
        <v>362</v>
      </c>
      <c r="D127" s="46" t="s">
        <v>506</v>
      </c>
      <c r="E127" s="45" t="s">
        <v>467</v>
      </c>
      <c r="F127" s="45" t="str">
        <f t="shared" si="2"/>
        <v>BEL SAELEMAEKERS - 22</v>
      </c>
      <c r="G127" s="45" t="str">
        <f t="shared" si="3"/>
        <v>BEL22</v>
      </c>
    </row>
    <row r="128" spans="1:7" ht="15" hidden="1" customHeight="1" x14ac:dyDescent="0.35">
      <c r="A128" s="45">
        <v>23</v>
      </c>
      <c r="B128" s="45" t="s">
        <v>282</v>
      </c>
      <c r="C128" s="46" t="s">
        <v>330</v>
      </c>
      <c r="D128" s="46" t="s">
        <v>507</v>
      </c>
      <c r="E128" s="45" t="s">
        <v>467</v>
      </c>
      <c r="F128" s="45" t="str">
        <f t="shared" si="2"/>
        <v>BEL RASKIN - 23</v>
      </c>
      <c r="G128" s="45" t="str">
        <f t="shared" si="3"/>
        <v>BEL23</v>
      </c>
    </row>
    <row r="129" spans="1:7" ht="15" hidden="1" customHeight="1" x14ac:dyDescent="0.35">
      <c r="A129" s="45">
        <v>24</v>
      </c>
      <c r="B129" s="45" t="s">
        <v>282</v>
      </c>
      <c r="C129" s="46" t="s">
        <v>508</v>
      </c>
      <c r="D129" s="46" t="s">
        <v>509</v>
      </c>
      <c r="E129" s="45" t="s">
        <v>467</v>
      </c>
      <c r="F129" s="45" t="str">
        <f t="shared" si="2"/>
        <v>BEL ONANA - 24</v>
      </c>
      <c r="G129" s="45" t="str">
        <f t="shared" si="3"/>
        <v>BEL24</v>
      </c>
    </row>
    <row r="130" spans="1:7" ht="15" hidden="1" customHeight="1" x14ac:dyDescent="0.35">
      <c r="A130" s="45">
        <v>25</v>
      </c>
      <c r="B130" s="45" t="s">
        <v>273</v>
      </c>
      <c r="C130" s="46" t="s">
        <v>510</v>
      </c>
      <c r="D130" s="46" t="s">
        <v>511</v>
      </c>
      <c r="E130" s="45" t="s">
        <v>467</v>
      </c>
      <c r="F130" s="45" t="str">
        <f t="shared" si="2"/>
        <v>BEL NGOY - 25</v>
      </c>
      <c r="G130" s="45" t="str">
        <f t="shared" si="3"/>
        <v>BEL25</v>
      </c>
    </row>
    <row r="131" spans="1:7" ht="15" hidden="1" customHeight="1" x14ac:dyDescent="0.35">
      <c r="A131" s="45">
        <v>26</v>
      </c>
      <c r="B131" s="45" t="s">
        <v>285</v>
      </c>
      <c r="C131" s="46" t="s">
        <v>512</v>
      </c>
      <c r="D131" s="46" t="s">
        <v>513</v>
      </c>
      <c r="E131" s="45" t="s">
        <v>467</v>
      </c>
      <c r="F131" s="45" t="str">
        <f t="shared" ref="F131:F194" si="4">IF(B131="GK", _xlfn.CONCAT(E131, " ","(",B131, ") ",D131, " - ", A131),  _xlfn.CONCAT(E131, " ",D131, " - ", A131))</f>
        <v>BEL FERNANDEZ-PARDO - 26</v>
      </c>
      <c r="G131" s="45" t="str">
        <f t="shared" ref="G131:G194" si="5">_xlfn.CONCAT(E131,A131)</f>
        <v>BEL26</v>
      </c>
    </row>
    <row r="132" spans="1:7" ht="15" customHeight="1" x14ac:dyDescent="0.35">
      <c r="A132" s="47">
        <v>1</v>
      </c>
      <c r="B132" s="47" t="s">
        <v>269</v>
      </c>
      <c r="C132" s="48" t="s">
        <v>514</v>
      </c>
      <c r="D132" s="48" t="s">
        <v>515</v>
      </c>
      <c r="E132" s="47" t="s">
        <v>516</v>
      </c>
      <c r="F132" s="47" t="str">
        <f t="shared" si="4"/>
        <v>BIH (GK) VASILJ - 1</v>
      </c>
      <c r="G132" s="47" t="str">
        <f t="shared" si="5"/>
        <v>BIH1</v>
      </c>
    </row>
    <row r="133" spans="1:7" ht="15" customHeight="1" x14ac:dyDescent="0.35">
      <c r="A133" s="47">
        <v>2</v>
      </c>
      <c r="B133" s="47" t="s">
        <v>273</v>
      </c>
      <c r="C133" s="48" t="s">
        <v>517</v>
      </c>
      <c r="D133" s="48" t="s">
        <v>518</v>
      </c>
      <c r="E133" s="47" t="s">
        <v>516</v>
      </c>
      <c r="F133" s="47" t="str">
        <f t="shared" si="4"/>
        <v>BIH MUJAKIC - 2</v>
      </c>
      <c r="G133" s="47" t="str">
        <f t="shared" si="5"/>
        <v>BIH2</v>
      </c>
    </row>
    <row r="134" spans="1:7" ht="15" customHeight="1" x14ac:dyDescent="0.35">
      <c r="A134" s="47">
        <v>3</v>
      </c>
      <c r="B134" s="47" t="s">
        <v>273</v>
      </c>
      <c r="C134" s="48" t="s">
        <v>519</v>
      </c>
      <c r="D134" s="48" t="s">
        <v>520</v>
      </c>
      <c r="E134" s="47" t="s">
        <v>516</v>
      </c>
      <c r="F134" s="47" t="str">
        <f t="shared" si="4"/>
        <v>BIH HADZIKADUNIC - 3</v>
      </c>
      <c r="G134" s="47" t="str">
        <f t="shared" si="5"/>
        <v>BIH3</v>
      </c>
    </row>
    <row r="135" spans="1:7" ht="15" customHeight="1" x14ac:dyDescent="0.35">
      <c r="A135" s="47">
        <v>4</v>
      </c>
      <c r="B135" s="47" t="s">
        <v>273</v>
      </c>
      <c r="C135" s="48" t="s">
        <v>521</v>
      </c>
      <c r="D135" s="48" t="s">
        <v>522</v>
      </c>
      <c r="E135" s="47" t="s">
        <v>516</v>
      </c>
      <c r="F135" s="47" t="str">
        <f t="shared" si="4"/>
        <v>BIH MUHAREMOVIC - 4</v>
      </c>
      <c r="G135" s="47" t="str">
        <f t="shared" si="5"/>
        <v>BIH4</v>
      </c>
    </row>
    <row r="136" spans="1:7" ht="15" customHeight="1" x14ac:dyDescent="0.35">
      <c r="A136" s="47">
        <v>5</v>
      </c>
      <c r="B136" s="47" t="s">
        <v>273</v>
      </c>
      <c r="C136" s="48" t="s">
        <v>523</v>
      </c>
      <c r="D136" s="48" t="s">
        <v>524</v>
      </c>
      <c r="E136" s="47" t="s">
        <v>516</v>
      </c>
      <c r="F136" s="47" t="str">
        <f t="shared" si="4"/>
        <v>BIH KOLASINAC - 5</v>
      </c>
      <c r="G136" s="47" t="str">
        <f t="shared" si="5"/>
        <v>BIH5</v>
      </c>
    </row>
    <row r="137" spans="1:7" ht="15" customHeight="1" x14ac:dyDescent="0.35">
      <c r="A137" s="47">
        <v>6</v>
      </c>
      <c r="B137" s="47" t="s">
        <v>282</v>
      </c>
      <c r="C137" s="48" t="s">
        <v>525</v>
      </c>
      <c r="D137" s="48" t="s">
        <v>526</v>
      </c>
      <c r="E137" s="47" t="s">
        <v>516</v>
      </c>
      <c r="F137" s="47" t="str">
        <f t="shared" si="4"/>
        <v>BIH TAHIROVIC - 6</v>
      </c>
      <c r="G137" s="47" t="str">
        <f t="shared" si="5"/>
        <v>BIH6</v>
      </c>
    </row>
    <row r="138" spans="1:7" ht="15" customHeight="1" x14ac:dyDescent="0.35">
      <c r="A138" s="47">
        <v>7</v>
      </c>
      <c r="B138" s="47" t="s">
        <v>273</v>
      </c>
      <c r="C138" s="48" t="s">
        <v>527</v>
      </c>
      <c r="D138" s="48" t="s">
        <v>528</v>
      </c>
      <c r="E138" s="47" t="s">
        <v>516</v>
      </c>
      <c r="F138" s="47" t="str">
        <f t="shared" si="4"/>
        <v>BIH DEDIC - 7</v>
      </c>
      <c r="G138" s="47" t="str">
        <f t="shared" si="5"/>
        <v>BIH7</v>
      </c>
    </row>
    <row r="139" spans="1:7" ht="15" customHeight="1" x14ac:dyDescent="0.35">
      <c r="A139" s="47">
        <v>8</v>
      </c>
      <c r="B139" s="47" t="s">
        <v>282</v>
      </c>
      <c r="C139" s="48" t="s">
        <v>529</v>
      </c>
      <c r="D139" s="48" t="s">
        <v>530</v>
      </c>
      <c r="E139" s="47" t="s">
        <v>516</v>
      </c>
      <c r="F139" s="47" t="str">
        <f t="shared" si="4"/>
        <v>BIH GIGOVIC - 8</v>
      </c>
      <c r="G139" s="47" t="str">
        <f t="shared" si="5"/>
        <v>BIH8</v>
      </c>
    </row>
    <row r="140" spans="1:7" ht="15" customHeight="1" x14ac:dyDescent="0.35">
      <c r="A140" s="47">
        <v>9</v>
      </c>
      <c r="B140" s="47" t="s">
        <v>285</v>
      </c>
      <c r="C140" s="48" t="s">
        <v>531</v>
      </c>
      <c r="D140" s="48" t="s">
        <v>532</v>
      </c>
      <c r="E140" s="47" t="s">
        <v>516</v>
      </c>
      <c r="F140" s="47" t="str">
        <f t="shared" si="4"/>
        <v>BIH BAZDAR - 9</v>
      </c>
      <c r="G140" s="47" t="str">
        <f t="shared" si="5"/>
        <v>BIH9</v>
      </c>
    </row>
    <row r="141" spans="1:7" ht="15" customHeight="1" x14ac:dyDescent="0.35">
      <c r="A141" s="47">
        <v>10</v>
      </c>
      <c r="B141" s="47" t="s">
        <v>285</v>
      </c>
      <c r="C141" s="48" t="s">
        <v>533</v>
      </c>
      <c r="D141" s="48" t="s">
        <v>534</v>
      </c>
      <c r="E141" s="47" t="s">
        <v>516</v>
      </c>
      <c r="F141" s="47" t="str">
        <f t="shared" si="4"/>
        <v>BIH DEMIROVIC - 10</v>
      </c>
      <c r="G141" s="47" t="str">
        <f t="shared" si="5"/>
        <v>BIH10</v>
      </c>
    </row>
    <row r="142" spans="1:7" ht="15" customHeight="1" x14ac:dyDescent="0.35">
      <c r="A142" s="47">
        <v>11</v>
      </c>
      <c r="B142" s="47" t="s">
        <v>285</v>
      </c>
      <c r="C142" s="48" t="s">
        <v>535</v>
      </c>
      <c r="D142" s="48" t="s">
        <v>536</v>
      </c>
      <c r="E142" s="47" t="s">
        <v>516</v>
      </c>
      <c r="F142" s="47" t="str">
        <f t="shared" si="4"/>
        <v>BIH DZEKO - 11</v>
      </c>
      <c r="G142" s="47" t="str">
        <f t="shared" si="5"/>
        <v>BIH11</v>
      </c>
    </row>
    <row r="143" spans="1:7" ht="15" customHeight="1" x14ac:dyDescent="0.35">
      <c r="A143" s="47">
        <v>12</v>
      </c>
      <c r="B143" s="47" t="s">
        <v>269</v>
      </c>
      <c r="C143" s="48" t="s">
        <v>537</v>
      </c>
      <c r="D143" s="48" t="s">
        <v>538</v>
      </c>
      <c r="E143" s="47" t="s">
        <v>516</v>
      </c>
      <c r="F143" s="47" t="str">
        <f t="shared" si="4"/>
        <v>BIH (GK) JURKAS - 12</v>
      </c>
      <c r="G143" s="47" t="str">
        <f t="shared" si="5"/>
        <v>BIH12</v>
      </c>
    </row>
    <row r="144" spans="1:7" ht="15" customHeight="1" x14ac:dyDescent="0.35">
      <c r="A144" s="47">
        <v>13</v>
      </c>
      <c r="B144" s="47" t="s">
        <v>282</v>
      </c>
      <c r="C144" s="48" t="s">
        <v>539</v>
      </c>
      <c r="D144" s="48" t="s">
        <v>540</v>
      </c>
      <c r="E144" s="47" t="s">
        <v>516</v>
      </c>
      <c r="F144" s="47" t="str">
        <f t="shared" si="4"/>
        <v>BIH BASIC - 13</v>
      </c>
      <c r="G144" s="47" t="str">
        <f t="shared" si="5"/>
        <v>BIH13</v>
      </c>
    </row>
    <row r="145" spans="1:7" ht="15" customHeight="1" x14ac:dyDescent="0.35">
      <c r="A145" s="47">
        <v>14</v>
      </c>
      <c r="B145" s="47" t="s">
        <v>282</v>
      </c>
      <c r="C145" s="48" t="s">
        <v>539</v>
      </c>
      <c r="D145" s="48" t="s">
        <v>541</v>
      </c>
      <c r="E145" s="47" t="s">
        <v>516</v>
      </c>
      <c r="F145" s="47" t="str">
        <f t="shared" si="4"/>
        <v>BIH SUNJIC - 14</v>
      </c>
      <c r="G145" s="47" t="str">
        <f t="shared" si="5"/>
        <v>BIH14</v>
      </c>
    </row>
    <row r="146" spans="1:7" ht="15" customHeight="1" x14ac:dyDescent="0.35">
      <c r="A146" s="47">
        <v>15</v>
      </c>
      <c r="B146" s="47" t="s">
        <v>282</v>
      </c>
      <c r="C146" s="48" t="s">
        <v>527</v>
      </c>
      <c r="D146" s="48" t="s">
        <v>542</v>
      </c>
      <c r="E146" s="47" t="s">
        <v>516</v>
      </c>
      <c r="F146" s="47" t="str">
        <f t="shared" si="4"/>
        <v>BIH MEMIC - 15</v>
      </c>
      <c r="G146" s="47" t="str">
        <f t="shared" si="5"/>
        <v>BIH15</v>
      </c>
    </row>
    <row r="147" spans="1:7" ht="15" customHeight="1" x14ac:dyDescent="0.35">
      <c r="A147" s="47">
        <v>16</v>
      </c>
      <c r="B147" s="47" t="s">
        <v>282</v>
      </c>
      <c r="C147" s="48" t="s">
        <v>543</v>
      </c>
      <c r="D147" s="48" t="s">
        <v>544</v>
      </c>
      <c r="E147" s="47" t="s">
        <v>516</v>
      </c>
      <c r="F147" s="47" t="str">
        <f t="shared" si="4"/>
        <v>BIH HADZIAHMETOVIC - 16</v>
      </c>
      <c r="G147" s="47" t="str">
        <f t="shared" si="5"/>
        <v>BIH16</v>
      </c>
    </row>
    <row r="148" spans="1:7" ht="15" customHeight="1" x14ac:dyDescent="0.35">
      <c r="A148" s="47">
        <v>17</v>
      </c>
      <c r="B148" s="47" t="s">
        <v>282</v>
      </c>
      <c r="C148" s="48" t="s">
        <v>545</v>
      </c>
      <c r="D148" s="48" t="s">
        <v>546</v>
      </c>
      <c r="E148" s="47" t="s">
        <v>516</v>
      </c>
      <c r="F148" s="47" t="str">
        <f t="shared" si="4"/>
        <v>BIH BURNIC - 17</v>
      </c>
      <c r="G148" s="47" t="str">
        <f t="shared" si="5"/>
        <v>BIH17</v>
      </c>
    </row>
    <row r="149" spans="1:7" ht="15" customHeight="1" x14ac:dyDescent="0.35">
      <c r="A149" s="47">
        <v>18</v>
      </c>
      <c r="B149" s="47" t="s">
        <v>273</v>
      </c>
      <c r="C149" s="48" t="s">
        <v>514</v>
      </c>
      <c r="D149" s="48" t="s">
        <v>547</v>
      </c>
      <c r="E149" s="47" t="s">
        <v>516</v>
      </c>
      <c r="F149" s="47" t="str">
        <f t="shared" si="4"/>
        <v>BIH KATIC - 18</v>
      </c>
      <c r="G149" s="47" t="str">
        <f t="shared" si="5"/>
        <v>BIH18</v>
      </c>
    </row>
    <row r="150" spans="1:7" ht="15" customHeight="1" x14ac:dyDescent="0.35">
      <c r="A150" s="47">
        <v>19</v>
      </c>
      <c r="B150" s="47" t="s">
        <v>285</v>
      </c>
      <c r="C150" s="48" t="s">
        <v>548</v>
      </c>
      <c r="D150" s="48" t="s">
        <v>549</v>
      </c>
      <c r="E150" s="47" t="s">
        <v>516</v>
      </c>
      <c r="F150" s="47" t="str">
        <f t="shared" si="4"/>
        <v>BIH ALAJBEGOVIC - 19</v>
      </c>
      <c r="G150" s="47" t="str">
        <f t="shared" si="5"/>
        <v>BIH19</v>
      </c>
    </row>
    <row r="151" spans="1:7" ht="15" customHeight="1" x14ac:dyDescent="0.35">
      <c r="A151" s="47">
        <v>20</v>
      </c>
      <c r="B151" s="47" t="s">
        <v>285</v>
      </c>
      <c r="C151" s="48" t="s">
        <v>550</v>
      </c>
      <c r="D151" s="48" t="s">
        <v>551</v>
      </c>
      <c r="E151" s="47" t="s">
        <v>516</v>
      </c>
      <c r="F151" s="47" t="str">
        <f t="shared" si="4"/>
        <v>BIH BAJRAKTAREVIC - 20</v>
      </c>
      <c r="G151" s="47" t="str">
        <f t="shared" si="5"/>
        <v>BIH20</v>
      </c>
    </row>
    <row r="152" spans="1:7" ht="15" customHeight="1" x14ac:dyDescent="0.35">
      <c r="A152" s="47">
        <v>21</v>
      </c>
      <c r="B152" s="47" t="s">
        <v>273</v>
      </c>
      <c r="C152" s="48" t="s">
        <v>552</v>
      </c>
      <c r="D152" s="48" t="s">
        <v>553</v>
      </c>
      <c r="E152" s="47" t="s">
        <v>516</v>
      </c>
      <c r="F152" s="47" t="str">
        <f t="shared" si="4"/>
        <v>BIH RADELJIC - 21</v>
      </c>
      <c r="G152" s="47" t="str">
        <f t="shared" si="5"/>
        <v>BIH21</v>
      </c>
    </row>
    <row r="153" spans="1:7" ht="15" customHeight="1" x14ac:dyDescent="0.35">
      <c r="A153" s="47">
        <v>22</v>
      </c>
      <c r="B153" s="47" t="s">
        <v>269</v>
      </c>
      <c r="C153" s="48" t="s">
        <v>554</v>
      </c>
      <c r="D153" s="48" t="s">
        <v>555</v>
      </c>
      <c r="E153" s="47" t="s">
        <v>516</v>
      </c>
      <c r="F153" s="47" t="str">
        <f t="shared" si="4"/>
        <v>BIH (GK) ZLOMISLIC - 22</v>
      </c>
      <c r="G153" s="47" t="str">
        <f t="shared" si="5"/>
        <v>BIH22</v>
      </c>
    </row>
    <row r="154" spans="1:7" ht="15" customHeight="1" x14ac:dyDescent="0.35">
      <c r="A154" s="47">
        <v>23</v>
      </c>
      <c r="B154" s="47" t="s">
        <v>285</v>
      </c>
      <c r="C154" s="48" t="s">
        <v>556</v>
      </c>
      <c r="D154" s="48" t="s">
        <v>557</v>
      </c>
      <c r="E154" s="47" t="s">
        <v>516</v>
      </c>
      <c r="F154" s="47" t="str">
        <f t="shared" si="4"/>
        <v>BIH TABAKOVIC - 23</v>
      </c>
      <c r="G154" s="47" t="str">
        <f t="shared" si="5"/>
        <v>BIH23</v>
      </c>
    </row>
    <row r="155" spans="1:7" ht="15" customHeight="1" x14ac:dyDescent="0.35">
      <c r="A155" s="47">
        <v>24</v>
      </c>
      <c r="B155" s="47" t="s">
        <v>273</v>
      </c>
      <c r="C155" s="48" t="s">
        <v>558</v>
      </c>
      <c r="D155" s="48" t="s">
        <v>559</v>
      </c>
      <c r="E155" s="47" t="s">
        <v>516</v>
      </c>
      <c r="F155" s="47" t="str">
        <f t="shared" si="4"/>
        <v>BIH CELIK - 24</v>
      </c>
      <c r="G155" s="47" t="str">
        <f t="shared" si="5"/>
        <v>BIH24</v>
      </c>
    </row>
    <row r="156" spans="1:7" ht="15" customHeight="1" x14ac:dyDescent="0.35">
      <c r="A156" s="47">
        <v>25</v>
      </c>
      <c r="B156" s="47" t="s">
        <v>285</v>
      </c>
      <c r="C156" s="48" t="s">
        <v>560</v>
      </c>
      <c r="D156" s="48" t="s">
        <v>561</v>
      </c>
      <c r="E156" s="47" t="s">
        <v>516</v>
      </c>
      <c r="F156" s="47" t="str">
        <f t="shared" si="4"/>
        <v>BIH LUKIC - 25</v>
      </c>
      <c r="G156" s="47" t="str">
        <f t="shared" si="5"/>
        <v>BIH25</v>
      </c>
    </row>
    <row r="157" spans="1:7" ht="15" customHeight="1" x14ac:dyDescent="0.35">
      <c r="A157" s="47">
        <v>26</v>
      </c>
      <c r="B157" s="47" t="s">
        <v>282</v>
      </c>
      <c r="C157" s="48" t="s">
        <v>562</v>
      </c>
      <c r="D157" s="48" t="s">
        <v>563</v>
      </c>
      <c r="E157" s="47" t="s">
        <v>516</v>
      </c>
      <c r="F157" s="47" t="str">
        <f t="shared" si="4"/>
        <v>BIH MAHMIC - 26</v>
      </c>
      <c r="G157" s="47" t="str">
        <f t="shared" si="5"/>
        <v>BIH26</v>
      </c>
    </row>
    <row r="158" spans="1:7" ht="15" hidden="1" customHeight="1" x14ac:dyDescent="0.35">
      <c r="A158" s="49">
        <v>1</v>
      </c>
      <c r="B158" s="49" t="s">
        <v>269</v>
      </c>
      <c r="C158" s="50" t="s">
        <v>564</v>
      </c>
      <c r="D158" s="50" t="s">
        <v>565</v>
      </c>
      <c r="E158" s="49" t="s">
        <v>566</v>
      </c>
      <c r="F158" s="49" t="str">
        <f t="shared" si="4"/>
        <v>BRA (GK) BECKER - 1</v>
      </c>
      <c r="G158" s="49" t="str">
        <f t="shared" si="5"/>
        <v>BRA1</v>
      </c>
    </row>
    <row r="159" spans="1:7" ht="15" hidden="1" customHeight="1" x14ac:dyDescent="0.35">
      <c r="A159" s="49">
        <v>2</v>
      </c>
      <c r="B159" s="49" t="s">
        <v>273</v>
      </c>
      <c r="C159" s="50" t="s">
        <v>567</v>
      </c>
      <c r="D159" s="50" t="s">
        <v>568</v>
      </c>
      <c r="E159" s="49" t="s">
        <v>566</v>
      </c>
      <c r="F159" s="49" t="str">
        <f t="shared" si="4"/>
        <v>BRA VINÍCIUS - 2</v>
      </c>
      <c r="G159" s="49" t="str">
        <f t="shared" si="5"/>
        <v>BRA2</v>
      </c>
    </row>
    <row r="160" spans="1:7" ht="15" hidden="1" customHeight="1" x14ac:dyDescent="0.35">
      <c r="A160" s="49">
        <v>3</v>
      </c>
      <c r="B160" s="49" t="s">
        <v>273</v>
      </c>
      <c r="C160" s="50" t="s">
        <v>569</v>
      </c>
      <c r="D160" s="50" t="s">
        <v>570</v>
      </c>
      <c r="E160" s="49" t="s">
        <v>566</v>
      </c>
      <c r="F160" s="49" t="str">
        <f t="shared" si="4"/>
        <v>BRA MAGALHAES - 3</v>
      </c>
      <c r="G160" s="49" t="str">
        <f t="shared" si="5"/>
        <v>BRA3</v>
      </c>
    </row>
    <row r="161" spans="1:7" ht="15" hidden="1" customHeight="1" x14ac:dyDescent="0.35">
      <c r="A161" s="49">
        <v>4</v>
      </c>
      <c r="B161" s="49" t="s">
        <v>273</v>
      </c>
      <c r="C161" s="50" t="s">
        <v>571</v>
      </c>
      <c r="D161" s="50" t="s">
        <v>572</v>
      </c>
      <c r="E161" s="49" t="s">
        <v>566</v>
      </c>
      <c r="F161" s="49" t="str">
        <f t="shared" si="4"/>
        <v>BRA MARQUINHOS - 4</v>
      </c>
      <c r="G161" s="49" t="str">
        <f t="shared" si="5"/>
        <v>BRA4</v>
      </c>
    </row>
    <row r="162" spans="1:7" ht="15" hidden="1" customHeight="1" x14ac:dyDescent="0.35">
      <c r="A162" s="49">
        <v>5</v>
      </c>
      <c r="B162" s="49" t="s">
        <v>282</v>
      </c>
      <c r="C162" s="50" t="s">
        <v>573</v>
      </c>
      <c r="D162" s="50" t="s">
        <v>574</v>
      </c>
      <c r="E162" s="49" t="s">
        <v>566</v>
      </c>
      <c r="F162" s="49" t="str">
        <f t="shared" si="4"/>
        <v>BRA CASEMIRO - 5</v>
      </c>
      <c r="G162" s="49" t="str">
        <f t="shared" si="5"/>
        <v>BRA5</v>
      </c>
    </row>
    <row r="163" spans="1:7" ht="15" hidden="1" customHeight="1" x14ac:dyDescent="0.35">
      <c r="A163" s="49">
        <v>6</v>
      </c>
      <c r="B163" s="49" t="s">
        <v>273</v>
      </c>
      <c r="C163" s="50" t="s">
        <v>575</v>
      </c>
      <c r="D163" s="50" t="s">
        <v>576</v>
      </c>
      <c r="E163" s="49" t="s">
        <v>566</v>
      </c>
      <c r="F163" s="49" t="str">
        <f t="shared" si="4"/>
        <v>BRA ALEX SANDRO - 6</v>
      </c>
      <c r="G163" s="49" t="str">
        <f t="shared" si="5"/>
        <v>BRA6</v>
      </c>
    </row>
    <row r="164" spans="1:7" ht="15" hidden="1" customHeight="1" x14ac:dyDescent="0.35">
      <c r="A164" s="49">
        <v>7</v>
      </c>
      <c r="B164" s="49" t="s">
        <v>285</v>
      </c>
      <c r="C164" s="50" t="s">
        <v>577</v>
      </c>
      <c r="D164" s="50" t="s">
        <v>578</v>
      </c>
      <c r="E164" s="49" t="s">
        <v>566</v>
      </c>
      <c r="F164" s="49" t="str">
        <f t="shared" si="4"/>
        <v>BRA VINICIUS JUNIOR - 7</v>
      </c>
      <c r="G164" s="49" t="str">
        <f t="shared" si="5"/>
        <v>BRA7</v>
      </c>
    </row>
    <row r="165" spans="1:7" ht="15" hidden="1" customHeight="1" x14ac:dyDescent="0.35">
      <c r="A165" s="49">
        <v>8</v>
      </c>
      <c r="B165" s="49" t="s">
        <v>282</v>
      </c>
      <c r="C165" s="50" t="s">
        <v>579</v>
      </c>
      <c r="D165" s="50" t="s">
        <v>580</v>
      </c>
      <c r="E165" s="49" t="s">
        <v>566</v>
      </c>
      <c r="F165" s="49" t="str">
        <f t="shared" si="4"/>
        <v>BRA GUIMARAES - 8</v>
      </c>
      <c r="G165" s="49" t="str">
        <f t="shared" si="5"/>
        <v>BRA8</v>
      </c>
    </row>
    <row r="166" spans="1:7" ht="15" hidden="1" customHeight="1" x14ac:dyDescent="0.35">
      <c r="A166" s="49">
        <v>9</v>
      </c>
      <c r="B166" s="49" t="s">
        <v>285</v>
      </c>
      <c r="C166" s="50" t="s">
        <v>581</v>
      </c>
      <c r="D166" s="50" t="s">
        <v>582</v>
      </c>
      <c r="E166" s="49" t="s">
        <v>566</v>
      </c>
      <c r="F166" s="49" t="str">
        <f t="shared" si="4"/>
        <v>BRA CUNHA - 9</v>
      </c>
      <c r="G166" s="49" t="str">
        <f t="shared" si="5"/>
        <v>BRA9</v>
      </c>
    </row>
    <row r="167" spans="1:7" ht="15" hidden="1" customHeight="1" x14ac:dyDescent="0.35">
      <c r="A167" s="49">
        <v>10</v>
      </c>
      <c r="B167" s="49" t="s">
        <v>285</v>
      </c>
      <c r="C167" s="50" t="s">
        <v>583</v>
      </c>
      <c r="D167" s="50" t="s">
        <v>584</v>
      </c>
      <c r="E167" s="49" t="s">
        <v>566</v>
      </c>
      <c r="F167" s="49" t="str">
        <f t="shared" si="4"/>
        <v>BRA NEYMAR JR - 10</v>
      </c>
      <c r="G167" s="49" t="str">
        <f t="shared" si="5"/>
        <v>BRA10</v>
      </c>
    </row>
    <row r="168" spans="1:7" ht="15" hidden="1" customHeight="1" x14ac:dyDescent="0.35">
      <c r="A168" s="49">
        <v>11</v>
      </c>
      <c r="B168" s="49" t="s">
        <v>285</v>
      </c>
      <c r="C168" s="50" t="s">
        <v>585</v>
      </c>
      <c r="D168" s="50" t="s">
        <v>586</v>
      </c>
      <c r="E168" s="49" t="s">
        <v>566</v>
      </c>
      <c r="F168" s="49" t="str">
        <f t="shared" si="4"/>
        <v>BRA RAPHINHA - 11</v>
      </c>
      <c r="G168" s="49" t="str">
        <f t="shared" si="5"/>
        <v>BRA11</v>
      </c>
    </row>
    <row r="169" spans="1:7" ht="15" hidden="1" customHeight="1" x14ac:dyDescent="0.35">
      <c r="A169" s="49">
        <v>12</v>
      </c>
      <c r="B169" s="49" t="s">
        <v>269</v>
      </c>
      <c r="C169" s="50" t="s">
        <v>587</v>
      </c>
      <c r="D169" s="50" t="s">
        <v>588</v>
      </c>
      <c r="E169" s="49" t="s">
        <v>566</v>
      </c>
      <c r="F169" s="49" t="str">
        <f t="shared" si="4"/>
        <v>BRA (GK) WEVERTON - 12</v>
      </c>
      <c r="G169" s="49" t="str">
        <f t="shared" si="5"/>
        <v>BRA12</v>
      </c>
    </row>
    <row r="170" spans="1:7" ht="15" hidden="1" customHeight="1" x14ac:dyDescent="0.35">
      <c r="A170" s="49">
        <v>13</v>
      </c>
      <c r="B170" s="49" t="s">
        <v>273</v>
      </c>
      <c r="C170" s="50" t="s">
        <v>589</v>
      </c>
      <c r="D170" s="50" t="s">
        <v>590</v>
      </c>
      <c r="E170" s="49" t="s">
        <v>566</v>
      </c>
      <c r="F170" s="49" t="str">
        <f t="shared" si="4"/>
        <v>BRA DANILO - 13</v>
      </c>
      <c r="G170" s="49" t="str">
        <f t="shared" si="5"/>
        <v>BRA13</v>
      </c>
    </row>
    <row r="171" spans="1:7" ht="15" hidden="1" customHeight="1" x14ac:dyDescent="0.35">
      <c r="A171" s="49">
        <v>14</v>
      </c>
      <c r="B171" s="49" t="s">
        <v>273</v>
      </c>
      <c r="C171" s="50" t="s">
        <v>591</v>
      </c>
      <c r="D171" s="50" t="s">
        <v>592</v>
      </c>
      <c r="E171" s="49" t="s">
        <v>566</v>
      </c>
      <c r="F171" s="49" t="str">
        <f t="shared" si="4"/>
        <v>BRA BREMER - 14</v>
      </c>
      <c r="G171" s="49" t="str">
        <f t="shared" si="5"/>
        <v>BRA14</v>
      </c>
    </row>
    <row r="172" spans="1:7" ht="15" hidden="1" customHeight="1" x14ac:dyDescent="0.35">
      <c r="A172" s="49">
        <v>15</v>
      </c>
      <c r="B172" s="49" t="s">
        <v>273</v>
      </c>
      <c r="C172" s="50" t="s">
        <v>593</v>
      </c>
      <c r="D172" s="50" t="s">
        <v>594</v>
      </c>
      <c r="E172" s="49" t="s">
        <v>566</v>
      </c>
      <c r="F172" s="49" t="str">
        <f t="shared" si="4"/>
        <v>BRA LEO PEREIRA - 15</v>
      </c>
      <c r="G172" s="49" t="str">
        <f t="shared" si="5"/>
        <v>BRA15</v>
      </c>
    </row>
    <row r="173" spans="1:7" ht="15" hidden="1" customHeight="1" x14ac:dyDescent="0.35">
      <c r="A173" s="49">
        <v>16</v>
      </c>
      <c r="B173" s="49" t="s">
        <v>273</v>
      </c>
      <c r="C173" s="50" t="s">
        <v>595</v>
      </c>
      <c r="D173" s="50" t="s">
        <v>596</v>
      </c>
      <c r="E173" s="49" t="s">
        <v>566</v>
      </c>
      <c r="F173" s="49" t="str">
        <f t="shared" si="4"/>
        <v>BRA DOUGLAS SANTOS - 16</v>
      </c>
      <c r="G173" s="49" t="str">
        <f t="shared" si="5"/>
        <v>BRA16</v>
      </c>
    </row>
    <row r="174" spans="1:7" ht="15" hidden="1" customHeight="1" x14ac:dyDescent="0.35">
      <c r="A174" s="49">
        <v>17</v>
      </c>
      <c r="B174" s="49" t="s">
        <v>282</v>
      </c>
      <c r="C174" s="50" t="s">
        <v>597</v>
      </c>
      <c r="D174" s="50" t="s">
        <v>598</v>
      </c>
      <c r="E174" s="49" t="s">
        <v>566</v>
      </c>
      <c r="F174" s="49" t="str">
        <f t="shared" si="4"/>
        <v>BRA FABINHO - 17</v>
      </c>
      <c r="G174" s="49" t="str">
        <f t="shared" si="5"/>
        <v>BRA17</v>
      </c>
    </row>
    <row r="175" spans="1:7" ht="15" hidden="1" customHeight="1" x14ac:dyDescent="0.35">
      <c r="A175" s="49">
        <v>18</v>
      </c>
      <c r="B175" s="49" t="s">
        <v>282</v>
      </c>
      <c r="C175" s="50" t="s">
        <v>599</v>
      </c>
      <c r="D175" s="50" t="s">
        <v>600</v>
      </c>
      <c r="E175" s="49" t="s">
        <v>566</v>
      </c>
      <c r="F175" s="49" t="str">
        <f t="shared" si="4"/>
        <v>BRA DANILO SANTOS - 18</v>
      </c>
      <c r="G175" s="49" t="str">
        <f t="shared" si="5"/>
        <v>BRA18</v>
      </c>
    </row>
    <row r="176" spans="1:7" ht="15" hidden="1" customHeight="1" x14ac:dyDescent="0.35">
      <c r="A176" s="49">
        <v>19</v>
      </c>
      <c r="B176" s="49" t="s">
        <v>285</v>
      </c>
      <c r="C176" s="50" t="s">
        <v>601</v>
      </c>
      <c r="D176" s="50" t="s">
        <v>602</v>
      </c>
      <c r="E176" s="49" t="s">
        <v>566</v>
      </c>
      <c r="F176" s="49" t="str">
        <f t="shared" si="4"/>
        <v>BRA ENDRICK - 19</v>
      </c>
      <c r="G176" s="49" t="str">
        <f t="shared" si="5"/>
        <v>BRA19</v>
      </c>
    </row>
    <row r="177" spans="1:7" ht="15" hidden="1" customHeight="1" x14ac:dyDescent="0.35">
      <c r="A177" s="49">
        <v>20</v>
      </c>
      <c r="B177" s="49" t="s">
        <v>282</v>
      </c>
      <c r="C177" s="50" t="s">
        <v>603</v>
      </c>
      <c r="D177" s="50" t="s">
        <v>604</v>
      </c>
      <c r="E177" s="49" t="s">
        <v>566</v>
      </c>
      <c r="F177" s="49" t="str">
        <f t="shared" si="4"/>
        <v>BRA LUCAS PAQUETA - 20</v>
      </c>
      <c r="G177" s="49" t="str">
        <f t="shared" si="5"/>
        <v>BRA20</v>
      </c>
    </row>
    <row r="178" spans="1:7" ht="15" hidden="1" customHeight="1" x14ac:dyDescent="0.35">
      <c r="A178" s="49">
        <v>21</v>
      </c>
      <c r="B178" s="49" t="s">
        <v>285</v>
      </c>
      <c r="C178" s="50" t="s">
        <v>605</v>
      </c>
      <c r="D178" s="50" t="s">
        <v>606</v>
      </c>
      <c r="E178" s="49" t="s">
        <v>566</v>
      </c>
      <c r="F178" s="49" t="str">
        <f t="shared" si="4"/>
        <v>BRA LUIZ HENRIQUE - 21</v>
      </c>
      <c r="G178" s="49" t="str">
        <f t="shared" si="5"/>
        <v>BRA21</v>
      </c>
    </row>
    <row r="179" spans="1:7" ht="15" hidden="1" customHeight="1" x14ac:dyDescent="0.35">
      <c r="A179" s="49">
        <v>22</v>
      </c>
      <c r="B179" s="49" t="s">
        <v>285</v>
      </c>
      <c r="C179" s="50" t="s">
        <v>607</v>
      </c>
      <c r="D179" s="50" t="s">
        <v>608</v>
      </c>
      <c r="E179" s="49" t="s">
        <v>566</v>
      </c>
      <c r="F179" s="49" t="str">
        <f t="shared" si="4"/>
        <v>BRA GABRIEL MARTINELLI - 22</v>
      </c>
      <c r="G179" s="49" t="str">
        <f t="shared" si="5"/>
        <v>BRA22</v>
      </c>
    </row>
    <row r="180" spans="1:7" ht="15" hidden="1" customHeight="1" x14ac:dyDescent="0.35">
      <c r="A180" s="49">
        <v>23</v>
      </c>
      <c r="B180" s="49" t="s">
        <v>269</v>
      </c>
      <c r="C180" s="50" t="s">
        <v>609</v>
      </c>
      <c r="D180" s="50" t="s">
        <v>610</v>
      </c>
      <c r="E180" s="49" t="s">
        <v>566</v>
      </c>
      <c r="F180" s="49" t="str">
        <f t="shared" si="4"/>
        <v>BRA (GK) EDERSON - 23</v>
      </c>
      <c r="G180" s="49" t="str">
        <f t="shared" si="5"/>
        <v>BRA23</v>
      </c>
    </row>
    <row r="181" spans="1:7" ht="15" hidden="1" customHeight="1" x14ac:dyDescent="0.35">
      <c r="A181" s="49">
        <v>24</v>
      </c>
      <c r="B181" s="49" t="s">
        <v>273</v>
      </c>
      <c r="C181" s="50" t="s">
        <v>611</v>
      </c>
      <c r="D181" s="50" t="s">
        <v>612</v>
      </c>
      <c r="E181" s="49" t="s">
        <v>566</v>
      </c>
      <c r="F181" s="49" t="str">
        <f t="shared" si="4"/>
        <v>BRA ROGER IBANEZ - 24</v>
      </c>
      <c r="G181" s="49" t="str">
        <f t="shared" si="5"/>
        <v>BRA24</v>
      </c>
    </row>
    <row r="182" spans="1:7" ht="15" hidden="1" customHeight="1" x14ac:dyDescent="0.35">
      <c r="A182" s="49">
        <v>25</v>
      </c>
      <c r="B182" s="49" t="s">
        <v>285</v>
      </c>
      <c r="C182" s="50" t="s">
        <v>613</v>
      </c>
      <c r="D182" s="50" t="s">
        <v>614</v>
      </c>
      <c r="E182" s="49" t="s">
        <v>566</v>
      </c>
      <c r="F182" s="49" t="str">
        <f t="shared" si="4"/>
        <v>BRA IGOR THIAGO - 25</v>
      </c>
      <c r="G182" s="49" t="str">
        <f t="shared" si="5"/>
        <v>BRA25</v>
      </c>
    </row>
    <row r="183" spans="1:7" ht="15" hidden="1" customHeight="1" x14ac:dyDescent="0.35">
      <c r="A183" s="49">
        <v>26</v>
      </c>
      <c r="B183" s="49" t="s">
        <v>285</v>
      </c>
      <c r="C183" s="50" t="s">
        <v>302</v>
      </c>
      <c r="D183" s="50" t="s">
        <v>615</v>
      </c>
      <c r="E183" s="49" t="s">
        <v>566</v>
      </c>
      <c r="F183" s="49" t="str">
        <f t="shared" si="4"/>
        <v>BRA RAYAN - 26</v>
      </c>
      <c r="G183" s="49" t="str">
        <f t="shared" si="5"/>
        <v>BRA26</v>
      </c>
    </row>
    <row r="184" spans="1:7" ht="15" hidden="1" customHeight="1" x14ac:dyDescent="0.35">
      <c r="A184" s="51">
        <v>1</v>
      </c>
      <c r="B184" s="51" t="s">
        <v>269</v>
      </c>
      <c r="C184" s="52" t="s">
        <v>616</v>
      </c>
      <c r="D184" s="52" t="s">
        <v>617</v>
      </c>
      <c r="E184" s="51" t="s">
        <v>618</v>
      </c>
      <c r="F184" s="51" t="str">
        <f t="shared" si="4"/>
        <v>CPV (GK) VOZINHA - 1</v>
      </c>
      <c r="G184" s="51" t="str">
        <f t="shared" si="5"/>
        <v>CPV1</v>
      </c>
    </row>
    <row r="185" spans="1:7" ht="15" hidden="1" customHeight="1" x14ac:dyDescent="0.35">
      <c r="A185" s="51">
        <v>2</v>
      </c>
      <c r="B185" s="51" t="s">
        <v>273</v>
      </c>
      <c r="C185" s="52" t="s">
        <v>619</v>
      </c>
      <c r="D185" s="52" t="s">
        <v>620</v>
      </c>
      <c r="E185" s="51" t="s">
        <v>618</v>
      </c>
      <c r="F185" s="51" t="str">
        <f t="shared" si="4"/>
        <v>CPV STOPIRA - 2</v>
      </c>
      <c r="G185" s="51" t="str">
        <f t="shared" si="5"/>
        <v>CPV2</v>
      </c>
    </row>
    <row r="186" spans="1:7" ht="15" hidden="1" customHeight="1" x14ac:dyDescent="0.35">
      <c r="A186" s="51">
        <v>3</v>
      </c>
      <c r="B186" s="51" t="s">
        <v>273</v>
      </c>
      <c r="C186" s="52" t="s">
        <v>621</v>
      </c>
      <c r="D186" s="52" t="s">
        <v>622</v>
      </c>
      <c r="E186" s="51" t="s">
        <v>618</v>
      </c>
      <c r="F186" s="51" t="str">
        <f t="shared" si="4"/>
        <v>CPV DINEY BORGES - 3</v>
      </c>
      <c r="G186" s="51" t="str">
        <f t="shared" si="5"/>
        <v>CPV3</v>
      </c>
    </row>
    <row r="187" spans="1:7" ht="15" hidden="1" customHeight="1" x14ac:dyDescent="0.35">
      <c r="A187" s="51">
        <v>4</v>
      </c>
      <c r="B187" s="51" t="s">
        <v>273</v>
      </c>
      <c r="C187" s="52" t="s">
        <v>623</v>
      </c>
      <c r="D187" s="52" t="s">
        <v>624</v>
      </c>
      <c r="E187" s="51" t="s">
        <v>618</v>
      </c>
      <c r="F187" s="51" t="str">
        <f t="shared" si="4"/>
        <v>CPV PICO LOPES - 4</v>
      </c>
      <c r="G187" s="51" t="str">
        <f t="shared" si="5"/>
        <v>CPV4</v>
      </c>
    </row>
    <row r="188" spans="1:7" ht="15" hidden="1" customHeight="1" x14ac:dyDescent="0.35">
      <c r="A188" s="51">
        <v>5</v>
      </c>
      <c r="B188" s="51" t="s">
        <v>273</v>
      </c>
      <c r="C188" s="52" t="s">
        <v>625</v>
      </c>
      <c r="D188" s="52" t="s">
        <v>626</v>
      </c>
      <c r="E188" s="51" t="s">
        <v>618</v>
      </c>
      <c r="F188" s="51" t="str">
        <f t="shared" si="4"/>
        <v>CPV LOGAN COSTA - 5</v>
      </c>
      <c r="G188" s="51" t="str">
        <f t="shared" si="5"/>
        <v>CPV5</v>
      </c>
    </row>
    <row r="189" spans="1:7" ht="15" hidden="1" customHeight="1" x14ac:dyDescent="0.35">
      <c r="A189" s="51">
        <v>6</v>
      </c>
      <c r="B189" s="51" t="s">
        <v>282</v>
      </c>
      <c r="C189" s="52" t="s">
        <v>427</v>
      </c>
      <c r="D189" s="52" t="s">
        <v>627</v>
      </c>
      <c r="E189" s="51" t="s">
        <v>618</v>
      </c>
      <c r="F189" s="51" t="str">
        <f t="shared" si="4"/>
        <v>CPV KEVIN PINA - 6</v>
      </c>
      <c r="G189" s="51" t="str">
        <f t="shared" si="5"/>
        <v>CPV6</v>
      </c>
    </row>
    <row r="190" spans="1:7" ht="15" hidden="1" customHeight="1" x14ac:dyDescent="0.35">
      <c r="A190" s="51">
        <v>7</v>
      </c>
      <c r="B190" s="51" t="s">
        <v>282</v>
      </c>
      <c r="C190" s="52" t="s">
        <v>628</v>
      </c>
      <c r="D190" s="52" t="s">
        <v>629</v>
      </c>
      <c r="E190" s="51" t="s">
        <v>618</v>
      </c>
      <c r="F190" s="51" t="str">
        <f t="shared" si="4"/>
        <v>CPV JOVANE CABRAL - 7</v>
      </c>
      <c r="G190" s="51" t="str">
        <f t="shared" si="5"/>
        <v>CPV7</v>
      </c>
    </row>
    <row r="191" spans="1:7" ht="15" hidden="1" customHeight="1" x14ac:dyDescent="0.35">
      <c r="A191" s="51">
        <v>8</v>
      </c>
      <c r="B191" s="51" t="s">
        <v>282</v>
      </c>
      <c r="C191" s="52" t="s">
        <v>630</v>
      </c>
      <c r="D191" s="52" t="s">
        <v>631</v>
      </c>
      <c r="E191" s="51" t="s">
        <v>618</v>
      </c>
      <c r="F191" s="51" t="str">
        <f t="shared" si="4"/>
        <v>CPV JOAO PAULO - 8</v>
      </c>
      <c r="G191" s="51" t="str">
        <f t="shared" si="5"/>
        <v>CPV8</v>
      </c>
    </row>
    <row r="192" spans="1:7" ht="15" hidden="1" customHeight="1" x14ac:dyDescent="0.35">
      <c r="A192" s="51">
        <v>9</v>
      </c>
      <c r="B192" s="51" t="s">
        <v>285</v>
      </c>
      <c r="C192" s="52" t="s">
        <v>632</v>
      </c>
      <c r="D192" s="52" t="s">
        <v>633</v>
      </c>
      <c r="E192" s="51" t="s">
        <v>618</v>
      </c>
      <c r="F192" s="51" t="str">
        <f t="shared" si="4"/>
        <v>CPV GILSON BENCHIMOL - 9</v>
      </c>
      <c r="G192" s="51" t="str">
        <f t="shared" si="5"/>
        <v>CPV9</v>
      </c>
    </row>
    <row r="193" spans="1:7" ht="15" hidden="1" customHeight="1" x14ac:dyDescent="0.35">
      <c r="A193" s="51">
        <v>10</v>
      </c>
      <c r="B193" s="51" t="s">
        <v>282</v>
      </c>
      <c r="C193" s="52" t="s">
        <v>634</v>
      </c>
      <c r="D193" s="52" t="s">
        <v>635</v>
      </c>
      <c r="E193" s="51" t="s">
        <v>618</v>
      </c>
      <c r="F193" s="51" t="str">
        <f t="shared" si="4"/>
        <v>CPV JAMIRO MONTEIRO - 10</v>
      </c>
      <c r="G193" s="51" t="str">
        <f t="shared" si="5"/>
        <v>CPV10</v>
      </c>
    </row>
    <row r="194" spans="1:7" ht="15" hidden="1" customHeight="1" x14ac:dyDescent="0.35">
      <c r="A194" s="51">
        <v>11</v>
      </c>
      <c r="B194" s="51" t="s">
        <v>282</v>
      </c>
      <c r="C194" s="52" t="s">
        <v>636</v>
      </c>
      <c r="D194" s="52" t="s">
        <v>637</v>
      </c>
      <c r="E194" s="51" t="s">
        <v>618</v>
      </c>
      <c r="F194" s="51" t="str">
        <f t="shared" si="4"/>
        <v>CPV GARRY RODRIGUES - 11</v>
      </c>
      <c r="G194" s="51" t="str">
        <f t="shared" si="5"/>
        <v>CPV11</v>
      </c>
    </row>
    <row r="195" spans="1:7" ht="15" hidden="1" customHeight="1" x14ac:dyDescent="0.35">
      <c r="A195" s="51">
        <v>12</v>
      </c>
      <c r="B195" s="51" t="s">
        <v>269</v>
      </c>
      <c r="C195" s="52" t="s">
        <v>638</v>
      </c>
      <c r="D195" s="52" t="s">
        <v>639</v>
      </c>
      <c r="E195" s="51" t="s">
        <v>618</v>
      </c>
      <c r="F195" s="51" t="str">
        <f t="shared" ref="F195:F258" si="6">IF(B195="GK", _xlfn.CONCAT(E195, " ","(",B195, ") ",D195, " - ", A195),  _xlfn.CONCAT(E195, " ",D195, " - ", A195))</f>
        <v>CPV (GK) MARCIO ROSA - 12</v>
      </c>
      <c r="G195" s="51" t="str">
        <f t="shared" ref="G195:G258" si="7">_xlfn.CONCAT(E195,A195)</f>
        <v>CPV12</v>
      </c>
    </row>
    <row r="196" spans="1:7" ht="15" hidden="1" customHeight="1" x14ac:dyDescent="0.35">
      <c r="A196" s="51">
        <v>13</v>
      </c>
      <c r="B196" s="51" t="s">
        <v>273</v>
      </c>
      <c r="C196" s="52" t="s">
        <v>640</v>
      </c>
      <c r="D196" s="52" t="s">
        <v>641</v>
      </c>
      <c r="E196" s="51" t="s">
        <v>618</v>
      </c>
      <c r="F196" s="51" t="str">
        <f t="shared" si="6"/>
        <v>CPV SIDNY LOPES CABRAL - 13</v>
      </c>
      <c r="G196" s="51" t="str">
        <f t="shared" si="7"/>
        <v>CPV13</v>
      </c>
    </row>
    <row r="197" spans="1:7" ht="15" hidden="1" customHeight="1" x14ac:dyDescent="0.35">
      <c r="A197" s="51">
        <v>14</v>
      </c>
      <c r="B197" s="51" t="s">
        <v>282</v>
      </c>
      <c r="C197" s="52" t="s">
        <v>642</v>
      </c>
      <c r="D197" s="52" t="s">
        <v>643</v>
      </c>
      <c r="E197" s="51" t="s">
        <v>618</v>
      </c>
      <c r="F197" s="51" t="str">
        <f t="shared" si="6"/>
        <v>CPV DEROY DUARTE - 14</v>
      </c>
      <c r="G197" s="51" t="str">
        <f t="shared" si="7"/>
        <v>CPV14</v>
      </c>
    </row>
    <row r="198" spans="1:7" ht="15" hidden="1" customHeight="1" x14ac:dyDescent="0.35">
      <c r="A198" s="51">
        <v>15</v>
      </c>
      <c r="B198" s="51" t="s">
        <v>282</v>
      </c>
      <c r="C198" s="52" t="s">
        <v>644</v>
      </c>
      <c r="D198" s="52" t="s">
        <v>645</v>
      </c>
      <c r="E198" s="51" t="s">
        <v>618</v>
      </c>
      <c r="F198" s="51" t="str">
        <f t="shared" si="6"/>
        <v>CPV LAROS DUARTE - 15</v>
      </c>
      <c r="G198" s="51" t="str">
        <f t="shared" si="7"/>
        <v>CPV15</v>
      </c>
    </row>
    <row r="199" spans="1:7" ht="15" hidden="1" customHeight="1" x14ac:dyDescent="0.35">
      <c r="A199" s="51">
        <v>16</v>
      </c>
      <c r="B199" s="51" t="s">
        <v>282</v>
      </c>
      <c r="C199" s="52" t="s">
        <v>646</v>
      </c>
      <c r="D199" s="52" t="s">
        <v>647</v>
      </c>
      <c r="E199" s="51" t="s">
        <v>618</v>
      </c>
      <c r="F199" s="51" t="str">
        <f t="shared" si="6"/>
        <v>CPV YANNICK SEMEDO - 16</v>
      </c>
      <c r="G199" s="51" t="str">
        <f t="shared" si="7"/>
        <v>CPV16</v>
      </c>
    </row>
    <row r="200" spans="1:7" ht="15" hidden="1" customHeight="1" x14ac:dyDescent="0.35">
      <c r="A200" s="51">
        <v>17</v>
      </c>
      <c r="B200" s="51" t="s">
        <v>282</v>
      </c>
      <c r="C200" s="52" t="s">
        <v>648</v>
      </c>
      <c r="D200" s="52" t="s">
        <v>649</v>
      </c>
      <c r="E200" s="51" t="s">
        <v>618</v>
      </c>
      <c r="F200" s="51" t="str">
        <f t="shared" si="6"/>
        <v>CPV WILLY SEMEDO - 17</v>
      </c>
      <c r="G200" s="51" t="str">
        <f t="shared" si="7"/>
        <v>CPV17</v>
      </c>
    </row>
    <row r="201" spans="1:7" ht="15" hidden="1" customHeight="1" x14ac:dyDescent="0.35">
      <c r="A201" s="51">
        <v>18</v>
      </c>
      <c r="B201" s="51" t="s">
        <v>282</v>
      </c>
      <c r="C201" s="52" t="s">
        <v>650</v>
      </c>
      <c r="D201" s="52" t="s">
        <v>651</v>
      </c>
      <c r="E201" s="51" t="s">
        <v>618</v>
      </c>
      <c r="F201" s="51" t="str">
        <f t="shared" si="6"/>
        <v>CPV TELMO ARCANJO - 18</v>
      </c>
      <c r="G201" s="51" t="str">
        <f t="shared" si="7"/>
        <v>CPV18</v>
      </c>
    </row>
    <row r="202" spans="1:7" ht="15" hidden="1" customHeight="1" x14ac:dyDescent="0.35">
      <c r="A202" s="51">
        <v>19</v>
      </c>
      <c r="B202" s="51" t="s">
        <v>285</v>
      </c>
      <c r="C202" s="52" t="s">
        <v>652</v>
      </c>
      <c r="D202" s="52" t="s">
        <v>653</v>
      </c>
      <c r="E202" s="51" t="s">
        <v>618</v>
      </c>
      <c r="F202" s="51" t="str">
        <f t="shared" si="6"/>
        <v>CPV DAILON LIVRAMENTO - 19</v>
      </c>
      <c r="G202" s="51" t="str">
        <f t="shared" si="7"/>
        <v>CPV19</v>
      </c>
    </row>
    <row r="203" spans="1:7" ht="15" hidden="1" customHeight="1" x14ac:dyDescent="0.35">
      <c r="A203" s="51">
        <v>20</v>
      </c>
      <c r="B203" s="51" t="s">
        <v>285</v>
      </c>
      <c r="C203" s="52" t="s">
        <v>654</v>
      </c>
      <c r="D203" s="52" t="s">
        <v>655</v>
      </c>
      <c r="E203" s="51" t="s">
        <v>618</v>
      </c>
      <c r="F203" s="51" t="str">
        <f t="shared" si="6"/>
        <v>CPV RYAN MENDES - 20</v>
      </c>
      <c r="G203" s="51" t="str">
        <f t="shared" si="7"/>
        <v>CPV20</v>
      </c>
    </row>
    <row r="204" spans="1:7" ht="15" hidden="1" customHeight="1" x14ac:dyDescent="0.35">
      <c r="A204" s="51">
        <v>21</v>
      </c>
      <c r="B204" s="51" t="s">
        <v>282</v>
      </c>
      <c r="C204" s="52" t="s">
        <v>656</v>
      </c>
      <c r="D204" s="52" t="s">
        <v>657</v>
      </c>
      <c r="E204" s="51" t="s">
        <v>618</v>
      </c>
      <c r="F204" s="51" t="str">
        <f t="shared" si="6"/>
        <v>CPV NUNO DA COSTA - 21</v>
      </c>
      <c r="G204" s="51" t="str">
        <f t="shared" si="7"/>
        <v>CPV21</v>
      </c>
    </row>
    <row r="205" spans="1:7" ht="15" hidden="1" customHeight="1" x14ac:dyDescent="0.35">
      <c r="A205" s="51">
        <v>22</v>
      </c>
      <c r="B205" s="51" t="s">
        <v>273</v>
      </c>
      <c r="C205" s="52" t="s">
        <v>658</v>
      </c>
      <c r="D205" s="52" t="s">
        <v>659</v>
      </c>
      <c r="E205" s="51" t="s">
        <v>618</v>
      </c>
      <c r="F205" s="51" t="str">
        <f t="shared" si="6"/>
        <v>CPV STEVEN MOREIRA - 22</v>
      </c>
      <c r="G205" s="51" t="str">
        <f t="shared" si="7"/>
        <v>CPV22</v>
      </c>
    </row>
    <row r="206" spans="1:7" ht="15" hidden="1" customHeight="1" x14ac:dyDescent="0.35">
      <c r="A206" s="51">
        <v>23</v>
      </c>
      <c r="B206" s="51" t="s">
        <v>269</v>
      </c>
      <c r="C206" s="52" t="s">
        <v>660</v>
      </c>
      <c r="D206" s="52" t="s">
        <v>661</v>
      </c>
      <c r="E206" s="51" t="s">
        <v>618</v>
      </c>
      <c r="F206" s="51" t="str">
        <f t="shared" si="6"/>
        <v>CPV (GK) CJ DOS SANTOS - 23</v>
      </c>
      <c r="G206" s="51" t="str">
        <f t="shared" si="7"/>
        <v>CPV23</v>
      </c>
    </row>
    <row r="207" spans="1:7" ht="15" hidden="1" customHeight="1" x14ac:dyDescent="0.35">
      <c r="A207" s="51">
        <v>24</v>
      </c>
      <c r="B207" s="51" t="s">
        <v>273</v>
      </c>
      <c r="C207" s="52" t="s">
        <v>662</v>
      </c>
      <c r="D207" s="52" t="s">
        <v>663</v>
      </c>
      <c r="E207" s="51" t="s">
        <v>618</v>
      </c>
      <c r="F207" s="51" t="str">
        <f t="shared" si="6"/>
        <v>CPV WAGNER PINA - 24</v>
      </c>
      <c r="G207" s="51" t="str">
        <f t="shared" si="7"/>
        <v>CPV24</v>
      </c>
    </row>
    <row r="208" spans="1:7" ht="15" hidden="1" customHeight="1" x14ac:dyDescent="0.35">
      <c r="A208" s="51">
        <v>25</v>
      </c>
      <c r="B208" s="51" t="s">
        <v>273</v>
      </c>
      <c r="C208" s="52" t="s">
        <v>664</v>
      </c>
      <c r="D208" s="52" t="s">
        <v>665</v>
      </c>
      <c r="E208" s="51" t="s">
        <v>618</v>
      </c>
      <c r="F208" s="51" t="str">
        <f t="shared" si="6"/>
        <v>CPV KELVIN PIRES - 25</v>
      </c>
      <c r="G208" s="51" t="str">
        <f t="shared" si="7"/>
        <v>CPV25</v>
      </c>
    </row>
    <row r="209" spans="1:7" ht="15" hidden="1" customHeight="1" x14ac:dyDescent="0.35">
      <c r="A209" s="51">
        <v>26</v>
      </c>
      <c r="B209" s="51" t="s">
        <v>282</v>
      </c>
      <c r="C209" s="52" t="s">
        <v>666</v>
      </c>
      <c r="D209" s="52" t="s">
        <v>667</v>
      </c>
      <c r="E209" s="51" t="s">
        <v>618</v>
      </c>
      <c r="F209" s="51" t="str">
        <f t="shared" si="6"/>
        <v>CPV HELIO VARELA - 26</v>
      </c>
      <c r="G209" s="51" t="str">
        <f t="shared" si="7"/>
        <v>CPV26</v>
      </c>
    </row>
    <row r="210" spans="1:7" ht="15" customHeight="1" x14ac:dyDescent="0.35">
      <c r="A210" s="53">
        <v>1</v>
      </c>
      <c r="B210" s="53" t="s">
        <v>269</v>
      </c>
      <c r="C210" s="54" t="s">
        <v>668</v>
      </c>
      <c r="D210" s="54" t="s">
        <v>669</v>
      </c>
      <c r="E210" s="53" t="s">
        <v>670</v>
      </c>
      <c r="F210" s="53" t="str">
        <f t="shared" si="6"/>
        <v>CAN (GK) ST. CLAIR - 1</v>
      </c>
      <c r="G210" s="53" t="str">
        <f t="shared" si="7"/>
        <v>CAN1</v>
      </c>
    </row>
    <row r="211" spans="1:7" ht="15" customHeight="1" x14ac:dyDescent="0.35">
      <c r="A211" s="53">
        <v>2</v>
      </c>
      <c r="B211" s="53" t="s">
        <v>273</v>
      </c>
      <c r="C211" s="54" t="s">
        <v>671</v>
      </c>
      <c r="D211" s="54" t="s">
        <v>672</v>
      </c>
      <c r="E211" s="53" t="s">
        <v>670</v>
      </c>
      <c r="F211" s="53" t="str">
        <f t="shared" si="6"/>
        <v>CAN JOHNSTON - 2</v>
      </c>
      <c r="G211" s="53" t="str">
        <f t="shared" si="7"/>
        <v>CAN2</v>
      </c>
    </row>
    <row r="212" spans="1:7" ht="15" customHeight="1" x14ac:dyDescent="0.35">
      <c r="A212" s="53">
        <v>3</v>
      </c>
      <c r="B212" s="53" t="s">
        <v>273</v>
      </c>
      <c r="C212" s="54" t="s">
        <v>673</v>
      </c>
      <c r="D212" s="54" t="s">
        <v>674</v>
      </c>
      <c r="E212" s="53" t="s">
        <v>670</v>
      </c>
      <c r="F212" s="53" t="str">
        <f t="shared" si="6"/>
        <v>CAN JONES - 3</v>
      </c>
      <c r="G212" s="53" t="str">
        <f t="shared" si="7"/>
        <v>CAN3</v>
      </c>
    </row>
    <row r="213" spans="1:7" ht="15" customHeight="1" x14ac:dyDescent="0.35">
      <c r="A213" s="53">
        <v>4</v>
      </c>
      <c r="B213" s="53" t="s">
        <v>273</v>
      </c>
      <c r="C213" s="54" t="s">
        <v>675</v>
      </c>
      <c r="D213" s="54" t="s">
        <v>676</v>
      </c>
      <c r="E213" s="53" t="s">
        <v>670</v>
      </c>
      <c r="F213" s="53" t="str">
        <f t="shared" si="6"/>
        <v>CAN DE FOUGEROLLES - 4</v>
      </c>
      <c r="G213" s="53" t="str">
        <f t="shared" si="7"/>
        <v>CAN4</v>
      </c>
    </row>
    <row r="214" spans="1:7" ht="15" customHeight="1" x14ac:dyDescent="0.35">
      <c r="A214" s="53">
        <v>5</v>
      </c>
      <c r="B214" s="53" t="s">
        <v>273</v>
      </c>
      <c r="C214" s="54" t="s">
        <v>677</v>
      </c>
      <c r="D214" s="54" t="s">
        <v>678</v>
      </c>
      <c r="E214" s="53" t="s">
        <v>670</v>
      </c>
      <c r="F214" s="53" t="str">
        <f t="shared" si="6"/>
        <v>CAN WATERMAN - 5</v>
      </c>
      <c r="G214" s="53" t="str">
        <f t="shared" si="7"/>
        <v>CAN5</v>
      </c>
    </row>
    <row r="215" spans="1:7" ht="15" customHeight="1" x14ac:dyDescent="0.35">
      <c r="A215" s="53">
        <v>6</v>
      </c>
      <c r="B215" s="53" t="s">
        <v>282</v>
      </c>
      <c r="C215" s="54" t="s">
        <v>679</v>
      </c>
      <c r="D215" s="54" t="s">
        <v>680</v>
      </c>
      <c r="E215" s="53" t="s">
        <v>670</v>
      </c>
      <c r="F215" s="53" t="str">
        <f t="shared" si="6"/>
        <v>CAN CHOINIERE - 6</v>
      </c>
      <c r="G215" s="53" t="str">
        <f t="shared" si="7"/>
        <v>CAN6</v>
      </c>
    </row>
    <row r="216" spans="1:7" ht="15" customHeight="1" x14ac:dyDescent="0.35">
      <c r="A216" s="53">
        <v>7</v>
      </c>
      <c r="B216" s="53" t="s">
        <v>282</v>
      </c>
      <c r="C216" s="54" t="s">
        <v>681</v>
      </c>
      <c r="D216" s="54" t="s">
        <v>682</v>
      </c>
      <c r="E216" s="53" t="s">
        <v>670</v>
      </c>
      <c r="F216" s="53" t="str">
        <f t="shared" si="6"/>
        <v>CAN EUSTAQUIO - 7</v>
      </c>
      <c r="G216" s="53" t="str">
        <f t="shared" si="7"/>
        <v>CAN7</v>
      </c>
    </row>
    <row r="217" spans="1:7" ht="15" customHeight="1" x14ac:dyDescent="0.35">
      <c r="A217" s="53">
        <v>8</v>
      </c>
      <c r="B217" s="53" t="s">
        <v>282</v>
      </c>
      <c r="C217" s="54" t="s">
        <v>683</v>
      </c>
      <c r="D217" s="54" t="s">
        <v>684</v>
      </c>
      <c r="E217" s="53" t="s">
        <v>670</v>
      </c>
      <c r="F217" s="53" t="str">
        <f t="shared" si="6"/>
        <v>CAN KONE - 8</v>
      </c>
      <c r="G217" s="53" t="str">
        <f t="shared" si="7"/>
        <v>CAN8</v>
      </c>
    </row>
    <row r="218" spans="1:7" ht="15" customHeight="1" x14ac:dyDescent="0.35">
      <c r="A218" s="53">
        <v>9</v>
      </c>
      <c r="B218" s="53" t="s">
        <v>285</v>
      </c>
      <c r="C218" s="54" t="s">
        <v>685</v>
      </c>
      <c r="D218" s="54" t="s">
        <v>686</v>
      </c>
      <c r="E218" s="53" t="s">
        <v>670</v>
      </c>
      <c r="F218" s="53" t="str">
        <f t="shared" si="6"/>
        <v>CAN LARIN - 9</v>
      </c>
      <c r="G218" s="53" t="str">
        <f t="shared" si="7"/>
        <v>CAN9</v>
      </c>
    </row>
    <row r="219" spans="1:7" ht="15" customHeight="1" x14ac:dyDescent="0.35">
      <c r="A219" s="53">
        <v>10</v>
      </c>
      <c r="B219" s="53" t="s">
        <v>285</v>
      </c>
      <c r="C219" s="54" t="s">
        <v>687</v>
      </c>
      <c r="D219" s="54" t="s">
        <v>688</v>
      </c>
      <c r="E219" s="53" t="s">
        <v>670</v>
      </c>
      <c r="F219" s="53" t="str">
        <f t="shared" si="6"/>
        <v>CAN DAVID - 10</v>
      </c>
      <c r="G219" s="53" t="str">
        <f t="shared" si="7"/>
        <v>CAN10</v>
      </c>
    </row>
    <row r="220" spans="1:7" ht="15" customHeight="1" x14ac:dyDescent="0.35">
      <c r="A220" s="53">
        <v>11</v>
      </c>
      <c r="B220" s="53" t="s">
        <v>282</v>
      </c>
      <c r="C220" s="54" t="s">
        <v>689</v>
      </c>
      <c r="D220" s="54" t="s">
        <v>690</v>
      </c>
      <c r="E220" s="53" t="s">
        <v>670</v>
      </c>
      <c r="F220" s="53" t="str">
        <f t="shared" si="6"/>
        <v>CAN MILLAR - 11</v>
      </c>
      <c r="G220" s="53" t="str">
        <f t="shared" si="7"/>
        <v>CAN11</v>
      </c>
    </row>
    <row r="221" spans="1:7" ht="15" customHeight="1" x14ac:dyDescent="0.35">
      <c r="A221" s="53">
        <v>12</v>
      </c>
      <c r="B221" s="53" t="s">
        <v>285</v>
      </c>
      <c r="C221" s="54" t="s">
        <v>691</v>
      </c>
      <c r="D221" s="54" t="s">
        <v>692</v>
      </c>
      <c r="E221" s="53" t="s">
        <v>670</v>
      </c>
      <c r="F221" s="53" t="str">
        <f t="shared" si="6"/>
        <v>CAN OLUWASEYI - 12</v>
      </c>
      <c r="G221" s="53" t="str">
        <f t="shared" si="7"/>
        <v>CAN12</v>
      </c>
    </row>
    <row r="222" spans="1:7" ht="15" customHeight="1" x14ac:dyDescent="0.35">
      <c r="A222" s="53">
        <v>13</v>
      </c>
      <c r="B222" s="53" t="s">
        <v>273</v>
      </c>
      <c r="C222" s="54" t="s">
        <v>693</v>
      </c>
      <c r="D222" s="54" t="s">
        <v>694</v>
      </c>
      <c r="E222" s="53" t="s">
        <v>670</v>
      </c>
      <c r="F222" s="53" t="str">
        <f t="shared" si="6"/>
        <v>CAN CORNELIUS - 13</v>
      </c>
      <c r="G222" s="53" t="str">
        <f t="shared" si="7"/>
        <v>CAN13</v>
      </c>
    </row>
    <row r="223" spans="1:7" ht="15" customHeight="1" x14ac:dyDescent="0.35">
      <c r="A223" s="53">
        <v>14</v>
      </c>
      <c r="B223" s="53" t="s">
        <v>282</v>
      </c>
      <c r="C223" s="54" t="s">
        <v>381</v>
      </c>
      <c r="D223" s="54" t="s">
        <v>695</v>
      </c>
      <c r="E223" s="53" t="s">
        <v>670</v>
      </c>
      <c r="F223" s="53" t="str">
        <f t="shared" si="6"/>
        <v>CAN SHAFFELBURG - 14</v>
      </c>
      <c r="G223" s="53" t="str">
        <f t="shared" si="7"/>
        <v>CAN14</v>
      </c>
    </row>
    <row r="224" spans="1:7" ht="15" customHeight="1" x14ac:dyDescent="0.35">
      <c r="A224" s="53">
        <v>15</v>
      </c>
      <c r="B224" s="53" t="s">
        <v>273</v>
      </c>
      <c r="C224" s="54" t="s">
        <v>696</v>
      </c>
      <c r="D224" s="54" t="s">
        <v>697</v>
      </c>
      <c r="E224" s="53" t="s">
        <v>670</v>
      </c>
      <c r="F224" s="53" t="str">
        <f t="shared" si="6"/>
        <v>CAN BOMBITO - 15</v>
      </c>
      <c r="G224" s="53" t="str">
        <f t="shared" si="7"/>
        <v>CAN15</v>
      </c>
    </row>
    <row r="225" spans="1:7" ht="15" customHeight="1" x14ac:dyDescent="0.35">
      <c r="A225" s="53">
        <v>16</v>
      </c>
      <c r="B225" s="53" t="s">
        <v>269</v>
      </c>
      <c r="C225" s="54" t="s">
        <v>698</v>
      </c>
      <c r="D225" s="54" t="s">
        <v>699</v>
      </c>
      <c r="E225" s="53" t="s">
        <v>670</v>
      </c>
      <c r="F225" s="53" t="str">
        <f t="shared" si="6"/>
        <v>CAN (GK) CREPEAU - 16</v>
      </c>
      <c r="G225" s="53" t="str">
        <f t="shared" si="7"/>
        <v>CAN16</v>
      </c>
    </row>
    <row r="226" spans="1:7" ht="15" customHeight="1" x14ac:dyDescent="0.35">
      <c r="A226" s="53">
        <v>17</v>
      </c>
      <c r="B226" s="53" t="s">
        <v>285</v>
      </c>
      <c r="C226" s="54" t="s">
        <v>700</v>
      </c>
      <c r="D226" s="54" t="s">
        <v>701</v>
      </c>
      <c r="E226" s="53" t="s">
        <v>670</v>
      </c>
      <c r="F226" s="53" t="str">
        <f t="shared" si="6"/>
        <v>CAN BUCHANAN - 17</v>
      </c>
      <c r="G226" s="53" t="str">
        <f t="shared" si="7"/>
        <v>CAN17</v>
      </c>
    </row>
    <row r="227" spans="1:7" ht="15" customHeight="1" x14ac:dyDescent="0.35">
      <c r="A227" s="53">
        <v>18</v>
      </c>
      <c r="B227" s="53" t="s">
        <v>269</v>
      </c>
      <c r="C227" s="54" t="s">
        <v>702</v>
      </c>
      <c r="D227" s="54" t="s">
        <v>703</v>
      </c>
      <c r="E227" s="53" t="s">
        <v>670</v>
      </c>
      <c r="F227" s="53" t="str">
        <f t="shared" si="6"/>
        <v>CAN (GK) GOODMAN - 18</v>
      </c>
      <c r="G227" s="53" t="str">
        <f t="shared" si="7"/>
        <v>CAN18</v>
      </c>
    </row>
    <row r="228" spans="1:7" ht="15" customHeight="1" x14ac:dyDescent="0.35">
      <c r="A228" s="53">
        <v>19</v>
      </c>
      <c r="B228" s="53" t="s">
        <v>273</v>
      </c>
      <c r="C228" s="54" t="s">
        <v>704</v>
      </c>
      <c r="D228" s="54" t="s">
        <v>705</v>
      </c>
      <c r="E228" s="53" t="s">
        <v>670</v>
      </c>
      <c r="F228" s="53" t="str">
        <f t="shared" si="6"/>
        <v>CAN DAVIES - 19</v>
      </c>
      <c r="G228" s="53" t="str">
        <f t="shared" si="7"/>
        <v>CAN19</v>
      </c>
    </row>
    <row r="229" spans="1:7" ht="15" customHeight="1" x14ac:dyDescent="0.35">
      <c r="A229" s="53">
        <v>20</v>
      </c>
      <c r="B229" s="53" t="s">
        <v>285</v>
      </c>
      <c r="C229" s="54" t="s">
        <v>706</v>
      </c>
      <c r="D229" s="54" t="s">
        <v>707</v>
      </c>
      <c r="E229" s="53" t="s">
        <v>670</v>
      </c>
      <c r="F229" s="53" t="str">
        <f t="shared" si="6"/>
        <v>CAN AHMED - 20</v>
      </c>
      <c r="G229" s="53" t="str">
        <f t="shared" si="7"/>
        <v>CAN20</v>
      </c>
    </row>
    <row r="230" spans="1:7" ht="15" customHeight="1" x14ac:dyDescent="0.35">
      <c r="A230" s="53">
        <v>21</v>
      </c>
      <c r="B230" s="53" t="s">
        <v>282</v>
      </c>
      <c r="C230" s="54" t="s">
        <v>687</v>
      </c>
      <c r="D230" s="54" t="s">
        <v>708</v>
      </c>
      <c r="E230" s="53" t="s">
        <v>670</v>
      </c>
      <c r="F230" s="53" t="str">
        <f t="shared" si="6"/>
        <v>CAN OSORIO - 21</v>
      </c>
      <c r="G230" s="53" t="str">
        <f t="shared" si="7"/>
        <v>CAN21</v>
      </c>
    </row>
    <row r="231" spans="1:7" ht="15" customHeight="1" x14ac:dyDescent="0.35">
      <c r="A231" s="53">
        <v>22</v>
      </c>
      <c r="B231" s="53" t="s">
        <v>273</v>
      </c>
      <c r="C231" s="54" t="s">
        <v>709</v>
      </c>
      <c r="D231" s="54" t="s">
        <v>710</v>
      </c>
      <c r="E231" s="53" t="s">
        <v>670</v>
      </c>
      <c r="F231" s="53" t="str">
        <f t="shared" si="6"/>
        <v>CAN LARYEA - 22</v>
      </c>
      <c r="G231" s="53" t="str">
        <f t="shared" si="7"/>
        <v>CAN22</v>
      </c>
    </row>
    <row r="232" spans="1:7" ht="15" customHeight="1" x14ac:dyDescent="0.35">
      <c r="A232" s="53">
        <v>23</v>
      </c>
      <c r="B232" s="53" t="s">
        <v>273</v>
      </c>
      <c r="C232" s="54" t="s">
        <v>711</v>
      </c>
      <c r="D232" s="54" t="s">
        <v>712</v>
      </c>
      <c r="E232" s="53" t="s">
        <v>670</v>
      </c>
      <c r="F232" s="53" t="str">
        <f t="shared" si="6"/>
        <v>CAN SIGUR - 23</v>
      </c>
      <c r="G232" s="53" t="str">
        <f t="shared" si="7"/>
        <v>CAN23</v>
      </c>
    </row>
    <row r="233" spans="1:7" ht="15" customHeight="1" x14ac:dyDescent="0.35">
      <c r="A233" s="53">
        <v>24</v>
      </c>
      <c r="B233" s="53" t="s">
        <v>285</v>
      </c>
      <c r="C233" s="54" t="s">
        <v>713</v>
      </c>
      <c r="D233" s="54" t="s">
        <v>688</v>
      </c>
      <c r="E233" s="53" t="s">
        <v>670</v>
      </c>
      <c r="F233" s="53" t="str">
        <f t="shared" si="6"/>
        <v>CAN DAVID - 24</v>
      </c>
      <c r="G233" s="53" t="str">
        <f t="shared" si="7"/>
        <v>CAN24</v>
      </c>
    </row>
    <row r="234" spans="1:7" ht="15" customHeight="1" x14ac:dyDescent="0.35">
      <c r="A234" s="53">
        <v>25</v>
      </c>
      <c r="B234" s="53" t="s">
        <v>282</v>
      </c>
      <c r="C234" s="54" t="s">
        <v>510</v>
      </c>
      <c r="D234" s="54" t="s">
        <v>714</v>
      </c>
      <c r="E234" s="53" t="s">
        <v>670</v>
      </c>
      <c r="F234" s="53" t="str">
        <f t="shared" si="6"/>
        <v>CAN SALIBA - 25</v>
      </c>
      <c r="G234" s="53" t="str">
        <f t="shared" si="7"/>
        <v>CAN25</v>
      </c>
    </row>
    <row r="235" spans="1:7" ht="15" customHeight="1" x14ac:dyDescent="0.35">
      <c r="A235" s="53">
        <v>26</v>
      </c>
      <c r="B235" s="53" t="s">
        <v>282</v>
      </c>
      <c r="C235" s="54" t="s">
        <v>715</v>
      </c>
      <c r="D235" s="54" t="s">
        <v>716</v>
      </c>
      <c r="E235" s="53" t="s">
        <v>670</v>
      </c>
      <c r="F235" s="53" t="str">
        <f t="shared" si="6"/>
        <v>CAN FLORES - 26</v>
      </c>
      <c r="G235" s="53" t="str">
        <f t="shared" si="7"/>
        <v>CAN26</v>
      </c>
    </row>
    <row r="236" spans="1:7" ht="15" hidden="1" customHeight="1" x14ac:dyDescent="0.35">
      <c r="A236" s="55">
        <v>1</v>
      </c>
      <c r="B236" s="55" t="s">
        <v>269</v>
      </c>
      <c r="C236" s="56" t="s">
        <v>425</v>
      </c>
      <c r="D236" s="56" t="s">
        <v>717</v>
      </c>
      <c r="E236" s="55" t="s">
        <v>718</v>
      </c>
      <c r="F236" s="55" t="str">
        <f t="shared" si="6"/>
        <v>COL (GK) OSPINA - 1</v>
      </c>
      <c r="G236" s="55" t="str">
        <f t="shared" si="7"/>
        <v>COL1</v>
      </c>
    </row>
    <row r="237" spans="1:7" ht="15" hidden="1" customHeight="1" x14ac:dyDescent="0.35">
      <c r="A237" s="55">
        <v>2</v>
      </c>
      <c r="B237" s="55" t="s">
        <v>273</v>
      </c>
      <c r="C237" s="56" t="s">
        <v>719</v>
      </c>
      <c r="D237" s="56" t="s">
        <v>720</v>
      </c>
      <c r="E237" s="55" t="s">
        <v>718</v>
      </c>
      <c r="F237" s="55" t="str">
        <f t="shared" si="6"/>
        <v>COL MUNOZ - 2</v>
      </c>
      <c r="G237" s="55" t="str">
        <f t="shared" si="7"/>
        <v>COL2</v>
      </c>
    </row>
    <row r="238" spans="1:7" ht="15" hidden="1" customHeight="1" x14ac:dyDescent="0.35">
      <c r="A238" s="55">
        <v>3</v>
      </c>
      <c r="B238" s="55" t="s">
        <v>273</v>
      </c>
      <c r="C238" s="56" t="s">
        <v>721</v>
      </c>
      <c r="D238" s="56" t="s">
        <v>722</v>
      </c>
      <c r="E238" s="55" t="s">
        <v>718</v>
      </c>
      <c r="F238" s="55" t="str">
        <f t="shared" si="6"/>
        <v>COL LUCUMI - 3</v>
      </c>
      <c r="G238" s="55" t="str">
        <f t="shared" si="7"/>
        <v>COL3</v>
      </c>
    </row>
    <row r="239" spans="1:7" ht="15" hidden="1" customHeight="1" x14ac:dyDescent="0.35">
      <c r="A239" s="55">
        <v>4</v>
      </c>
      <c r="B239" s="55" t="s">
        <v>273</v>
      </c>
      <c r="C239" s="56" t="s">
        <v>723</v>
      </c>
      <c r="D239" s="56" t="s">
        <v>724</v>
      </c>
      <c r="E239" s="55" t="s">
        <v>718</v>
      </c>
      <c r="F239" s="55" t="str">
        <f t="shared" si="6"/>
        <v>COL ARIAS - 4</v>
      </c>
      <c r="G239" s="55" t="str">
        <f t="shared" si="7"/>
        <v>COL4</v>
      </c>
    </row>
    <row r="240" spans="1:7" ht="15" hidden="1" customHeight="1" x14ac:dyDescent="0.35">
      <c r="A240" s="55">
        <v>5</v>
      </c>
      <c r="B240" s="55" t="s">
        <v>282</v>
      </c>
      <c r="C240" s="56" t="s">
        <v>427</v>
      </c>
      <c r="D240" s="56" t="s">
        <v>725</v>
      </c>
      <c r="E240" s="55" t="s">
        <v>718</v>
      </c>
      <c r="F240" s="55" t="str">
        <f t="shared" si="6"/>
        <v>COL CASTANO - 5</v>
      </c>
      <c r="G240" s="55" t="str">
        <f t="shared" si="7"/>
        <v>COL5</v>
      </c>
    </row>
    <row r="241" spans="1:7" ht="15" hidden="1" customHeight="1" x14ac:dyDescent="0.35">
      <c r="A241" s="55">
        <v>6</v>
      </c>
      <c r="B241" s="55" t="s">
        <v>282</v>
      </c>
      <c r="C241" s="56" t="s">
        <v>726</v>
      </c>
      <c r="D241" s="56" t="s">
        <v>727</v>
      </c>
      <c r="E241" s="55" t="s">
        <v>718</v>
      </c>
      <c r="F241" s="55" t="str">
        <f t="shared" si="6"/>
        <v>COL RIOS - 6</v>
      </c>
      <c r="G241" s="55" t="str">
        <f t="shared" si="7"/>
        <v>COL6</v>
      </c>
    </row>
    <row r="242" spans="1:7" ht="15" hidden="1" customHeight="1" x14ac:dyDescent="0.35">
      <c r="A242" s="55">
        <v>7</v>
      </c>
      <c r="B242" s="55" t="s">
        <v>285</v>
      </c>
      <c r="C242" s="56" t="s">
        <v>728</v>
      </c>
      <c r="D242" s="56" t="s">
        <v>729</v>
      </c>
      <c r="E242" s="55" t="s">
        <v>718</v>
      </c>
      <c r="F242" s="55" t="str">
        <f t="shared" si="6"/>
        <v>COL DIAZ - 7</v>
      </c>
      <c r="G242" s="55" t="str">
        <f t="shared" si="7"/>
        <v>COL7</v>
      </c>
    </row>
    <row r="243" spans="1:7" ht="15" hidden="1" customHeight="1" x14ac:dyDescent="0.35">
      <c r="A243" s="55">
        <v>8</v>
      </c>
      <c r="B243" s="55" t="s">
        <v>282</v>
      </c>
      <c r="C243" s="56" t="s">
        <v>730</v>
      </c>
      <c r="D243" s="56" t="s">
        <v>731</v>
      </c>
      <c r="E243" s="55" t="s">
        <v>718</v>
      </c>
      <c r="F243" s="55" t="str">
        <f t="shared" si="6"/>
        <v>COL CARRASCAL - 8</v>
      </c>
      <c r="G243" s="55" t="str">
        <f t="shared" si="7"/>
        <v>COL8</v>
      </c>
    </row>
    <row r="244" spans="1:7" ht="15" hidden="1" customHeight="1" x14ac:dyDescent="0.35">
      <c r="A244" s="55">
        <v>9</v>
      </c>
      <c r="B244" s="55" t="s">
        <v>285</v>
      </c>
      <c r="C244" s="56" t="s">
        <v>721</v>
      </c>
      <c r="D244" s="56" t="s">
        <v>732</v>
      </c>
      <c r="E244" s="55" t="s">
        <v>718</v>
      </c>
      <c r="F244" s="55" t="str">
        <f t="shared" si="6"/>
        <v>COL CORDOBA - 9</v>
      </c>
      <c r="G244" s="55" t="str">
        <f t="shared" si="7"/>
        <v>COL9</v>
      </c>
    </row>
    <row r="245" spans="1:7" ht="15" hidden="1" customHeight="1" x14ac:dyDescent="0.35">
      <c r="A245" s="55">
        <v>10</v>
      </c>
      <c r="B245" s="55" t="s">
        <v>282</v>
      </c>
      <c r="C245" s="56" t="s">
        <v>733</v>
      </c>
      <c r="D245" s="56" t="s">
        <v>734</v>
      </c>
      <c r="E245" s="55" t="s">
        <v>718</v>
      </c>
      <c r="F245" s="55" t="str">
        <f t="shared" si="6"/>
        <v>COL RODRIGUEZ - 10</v>
      </c>
      <c r="G245" s="55" t="str">
        <f t="shared" si="7"/>
        <v>COL10</v>
      </c>
    </row>
    <row r="246" spans="1:7" ht="15" hidden="1" customHeight="1" x14ac:dyDescent="0.35">
      <c r="A246" s="55">
        <v>11</v>
      </c>
      <c r="B246" s="55" t="s">
        <v>282</v>
      </c>
      <c r="C246" s="56" t="s">
        <v>721</v>
      </c>
      <c r="D246" s="56" t="s">
        <v>724</v>
      </c>
      <c r="E246" s="55" t="s">
        <v>718</v>
      </c>
      <c r="F246" s="55" t="str">
        <f t="shared" si="6"/>
        <v>COL ARIAS - 11</v>
      </c>
      <c r="G246" s="55" t="str">
        <f t="shared" si="7"/>
        <v>COL11</v>
      </c>
    </row>
    <row r="247" spans="1:7" ht="15" hidden="1" customHeight="1" x14ac:dyDescent="0.35">
      <c r="A247" s="55">
        <v>12</v>
      </c>
      <c r="B247" s="55" t="s">
        <v>269</v>
      </c>
      <c r="C247" s="56" t="s">
        <v>735</v>
      </c>
      <c r="D247" s="56" t="s">
        <v>736</v>
      </c>
      <c r="E247" s="55" t="s">
        <v>718</v>
      </c>
      <c r="F247" s="55" t="str">
        <f t="shared" si="6"/>
        <v>COL (GK) VARGAS - 12</v>
      </c>
      <c r="G247" s="55" t="str">
        <f t="shared" si="7"/>
        <v>COL12</v>
      </c>
    </row>
    <row r="248" spans="1:7" ht="15" hidden="1" customHeight="1" x14ac:dyDescent="0.35">
      <c r="A248" s="55">
        <v>13</v>
      </c>
      <c r="B248" s="55" t="s">
        <v>273</v>
      </c>
      <c r="C248" s="56" t="s">
        <v>737</v>
      </c>
      <c r="D248" s="56" t="s">
        <v>738</v>
      </c>
      <c r="E248" s="55" t="s">
        <v>718</v>
      </c>
      <c r="F248" s="55" t="str">
        <f t="shared" si="6"/>
        <v>COL MINA - 13</v>
      </c>
      <c r="G248" s="55" t="str">
        <f t="shared" si="7"/>
        <v>COL13</v>
      </c>
    </row>
    <row r="249" spans="1:7" ht="15" hidden="1" customHeight="1" x14ac:dyDescent="0.35">
      <c r="A249" s="55">
        <v>14</v>
      </c>
      <c r="B249" s="55" t="s">
        <v>273</v>
      </c>
      <c r="C249" s="56" t="s">
        <v>739</v>
      </c>
      <c r="D249" s="56" t="s">
        <v>740</v>
      </c>
      <c r="E249" s="55" t="s">
        <v>718</v>
      </c>
      <c r="F249" s="55" t="str">
        <f t="shared" si="6"/>
        <v>COL PUERTA - 14</v>
      </c>
      <c r="G249" s="55" t="str">
        <f t="shared" si="7"/>
        <v>COL14</v>
      </c>
    </row>
    <row r="250" spans="1:7" ht="15" hidden="1" customHeight="1" x14ac:dyDescent="0.35">
      <c r="A250" s="55">
        <v>15</v>
      </c>
      <c r="B250" s="55" t="s">
        <v>282</v>
      </c>
      <c r="C250" s="56" t="s">
        <v>325</v>
      </c>
      <c r="D250" s="56" t="s">
        <v>741</v>
      </c>
      <c r="E250" s="55" t="s">
        <v>718</v>
      </c>
      <c r="F250" s="55" t="str">
        <f t="shared" si="6"/>
        <v>COL PORTILLA - 15</v>
      </c>
      <c r="G250" s="55" t="str">
        <f t="shared" si="7"/>
        <v>COL15</v>
      </c>
    </row>
    <row r="251" spans="1:7" ht="15" hidden="1" customHeight="1" x14ac:dyDescent="0.35">
      <c r="A251" s="55">
        <v>16</v>
      </c>
      <c r="B251" s="55" t="s">
        <v>282</v>
      </c>
      <c r="C251" s="56" t="s">
        <v>742</v>
      </c>
      <c r="D251" s="56" t="s">
        <v>743</v>
      </c>
      <c r="E251" s="55" t="s">
        <v>718</v>
      </c>
      <c r="F251" s="55" t="str">
        <f t="shared" si="6"/>
        <v>COL LERMA - 16</v>
      </c>
      <c r="G251" s="55" t="str">
        <f t="shared" si="7"/>
        <v>COL16</v>
      </c>
    </row>
    <row r="252" spans="1:7" ht="15" hidden="1" customHeight="1" x14ac:dyDescent="0.35">
      <c r="A252" s="55">
        <v>17</v>
      </c>
      <c r="B252" s="55" t="s">
        <v>273</v>
      </c>
      <c r="C252" s="56" t="s">
        <v>744</v>
      </c>
      <c r="D252" s="56" t="s">
        <v>745</v>
      </c>
      <c r="E252" s="55" t="s">
        <v>718</v>
      </c>
      <c r="F252" s="55" t="str">
        <f t="shared" si="6"/>
        <v>COL MOJICA - 17</v>
      </c>
      <c r="G252" s="55" t="str">
        <f t="shared" si="7"/>
        <v>COL17</v>
      </c>
    </row>
    <row r="253" spans="1:7" ht="15" hidden="1" customHeight="1" x14ac:dyDescent="0.35">
      <c r="A253" s="55">
        <v>18</v>
      </c>
      <c r="B253" s="55" t="s">
        <v>273</v>
      </c>
      <c r="C253" s="56" t="s">
        <v>746</v>
      </c>
      <c r="D253" s="56" t="s">
        <v>747</v>
      </c>
      <c r="E253" s="55" t="s">
        <v>718</v>
      </c>
      <c r="F253" s="55" t="str">
        <f t="shared" si="6"/>
        <v>COL DITTA - 18</v>
      </c>
      <c r="G253" s="55" t="str">
        <f t="shared" si="7"/>
        <v>COL18</v>
      </c>
    </row>
    <row r="254" spans="1:7" ht="15" hidden="1" customHeight="1" x14ac:dyDescent="0.35">
      <c r="A254" s="55">
        <v>19</v>
      </c>
      <c r="B254" s="55" t="s">
        <v>285</v>
      </c>
      <c r="C254" s="56" t="s">
        <v>748</v>
      </c>
      <c r="D254" s="56" t="s">
        <v>749</v>
      </c>
      <c r="E254" s="55" t="s">
        <v>718</v>
      </c>
      <c r="F254" s="55" t="str">
        <f t="shared" si="6"/>
        <v>COL HERNANDEZ - 19</v>
      </c>
      <c r="G254" s="55" t="str">
        <f t="shared" si="7"/>
        <v>COL19</v>
      </c>
    </row>
    <row r="255" spans="1:7" ht="15" hidden="1" customHeight="1" x14ac:dyDescent="0.35">
      <c r="A255" s="55">
        <v>20</v>
      </c>
      <c r="B255" s="55" t="s">
        <v>282</v>
      </c>
      <c r="C255" s="56" t="s">
        <v>325</v>
      </c>
      <c r="D255" s="56" t="s">
        <v>750</v>
      </c>
      <c r="E255" s="55" t="s">
        <v>718</v>
      </c>
      <c r="F255" s="55" t="str">
        <f t="shared" si="6"/>
        <v>COL QUINTERO - 20</v>
      </c>
      <c r="G255" s="55" t="str">
        <f t="shared" si="7"/>
        <v>COL20</v>
      </c>
    </row>
    <row r="256" spans="1:7" ht="15" hidden="1" customHeight="1" x14ac:dyDescent="0.35">
      <c r="A256" s="55">
        <v>21</v>
      </c>
      <c r="B256" s="55" t="s">
        <v>285</v>
      </c>
      <c r="C256" s="56" t="s">
        <v>751</v>
      </c>
      <c r="D256" s="56" t="s">
        <v>752</v>
      </c>
      <c r="E256" s="55" t="s">
        <v>718</v>
      </c>
      <c r="F256" s="55" t="str">
        <f t="shared" si="6"/>
        <v>COL CAMPAZ - 21</v>
      </c>
      <c r="G256" s="55" t="str">
        <f t="shared" si="7"/>
        <v>COL21</v>
      </c>
    </row>
    <row r="257" spans="1:7" ht="15" hidden="1" customHeight="1" x14ac:dyDescent="0.35">
      <c r="A257" s="55">
        <v>22</v>
      </c>
      <c r="B257" s="55" t="s">
        <v>273</v>
      </c>
      <c r="C257" s="56" t="s">
        <v>753</v>
      </c>
      <c r="D257" s="56" t="s">
        <v>754</v>
      </c>
      <c r="E257" s="55" t="s">
        <v>718</v>
      </c>
      <c r="F257" s="55" t="str">
        <f t="shared" si="6"/>
        <v>COL MACHADO - 22</v>
      </c>
      <c r="G257" s="55" t="str">
        <f t="shared" si="7"/>
        <v>COL22</v>
      </c>
    </row>
    <row r="258" spans="1:7" ht="15" hidden="1" customHeight="1" x14ac:dyDescent="0.35">
      <c r="A258" s="55">
        <v>23</v>
      </c>
      <c r="B258" s="55" t="s">
        <v>273</v>
      </c>
      <c r="C258" s="56" t="s">
        <v>755</v>
      </c>
      <c r="D258" s="56" t="s">
        <v>756</v>
      </c>
      <c r="E258" s="55" t="s">
        <v>718</v>
      </c>
      <c r="F258" s="55" t="str">
        <f t="shared" si="6"/>
        <v>COL SANCHEZ - 23</v>
      </c>
      <c r="G258" s="55" t="str">
        <f t="shared" si="7"/>
        <v>COL23</v>
      </c>
    </row>
    <row r="259" spans="1:7" ht="15" hidden="1" customHeight="1" x14ac:dyDescent="0.35">
      <c r="A259" s="55">
        <v>24</v>
      </c>
      <c r="B259" s="55" t="s">
        <v>269</v>
      </c>
      <c r="C259" s="56" t="s">
        <v>757</v>
      </c>
      <c r="D259" s="56" t="s">
        <v>758</v>
      </c>
      <c r="E259" s="55" t="s">
        <v>718</v>
      </c>
      <c r="F259" s="55" t="str">
        <f t="shared" ref="F259:F322" si="8">IF(B259="GK", _xlfn.CONCAT(E259, " ","(",B259, ") ",D259, " - ", A259),  _xlfn.CONCAT(E259, " ",D259, " - ", A259))</f>
        <v>COL (GK) MONTERO - 24</v>
      </c>
      <c r="G259" s="55" t="str">
        <f t="shared" ref="G259:G322" si="9">_xlfn.CONCAT(E259,A259)</f>
        <v>COL24</v>
      </c>
    </row>
    <row r="260" spans="1:7" ht="15" hidden="1" customHeight="1" x14ac:dyDescent="0.35">
      <c r="A260" s="55">
        <v>25</v>
      </c>
      <c r="B260" s="55" t="s">
        <v>285</v>
      </c>
      <c r="C260" s="56" t="s">
        <v>728</v>
      </c>
      <c r="D260" s="56" t="s">
        <v>759</v>
      </c>
      <c r="E260" s="55" t="s">
        <v>718</v>
      </c>
      <c r="F260" s="55" t="str">
        <f t="shared" si="8"/>
        <v>COL SUAREZ - 25</v>
      </c>
      <c r="G260" s="55" t="str">
        <f t="shared" si="9"/>
        <v>COL25</v>
      </c>
    </row>
    <row r="261" spans="1:7" ht="15" hidden="1" customHeight="1" x14ac:dyDescent="0.35">
      <c r="A261" s="55">
        <v>26</v>
      </c>
      <c r="B261" s="55" t="s">
        <v>285</v>
      </c>
      <c r="C261" s="56" t="s">
        <v>760</v>
      </c>
      <c r="D261" s="56" t="s">
        <v>761</v>
      </c>
      <c r="E261" s="55" t="s">
        <v>718</v>
      </c>
      <c r="F261" s="55" t="str">
        <f t="shared" si="8"/>
        <v>COL GOMEZ - 26</v>
      </c>
      <c r="G261" s="55" t="str">
        <f t="shared" si="9"/>
        <v>COL26</v>
      </c>
    </row>
    <row r="262" spans="1:7" ht="15" hidden="1" customHeight="1" x14ac:dyDescent="0.35">
      <c r="A262" s="57">
        <v>1</v>
      </c>
      <c r="B262" s="57" t="s">
        <v>269</v>
      </c>
      <c r="C262" s="58" t="s">
        <v>344</v>
      </c>
      <c r="D262" s="58" t="s">
        <v>762</v>
      </c>
      <c r="E262" s="57" t="s">
        <v>763</v>
      </c>
      <c r="F262" s="57" t="str">
        <f t="shared" si="8"/>
        <v>COD (GK) MPASI - 1</v>
      </c>
      <c r="G262" s="57" t="str">
        <f t="shared" si="9"/>
        <v>COD1</v>
      </c>
    </row>
    <row r="263" spans="1:7" ht="15" hidden="1" customHeight="1" x14ac:dyDescent="0.35">
      <c r="A263" s="57">
        <v>2</v>
      </c>
      <c r="B263" s="57" t="s">
        <v>273</v>
      </c>
      <c r="C263" s="58" t="s">
        <v>764</v>
      </c>
      <c r="D263" s="58" t="s">
        <v>765</v>
      </c>
      <c r="E263" s="57" t="s">
        <v>763</v>
      </c>
      <c r="F263" s="57" t="str">
        <f t="shared" si="8"/>
        <v>COD WAN-BISSAKA - 2</v>
      </c>
      <c r="G263" s="57" t="str">
        <f t="shared" si="9"/>
        <v>COD2</v>
      </c>
    </row>
    <row r="264" spans="1:7" ht="15" hidden="1" customHeight="1" x14ac:dyDescent="0.35">
      <c r="A264" s="57">
        <v>3</v>
      </c>
      <c r="B264" s="57" t="s">
        <v>273</v>
      </c>
      <c r="C264" s="58" t="s">
        <v>766</v>
      </c>
      <c r="D264" s="58" t="s">
        <v>767</v>
      </c>
      <c r="E264" s="57" t="s">
        <v>763</v>
      </c>
      <c r="F264" s="57" t="str">
        <f t="shared" si="8"/>
        <v>COD KAPUADI - 3</v>
      </c>
      <c r="G264" s="57" t="str">
        <f t="shared" si="9"/>
        <v>COD3</v>
      </c>
    </row>
    <row r="265" spans="1:7" ht="15" hidden="1" customHeight="1" x14ac:dyDescent="0.35">
      <c r="A265" s="57">
        <v>4</v>
      </c>
      <c r="B265" s="57" t="s">
        <v>273</v>
      </c>
      <c r="C265" s="58" t="s">
        <v>476</v>
      </c>
      <c r="D265" s="58" t="s">
        <v>768</v>
      </c>
      <c r="E265" s="57" t="s">
        <v>763</v>
      </c>
      <c r="F265" s="57" t="str">
        <f t="shared" si="8"/>
        <v>COD TUANZEBE - 4</v>
      </c>
      <c r="G265" s="57" t="str">
        <f t="shared" si="9"/>
        <v>COD4</v>
      </c>
    </row>
    <row r="266" spans="1:7" ht="15" hidden="1" customHeight="1" x14ac:dyDescent="0.35">
      <c r="A266" s="57">
        <v>5</v>
      </c>
      <c r="B266" s="57" t="s">
        <v>273</v>
      </c>
      <c r="C266" s="58" t="s">
        <v>769</v>
      </c>
      <c r="D266" s="58" t="s">
        <v>770</v>
      </c>
      <c r="E266" s="57" t="s">
        <v>763</v>
      </c>
      <c r="F266" s="57" t="str">
        <f t="shared" si="8"/>
        <v>COD BATUBINSIKA - 5</v>
      </c>
      <c r="G266" s="57" t="str">
        <f t="shared" si="9"/>
        <v>COD5</v>
      </c>
    </row>
    <row r="267" spans="1:7" ht="15" hidden="1" customHeight="1" x14ac:dyDescent="0.35">
      <c r="A267" s="57">
        <v>6</v>
      </c>
      <c r="B267" s="57" t="s">
        <v>282</v>
      </c>
      <c r="C267" s="58" t="s">
        <v>771</v>
      </c>
      <c r="D267" s="58" t="s">
        <v>772</v>
      </c>
      <c r="E267" s="57" t="s">
        <v>763</v>
      </c>
      <c r="F267" s="57" t="str">
        <f t="shared" si="8"/>
        <v>COD MUKAU - 6</v>
      </c>
      <c r="G267" s="57" t="str">
        <f t="shared" si="9"/>
        <v>COD6</v>
      </c>
    </row>
    <row r="268" spans="1:7" ht="15" hidden="1" customHeight="1" x14ac:dyDescent="0.35">
      <c r="A268" s="57">
        <v>7</v>
      </c>
      <c r="B268" s="57" t="s">
        <v>282</v>
      </c>
      <c r="C268" s="58" t="s">
        <v>773</v>
      </c>
      <c r="D268" s="58" t="s">
        <v>774</v>
      </c>
      <c r="E268" s="57" t="s">
        <v>763</v>
      </c>
      <c r="F268" s="57" t="str">
        <f t="shared" si="8"/>
        <v>COD MBUKU - 7</v>
      </c>
      <c r="G268" s="57" t="str">
        <f t="shared" si="9"/>
        <v>COD7</v>
      </c>
    </row>
    <row r="269" spans="1:7" ht="15" hidden="1" customHeight="1" x14ac:dyDescent="0.35">
      <c r="A269" s="57">
        <v>8</v>
      </c>
      <c r="B269" s="57" t="s">
        <v>282</v>
      </c>
      <c r="C269" s="58" t="s">
        <v>775</v>
      </c>
      <c r="D269" s="58" t="s">
        <v>776</v>
      </c>
      <c r="E269" s="57" t="s">
        <v>763</v>
      </c>
      <c r="F269" s="57" t="str">
        <f t="shared" si="8"/>
        <v>COD MOUTOUSSAMY - 8</v>
      </c>
      <c r="G269" s="57" t="str">
        <f t="shared" si="9"/>
        <v>COD8</v>
      </c>
    </row>
    <row r="270" spans="1:7" ht="15" hidden="1" customHeight="1" x14ac:dyDescent="0.35">
      <c r="A270" s="57">
        <v>9</v>
      </c>
      <c r="B270" s="57" t="s">
        <v>285</v>
      </c>
      <c r="C270" s="58" t="s">
        <v>777</v>
      </c>
      <c r="D270" s="58" t="s">
        <v>778</v>
      </c>
      <c r="E270" s="57" t="s">
        <v>763</v>
      </c>
      <c r="F270" s="57" t="str">
        <f t="shared" si="8"/>
        <v>COD CIPENGA - 9</v>
      </c>
      <c r="G270" s="57" t="str">
        <f t="shared" si="9"/>
        <v>COD9</v>
      </c>
    </row>
    <row r="271" spans="1:7" ht="15" hidden="1" customHeight="1" x14ac:dyDescent="0.35">
      <c r="A271" s="57">
        <v>10</v>
      </c>
      <c r="B271" s="57" t="s">
        <v>282</v>
      </c>
      <c r="C271" s="58" t="s">
        <v>779</v>
      </c>
      <c r="D271" s="58" t="s">
        <v>780</v>
      </c>
      <c r="E271" s="57" t="s">
        <v>763</v>
      </c>
      <c r="F271" s="57" t="str">
        <f t="shared" si="8"/>
        <v>COD BONGONDA - 10</v>
      </c>
      <c r="G271" s="57" t="str">
        <f t="shared" si="9"/>
        <v>COD10</v>
      </c>
    </row>
    <row r="272" spans="1:7" ht="15" hidden="1" customHeight="1" x14ac:dyDescent="0.35">
      <c r="A272" s="57">
        <v>11</v>
      </c>
      <c r="B272" s="57" t="s">
        <v>285</v>
      </c>
      <c r="C272" s="58" t="s">
        <v>781</v>
      </c>
      <c r="D272" s="58" t="s">
        <v>782</v>
      </c>
      <c r="E272" s="57" t="s">
        <v>763</v>
      </c>
      <c r="F272" s="57" t="str">
        <f t="shared" si="8"/>
        <v>COD KAKUTA - 11</v>
      </c>
      <c r="G272" s="57" t="str">
        <f t="shared" si="9"/>
        <v>COD11</v>
      </c>
    </row>
    <row r="273" spans="1:7" ht="15" hidden="1" customHeight="1" x14ac:dyDescent="0.35">
      <c r="A273" s="57">
        <v>12</v>
      </c>
      <c r="B273" s="57" t="s">
        <v>273</v>
      </c>
      <c r="C273" s="58" t="s">
        <v>783</v>
      </c>
      <c r="D273" s="58" t="s">
        <v>784</v>
      </c>
      <c r="E273" s="57" t="s">
        <v>763</v>
      </c>
      <c r="F273" s="57" t="str">
        <f t="shared" si="8"/>
        <v>COD KAYEMBE - 12</v>
      </c>
      <c r="G273" s="57" t="str">
        <f t="shared" si="9"/>
        <v>COD12</v>
      </c>
    </row>
    <row r="274" spans="1:7" ht="15" hidden="1" customHeight="1" x14ac:dyDescent="0.35">
      <c r="A274" s="57">
        <v>13</v>
      </c>
      <c r="B274" s="57" t="s">
        <v>285</v>
      </c>
      <c r="C274" s="58" t="s">
        <v>785</v>
      </c>
      <c r="D274" s="58" t="s">
        <v>786</v>
      </c>
      <c r="E274" s="57" t="s">
        <v>763</v>
      </c>
      <c r="F274" s="57" t="str">
        <f t="shared" si="8"/>
        <v>COD ELIA - 13</v>
      </c>
      <c r="G274" s="57" t="str">
        <f t="shared" si="9"/>
        <v>COD13</v>
      </c>
    </row>
    <row r="275" spans="1:7" ht="15" hidden="1" customHeight="1" x14ac:dyDescent="0.35">
      <c r="A275" s="57">
        <v>14</v>
      </c>
      <c r="B275" s="57" t="s">
        <v>282</v>
      </c>
      <c r="C275" s="58" t="s">
        <v>787</v>
      </c>
      <c r="D275" s="58" t="s">
        <v>788</v>
      </c>
      <c r="E275" s="57" t="s">
        <v>763</v>
      </c>
      <c r="F275" s="57" t="str">
        <f t="shared" si="8"/>
        <v>COD SADIKI - 14</v>
      </c>
      <c r="G275" s="57" t="str">
        <f t="shared" si="9"/>
        <v>COD14</v>
      </c>
    </row>
    <row r="276" spans="1:7" ht="15" hidden="1" customHeight="1" x14ac:dyDescent="0.35">
      <c r="A276" s="57">
        <v>15</v>
      </c>
      <c r="B276" s="57" t="s">
        <v>282</v>
      </c>
      <c r="C276" s="58" t="s">
        <v>764</v>
      </c>
      <c r="D276" s="58" t="s">
        <v>789</v>
      </c>
      <c r="E276" s="57" t="s">
        <v>763</v>
      </c>
      <c r="F276" s="57" t="str">
        <f t="shared" si="8"/>
        <v>COD TSHIBOLA - 15</v>
      </c>
      <c r="G276" s="57" t="str">
        <f t="shared" si="9"/>
        <v>COD15</v>
      </c>
    </row>
    <row r="277" spans="1:7" ht="15" hidden="1" customHeight="1" x14ac:dyDescent="0.35">
      <c r="A277" s="57">
        <v>16</v>
      </c>
      <c r="B277" s="57" t="s">
        <v>269</v>
      </c>
      <c r="C277" s="58" t="s">
        <v>504</v>
      </c>
      <c r="D277" s="58" t="s">
        <v>790</v>
      </c>
      <c r="E277" s="57" t="s">
        <v>763</v>
      </c>
      <c r="F277" s="57" t="str">
        <f t="shared" si="8"/>
        <v>COD (GK) FAYULU - 16</v>
      </c>
      <c r="G277" s="57" t="str">
        <f t="shared" si="9"/>
        <v>COD16</v>
      </c>
    </row>
    <row r="278" spans="1:7" ht="15" hidden="1" customHeight="1" x14ac:dyDescent="0.35">
      <c r="A278" s="57">
        <v>17</v>
      </c>
      <c r="B278" s="57" t="s">
        <v>285</v>
      </c>
      <c r="C278" s="58" t="s">
        <v>791</v>
      </c>
      <c r="D278" s="58" t="s">
        <v>792</v>
      </c>
      <c r="E278" s="57" t="s">
        <v>763</v>
      </c>
      <c r="F278" s="57" t="str">
        <f t="shared" si="8"/>
        <v>COD BAKAMBU - 17</v>
      </c>
      <c r="G278" s="57" t="str">
        <f t="shared" si="9"/>
        <v>COD17</v>
      </c>
    </row>
    <row r="279" spans="1:7" ht="15" hidden="1" customHeight="1" x14ac:dyDescent="0.35">
      <c r="A279" s="57">
        <v>18</v>
      </c>
      <c r="B279" s="57" t="s">
        <v>282</v>
      </c>
      <c r="C279" s="58" t="s">
        <v>496</v>
      </c>
      <c r="D279" s="58" t="s">
        <v>793</v>
      </c>
      <c r="E279" s="57" t="s">
        <v>763</v>
      </c>
      <c r="F279" s="57" t="str">
        <f t="shared" si="8"/>
        <v>COD PICKEL - 18</v>
      </c>
      <c r="G279" s="57" t="str">
        <f t="shared" si="9"/>
        <v>COD18</v>
      </c>
    </row>
    <row r="280" spans="1:7" ht="15" hidden="1" customHeight="1" x14ac:dyDescent="0.35">
      <c r="A280" s="57">
        <v>19</v>
      </c>
      <c r="B280" s="57" t="s">
        <v>285</v>
      </c>
      <c r="C280" s="58" t="s">
        <v>794</v>
      </c>
      <c r="D280" s="58" t="s">
        <v>795</v>
      </c>
      <c r="E280" s="57" t="s">
        <v>763</v>
      </c>
      <c r="F280" s="57" t="str">
        <f t="shared" si="8"/>
        <v>COD MAYELE - 19</v>
      </c>
      <c r="G280" s="57" t="str">
        <f t="shared" si="9"/>
        <v>COD19</v>
      </c>
    </row>
    <row r="281" spans="1:7" ht="15" hidden="1" customHeight="1" x14ac:dyDescent="0.35">
      <c r="A281" s="57">
        <v>20</v>
      </c>
      <c r="B281" s="57" t="s">
        <v>285</v>
      </c>
      <c r="C281" s="58" t="s">
        <v>796</v>
      </c>
      <c r="D281" s="58" t="s">
        <v>797</v>
      </c>
      <c r="E281" s="57" t="s">
        <v>763</v>
      </c>
      <c r="F281" s="57" t="str">
        <f t="shared" si="8"/>
        <v>COD WISSA - 20</v>
      </c>
      <c r="G281" s="57" t="str">
        <f t="shared" si="9"/>
        <v>COD20</v>
      </c>
    </row>
    <row r="282" spans="1:7" ht="15" hidden="1" customHeight="1" x14ac:dyDescent="0.35">
      <c r="A282" s="57">
        <v>21</v>
      </c>
      <c r="B282" s="57" t="s">
        <v>269</v>
      </c>
      <c r="C282" s="58" t="s">
        <v>798</v>
      </c>
      <c r="D282" s="58" t="s">
        <v>799</v>
      </c>
      <c r="E282" s="57" t="s">
        <v>763</v>
      </c>
      <c r="F282" s="57" t="str">
        <f t="shared" si="8"/>
        <v>COD (GK) EPOLO - 21</v>
      </c>
      <c r="G282" s="57" t="str">
        <f t="shared" si="9"/>
        <v>COD21</v>
      </c>
    </row>
    <row r="283" spans="1:7" ht="15" hidden="1" customHeight="1" x14ac:dyDescent="0.35">
      <c r="A283" s="57">
        <v>22</v>
      </c>
      <c r="B283" s="57" t="s">
        <v>273</v>
      </c>
      <c r="C283" s="58" t="s">
        <v>800</v>
      </c>
      <c r="D283" s="58" t="s">
        <v>801</v>
      </c>
      <c r="E283" s="57" t="s">
        <v>763</v>
      </c>
      <c r="F283" s="57" t="str">
        <f t="shared" si="8"/>
        <v>COD MBEMBA - 22</v>
      </c>
      <c r="G283" s="57" t="str">
        <f t="shared" si="9"/>
        <v>COD22</v>
      </c>
    </row>
    <row r="284" spans="1:7" ht="15" hidden="1" customHeight="1" x14ac:dyDescent="0.35">
      <c r="A284" s="57">
        <v>23</v>
      </c>
      <c r="B284" s="57" t="s">
        <v>285</v>
      </c>
      <c r="C284" s="58" t="s">
        <v>802</v>
      </c>
      <c r="D284" s="58" t="s">
        <v>803</v>
      </c>
      <c r="E284" s="57" t="s">
        <v>763</v>
      </c>
      <c r="F284" s="57" t="str">
        <f t="shared" si="8"/>
        <v>COD BANZA - 23</v>
      </c>
      <c r="G284" s="57" t="str">
        <f t="shared" si="9"/>
        <v>COD23</v>
      </c>
    </row>
    <row r="285" spans="1:7" ht="15" hidden="1" customHeight="1" x14ac:dyDescent="0.35">
      <c r="A285" s="57">
        <v>24</v>
      </c>
      <c r="B285" s="57" t="s">
        <v>273</v>
      </c>
      <c r="C285" s="58" t="s">
        <v>804</v>
      </c>
      <c r="D285" s="58" t="s">
        <v>805</v>
      </c>
      <c r="E285" s="57" t="s">
        <v>763</v>
      </c>
      <c r="F285" s="57" t="str">
        <f t="shared" si="8"/>
        <v>COD KALULU - 24</v>
      </c>
      <c r="G285" s="57" t="str">
        <f t="shared" si="9"/>
        <v>COD24</v>
      </c>
    </row>
    <row r="286" spans="1:7" ht="15" hidden="1" customHeight="1" x14ac:dyDescent="0.35">
      <c r="A286" s="57">
        <v>25</v>
      </c>
      <c r="B286" s="57" t="s">
        <v>282</v>
      </c>
      <c r="C286" s="58" t="s">
        <v>806</v>
      </c>
      <c r="D286" s="58" t="s">
        <v>784</v>
      </c>
      <c r="E286" s="57" t="s">
        <v>763</v>
      </c>
      <c r="F286" s="57" t="str">
        <f t="shared" si="8"/>
        <v>COD KAYEMBE - 25</v>
      </c>
      <c r="G286" s="57" t="str">
        <f t="shared" si="9"/>
        <v>COD25</v>
      </c>
    </row>
    <row r="287" spans="1:7" ht="15" hidden="1" customHeight="1" x14ac:dyDescent="0.35">
      <c r="A287" s="57">
        <v>26</v>
      </c>
      <c r="B287" s="57" t="s">
        <v>273</v>
      </c>
      <c r="C287" s="58" t="s">
        <v>470</v>
      </c>
      <c r="D287" s="58" t="s">
        <v>807</v>
      </c>
      <c r="E287" s="57" t="s">
        <v>763</v>
      </c>
      <c r="F287" s="57" t="str">
        <f t="shared" si="8"/>
        <v>COD MASUAKU - 26</v>
      </c>
      <c r="G287" s="57" t="str">
        <f t="shared" si="9"/>
        <v>COD26</v>
      </c>
    </row>
    <row r="288" spans="1:7" ht="15" hidden="1" customHeight="1" x14ac:dyDescent="0.35">
      <c r="A288" s="59">
        <v>1</v>
      </c>
      <c r="B288" s="59" t="s">
        <v>269</v>
      </c>
      <c r="C288" s="60" t="s">
        <v>808</v>
      </c>
      <c r="D288" s="60" t="s">
        <v>809</v>
      </c>
      <c r="E288" s="59" t="s">
        <v>810</v>
      </c>
      <c r="F288" s="59" t="str">
        <f t="shared" si="8"/>
        <v>CIV (GK) FOFANA - 1</v>
      </c>
      <c r="G288" s="59" t="str">
        <f t="shared" si="9"/>
        <v>CIV1</v>
      </c>
    </row>
    <row r="289" spans="1:7" ht="15" hidden="1" customHeight="1" x14ac:dyDescent="0.35">
      <c r="A289" s="59">
        <v>2</v>
      </c>
      <c r="B289" s="59" t="s">
        <v>273</v>
      </c>
      <c r="C289" s="60" t="s">
        <v>811</v>
      </c>
      <c r="D289" s="60" t="s">
        <v>812</v>
      </c>
      <c r="E289" s="59" t="s">
        <v>810</v>
      </c>
      <c r="F289" s="59" t="str">
        <f t="shared" si="8"/>
        <v>CIV DIOMANDE - 2</v>
      </c>
      <c r="G289" s="59" t="str">
        <f t="shared" si="9"/>
        <v>CIV2</v>
      </c>
    </row>
    <row r="290" spans="1:7" ht="15" hidden="1" customHeight="1" x14ac:dyDescent="0.35">
      <c r="A290" s="59">
        <v>3</v>
      </c>
      <c r="B290" s="59" t="s">
        <v>273</v>
      </c>
      <c r="C290" s="60" t="s">
        <v>813</v>
      </c>
      <c r="D290" s="60" t="s">
        <v>814</v>
      </c>
      <c r="E290" s="59" t="s">
        <v>810</v>
      </c>
      <c r="F290" s="59" t="str">
        <f t="shared" si="8"/>
        <v>CIV KONAN - 3</v>
      </c>
      <c r="G290" s="59" t="str">
        <f t="shared" si="9"/>
        <v>CIV3</v>
      </c>
    </row>
    <row r="291" spans="1:7" ht="15" hidden="1" customHeight="1" x14ac:dyDescent="0.35">
      <c r="A291" s="59">
        <v>4</v>
      </c>
      <c r="B291" s="59" t="s">
        <v>282</v>
      </c>
      <c r="C291" s="60" t="s">
        <v>815</v>
      </c>
      <c r="D291" s="60" t="s">
        <v>816</v>
      </c>
      <c r="E291" s="59" t="s">
        <v>810</v>
      </c>
      <c r="F291" s="59" t="str">
        <f t="shared" si="8"/>
        <v>CIV SERI - 4</v>
      </c>
      <c r="G291" s="59" t="str">
        <f t="shared" si="9"/>
        <v>CIV4</v>
      </c>
    </row>
    <row r="292" spans="1:7" ht="15" hidden="1" customHeight="1" x14ac:dyDescent="0.35">
      <c r="A292" s="59">
        <v>5</v>
      </c>
      <c r="B292" s="59" t="s">
        <v>273</v>
      </c>
      <c r="C292" s="60" t="s">
        <v>817</v>
      </c>
      <c r="D292" s="60" t="s">
        <v>818</v>
      </c>
      <c r="E292" s="59" t="s">
        <v>810</v>
      </c>
      <c r="F292" s="59" t="str">
        <f t="shared" si="8"/>
        <v>CIV SINGO - 5</v>
      </c>
      <c r="G292" s="59" t="str">
        <f t="shared" si="9"/>
        <v>CIV5</v>
      </c>
    </row>
    <row r="293" spans="1:7" ht="15" hidden="1" customHeight="1" x14ac:dyDescent="0.35">
      <c r="A293" s="59">
        <v>6</v>
      </c>
      <c r="B293" s="59" t="s">
        <v>282</v>
      </c>
      <c r="C293" s="60" t="s">
        <v>819</v>
      </c>
      <c r="D293" s="60" t="s">
        <v>809</v>
      </c>
      <c r="E293" s="59" t="s">
        <v>810</v>
      </c>
      <c r="F293" s="59" t="str">
        <f t="shared" si="8"/>
        <v>CIV FOFANA - 6</v>
      </c>
      <c r="G293" s="59" t="str">
        <f t="shared" si="9"/>
        <v>CIV6</v>
      </c>
    </row>
    <row r="294" spans="1:7" ht="15" hidden="1" customHeight="1" x14ac:dyDescent="0.35">
      <c r="A294" s="59">
        <v>7</v>
      </c>
      <c r="B294" s="59" t="s">
        <v>273</v>
      </c>
      <c r="C294" s="60" t="s">
        <v>820</v>
      </c>
      <c r="D294" s="60" t="s">
        <v>821</v>
      </c>
      <c r="E294" s="59" t="s">
        <v>810</v>
      </c>
      <c r="F294" s="59" t="str">
        <f t="shared" si="8"/>
        <v>CIV KOSSOUNOU - 7</v>
      </c>
      <c r="G294" s="59" t="str">
        <f t="shared" si="9"/>
        <v>CIV7</v>
      </c>
    </row>
    <row r="295" spans="1:7" ht="15" hidden="1" customHeight="1" x14ac:dyDescent="0.35">
      <c r="A295" s="59">
        <v>8</v>
      </c>
      <c r="B295" s="59" t="s">
        <v>282</v>
      </c>
      <c r="C295" s="60" t="s">
        <v>822</v>
      </c>
      <c r="D295" s="60" t="s">
        <v>823</v>
      </c>
      <c r="E295" s="59" t="s">
        <v>810</v>
      </c>
      <c r="F295" s="59" t="str">
        <f t="shared" si="8"/>
        <v>CIV KESSIE - 8</v>
      </c>
      <c r="G295" s="59" t="str">
        <f t="shared" si="9"/>
        <v>CIV8</v>
      </c>
    </row>
    <row r="296" spans="1:7" ht="15" hidden="1" customHeight="1" x14ac:dyDescent="0.35">
      <c r="A296" s="59">
        <v>9</v>
      </c>
      <c r="B296" s="59" t="s">
        <v>285</v>
      </c>
      <c r="C296" s="60" t="s">
        <v>824</v>
      </c>
      <c r="D296" s="60" t="s">
        <v>825</v>
      </c>
      <c r="E296" s="59" t="s">
        <v>810</v>
      </c>
      <c r="F296" s="59" t="str">
        <f t="shared" si="8"/>
        <v>CIV BONNY - 9</v>
      </c>
      <c r="G296" s="59" t="str">
        <f t="shared" si="9"/>
        <v>CIV9</v>
      </c>
    </row>
    <row r="297" spans="1:7" ht="15" hidden="1" customHeight="1" x14ac:dyDescent="0.35">
      <c r="A297" s="59">
        <v>10</v>
      </c>
      <c r="B297" s="59" t="s">
        <v>285</v>
      </c>
      <c r="C297" s="60" t="s">
        <v>802</v>
      </c>
      <c r="D297" s="60" t="s">
        <v>826</v>
      </c>
      <c r="E297" s="59" t="s">
        <v>810</v>
      </c>
      <c r="F297" s="59" t="str">
        <f t="shared" si="8"/>
        <v>CIV ADINGRA - 10</v>
      </c>
      <c r="G297" s="59" t="str">
        <f t="shared" si="9"/>
        <v>CIV10</v>
      </c>
    </row>
    <row r="298" spans="1:7" ht="15" hidden="1" customHeight="1" x14ac:dyDescent="0.35">
      <c r="A298" s="59">
        <v>11</v>
      </c>
      <c r="B298" s="59" t="s">
        <v>285</v>
      </c>
      <c r="C298" s="60" t="s">
        <v>827</v>
      </c>
      <c r="D298" s="60" t="s">
        <v>812</v>
      </c>
      <c r="E298" s="59" t="s">
        <v>810</v>
      </c>
      <c r="F298" s="59" t="str">
        <f t="shared" si="8"/>
        <v>CIV DIOMANDE - 11</v>
      </c>
      <c r="G298" s="59" t="str">
        <f t="shared" si="9"/>
        <v>CIV11</v>
      </c>
    </row>
    <row r="299" spans="1:7" ht="15" hidden="1" customHeight="1" x14ac:dyDescent="0.35">
      <c r="A299" s="59">
        <v>12</v>
      </c>
      <c r="B299" s="59" t="s">
        <v>285</v>
      </c>
      <c r="C299" s="60" t="s">
        <v>828</v>
      </c>
      <c r="D299" s="60" t="s">
        <v>829</v>
      </c>
      <c r="E299" s="59" t="s">
        <v>810</v>
      </c>
      <c r="F299" s="59" t="str">
        <f t="shared" si="8"/>
        <v>CIV WAHI - 12</v>
      </c>
      <c r="G299" s="59" t="str">
        <f t="shared" si="9"/>
        <v>CIV12</v>
      </c>
    </row>
    <row r="300" spans="1:7" ht="15" hidden="1" customHeight="1" x14ac:dyDescent="0.35">
      <c r="A300" s="59">
        <v>13</v>
      </c>
      <c r="B300" s="59" t="s">
        <v>273</v>
      </c>
      <c r="C300" s="60" t="s">
        <v>830</v>
      </c>
      <c r="D300" s="60" t="s">
        <v>831</v>
      </c>
      <c r="E300" s="59" t="s">
        <v>810</v>
      </c>
      <c r="F300" s="59" t="str">
        <f t="shared" si="8"/>
        <v>CIV OPERI - 13</v>
      </c>
      <c r="G300" s="59" t="str">
        <f t="shared" si="9"/>
        <v>CIV13</v>
      </c>
    </row>
    <row r="301" spans="1:7" ht="15" hidden="1" customHeight="1" x14ac:dyDescent="0.35">
      <c r="A301" s="59">
        <v>14</v>
      </c>
      <c r="B301" s="59" t="s">
        <v>285</v>
      </c>
      <c r="C301" s="60" t="s">
        <v>832</v>
      </c>
      <c r="D301" s="60" t="s">
        <v>833</v>
      </c>
      <c r="E301" s="59" t="s">
        <v>810</v>
      </c>
      <c r="F301" s="59" t="str">
        <f t="shared" si="8"/>
        <v>CIV DIAKITE - 14</v>
      </c>
      <c r="G301" s="59" t="str">
        <f t="shared" si="9"/>
        <v>CIV14</v>
      </c>
    </row>
    <row r="302" spans="1:7" ht="15" hidden="1" customHeight="1" x14ac:dyDescent="0.35">
      <c r="A302" s="59">
        <v>15</v>
      </c>
      <c r="B302" s="59" t="s">
        <v>285</v>
      </c>
      <c r="C302" s="60" t="s">
        <v>834</v>
      </c>
      <c r="D302" s="60" t="s">
        <v>835</v>
      </c>
      <c r="E302" s="59" t="s">
        <v>810</v>
      </c>
      <c r="F302" s="59" t="str">
        <f t="shared" si="8"/>
        <v>CIV DIALLO - 15</v>
      </c>
      <c r="G302" s="59" t="str">
        <f t="shared" si="9"/>
        <v>CIV15</v>
      </c>
    </row>
    <row r="303" spans="1:7" ht="15" hidden="1" customHeight="1" x14ac:dyDescent="0.35">
      <c r="A303" s="59">
        <v>16</v>
      </c>
      <c r="B303" s="59" t="s">
        <v>269</v>
      </c>
      <c r="C303" s="60" t="s">
        <v>308</v>
      </c>
      <c r="D303" s="60" t="s">
        <v>684</v>
      </c>
      <c r="E303" s="59" t="s">
        <v>810</v>
      </c>
      <c r="F303" s="59" t="str">
        <f t="shared" si="8"/>
        <v>CIV (GK) KONE - 16</v>
      </c>
      <c r="G303" s="59" t="str">
        <f t="shared" si="9"/>
        <v>CIV16</v>
      </c>
    </row>
    <row r="304" spans="1:7" ht="15" hidden="1" customHeight="1" x14ac:dyDescent="0.35">
      <c r="A304" s="59">
        <v>17</v>
      </c>
      <c r="B304" s="59" t="s">
        <v>273</v>
      </c>
      <c r="C304" s="60" t="s">
        <v>836</v>
      </c>
      <c r="D304" s="60" t="s">
        <v>837</v>
      </c>
      <c r="E304" s="59" t="s">
        <v>810</v>
      </c>
      <c r="F304" s="59" t="str">
        <f t="shared" si="8"/>
        <v>CIV DOUE - 17</v>
      </c>
      <c r="G304" s="59" t="str">
        <f t="shared" si="9"/>
        <v>CIV17</v>
      </c>
    </row>
    <row r="305" spans="1:7" ht="15" hidden="1" customHeight="1" x14ac:dyDescent="0.35">
      <c r="A305" s="59">
        <v>18</v>
      </c>
      <c r="B305" s="59" t="s">
        <v>282</v>
      </c>
      <c r="C305" s="60" t="s">
        <v>316</v>
      </c>
      <c r="D305" s="60" t="s">
        <v>838</v>
      </c>
      <c r="E305" s="59" t="s">
        <v>810</v>
      </c>
      <c r="F305" s="59" t="str">
        <f t="shared" si="8"/>
        <v>CIV SANGARE - 18</v>
      </c>
      <c r="G305" s="59" t="str">
        <f t="shared" si="9"/>
        <v>CIV18</v>
      </c>
    </row>
    <row r="306" spans="1:7" ht="15" hidden="1" customHeight="1" x14ac:dyDescent="0.35">
      <c r="A306" s="59">
        <v>19</v>
      </c>
      <c r="B306" s="59" t="s">
        <v>285</v>
      </c>
      <c r="C306" s="60" t="s">
        <v>330</v>
      </c>
      <c r="D306" s="60" t="s">
        <v>839</v>
      </c>
      <c r="E306" s="59" t="s">
        <v>810</v>
      </c>
      <c r="F306" s="59" t="str">
        <f t="shared" si="8"/>
        <v>CIV PEPE - 19</v>
      </c>
      <c r="G306" s="59" t="str">
        <f t="shared" si="9"/>
        <v>CIV19</v>
      </c>
    </row>
    <row r="307" spans="1:7" ht="15" hidden="1" customHeight="1" x14ac:dyDescent="0.35">
      <c r="A307" s="59">
        <v>20</v>
      </c>
      <c r="B307" s="59" t="s">
        <v>273</v>
      </c>
      <c r="C307" s="60" t="s">
        <v>840</v>
      </c>
      <c r="D307" s="60" t="s">
        <v>841</v>
      </c>
      <c r="E307" s="59" t="s">
        <v>810</v>
      </c>
      <c r="F307" s="59" t="str">
        <f t="shared" si="8"/>
        <v>CIV AGBADOU - 20</v>
      </c>
      <c r="G307" s="59" t="str">
        <f t="shared" si="9"/>
        <v>CIV20</v>
      </c>
    </row>
    <row r="308" spans="1:7" ht="15" hidden="1" customHeight="1" x14ac:dyDescent="0.35">
      <c r="A308" s="59">
        <v>21</v>
      </c>
      <c r="B308" s="59" t="s">
        <v>273</v>
      </c>
      <c r="C308" s="60" t="s">
        <v>842</v>
      </c>
      <c r="D308" s="60" t="s">
        <v>843</v>
      </c>
      <c r="E308" s="59" t="s">
        <v>810</v>
      </c>
      <c r="F308" s="59" t="str">
        <f t="shared" si="8"/>
        <v>CIV NDICKA - 21</v>
      </c>
      <c r="G308" s="59" t="str">
        <f t="shared" si="9"/>
        <v>CIV21</v>
      </c>
    </row>
    <row r="309" spans="1:7" ht="15" hidden="1" customHeight="1" x14ac:dyDescent="0.35">
      <c r="A309" s="59">
        <v>22</v>
      </c>
      <c r="B309" s="59" t="s">
        <v>285</v>
      </c>
      <c r="C309" s="60" t="s">
        <v>844</v>
      </c>
      <c r="D309" s="60" t="s">
        <v>845</v>
      </c>
      <c r="E309" s="59" t="s">
        <v>810</v>
      </c>
      <c r="F309" s="59" t="str">
        <f t="shared" si="8"/>
        <v>CIV GUESSAND - 22</v>
      </c>
      <c r="G309" s="59" t="str">
        <f t="shared" si="9"/>
        <v>CIV22</v>
      </c>
    </row>
    <row r="310" spans="1:7" ht="15" hidden="1" customHeight="1" x14ac:dyDescent="0.35">
      <c r="A310" s="59">
        <v>23</v>
      </c>
      <c r="B310" s="59" t="s">
        <v>269</v>
      </c>
      <c r="C310" s="60" t="s">
        <v>846</v>
      </c>
      <c r="D310" s="60" t="s">
        <v>847</v>
      </c>
      <c r="E310" s="59" t="s">
        <v>810</v>
      </c>
      <c r="F310" s="59" t="str">
        <f t="shared" si="8"/>
        <v>CIV (GK) LAFONT - 23</v>
      </c>
      <c r="G310" s="59" t="str">
        <f t="shared" si="9"/>
        <v>CIV23</v>
      </c>
    </row>
    <row r="311" spans="1:7" ht="15" hidden="1" customHeight="1" x14ac:dyDescent="0.35">
      <c r="A311" s="59">
        <v>24</v>
      </c>
      <c r="B311" s="59" t="s">
        <v>285</v>
      </c>
      <c r="C311" s="60" t="s">
        <v>848</v>
      </c>
      <c r="D311" s="60" t="s">
        <v>390</v>
      </c>
      <c r="E311" s="59" t="s">
        <v>810</v>
      </c>
      <c r="F311" s="59" t="str">
        <f t="shared" si="8"/>
        <v>CIV TOURE - 24</v>
      </c>
      <c r="G311" s="59" t="str">
        <f t="shared" si="9"/>
        <v>CIV24</v>
      </c>
    </row>
    <row r="312" spans="1:7" ht="15" hidden="1" customHeight="1" x14ac:dyDescent="0.35">
      <c r="A312" s="59">
        <v>25</v>
      </c>
      <c r="B312" s="59" t="s">
        <v>282</v>
      </c>
      <c r="C312" s="60" t="s">
        <v>849</v>
      </c>
      <c r="D312" s="60" t="s">
        <v>850</v>
      </c>
      <c r="E312" s="59" t="s">
        <v>810</v>
      </c>
      <c r="F312" s="59" t="str">
        <f t="shared" si="8"/>
        <v>CIV GUIAGON - 25</v>
      </c>
      <c r="G312" s="59" t="str">
        <f t="shared" si="9"/>
        <v>CIV25</v>
      </c>
    </row>
    <row r="313" spans="1:7" ht="15" hidden="1" customHeight="1" x14ac:dyDescent="0.35">
      <c r="A313" s="59">
        <v>26</v>
      </c>
      <c r="B313" s="59" t="s">
        <v>282</v>
      </c>
      <c r="C313" s="60" t="s">
        <v>851</v>
      </c>
      <c r="D313" s="60" t="s">
        <v>852</v>
      </c>
      <c r="E313" s="59" t="s">
        <v>810</v>
      </c>
      <c r="F313" s="59" t="str">
        <f t="shared" si="8"/>
        <v>CIV OULAI - 26</v>
      </c>
      <c r="G313" s="59" t="str">
        <f t="shared" si="9"/>
        <v>CIV26</v>
      </c>
    </row>
    <row r="314" spans="1:7" ht="15" hidden="1" customHeight="1" x14ac:dyDescent="0.35">
      <c r="A314" s="61">
        <v>1</v>
      </c>
      <c r="B314" s="61" t="s">
        <v>269</v>
      </c>
      <c r="C314" s="62" t="s">
        <v>853</v>
      </c>
      <c r="D314" s="62" t="s">
        <v>854</v>
      </c>
      <c r="E314" s="61" t="s">
        <v>855</v>
      </c>
      <c r="F314" s="61" t="str">
        <f t="shared" si="8"/>
        <v>HRV (GK) LIVAKOVIC - 1</v>
      </c>
      <c r="G314" s="61" t="str">
        <f t="shared" si="9"/>
        <v>HRV1</v>
      </c>
    </row>
    <row r="315" spans="1:7" ht="15" hidden="1" customHeight="1" x14ac:dyDescent="0.35">
      <c r="A315" s="61">
        <v>2</v>
      </c>
      <c r="B315" s="61" t="s">
        <v>273</v>
      </c>
      <c r="C315" s="62" t="s">
        <v>856</v>
      </c>
      <c r="D315" s="62" t="s">
        <v>857</v>
      </c>
      <c r="E315" s="61" t="s">
        <v>855</v>
      </c>
      <c r="F315" s="61" t="str">
        <f t="shared" si="8"/>
        <v>HRV STANISIC - 2</v>
      </c>
      <c r="G315" s="61" t="str">
        <f t="shared" si="9"/>
        <v>HRV2</v>
      </c>
    </row>
    <row r="316" spans="1:7" ht="15" hidden="1" customHeight="1" x14ac:dyDescent="0.35">
      <c r="A316" s="61">
        <v>3</v>
      </c>
      <c r="B316" s="61" t="s">
        <v>273</v>
      </c>
      <c r="C316" s="62" t="s">
        <v>858</v>
      </c>
      <c r="D316" s="62" t="s">
        <v>859</v>
      </c>
      <c r="E316" s="61" t="s">
        <v>855</v>
      </c>
      <c r="F316" s="61" t="str">
        <f t="shared" si="8"/>
        <v>HRV PONGRACIC - 3</v>
      </c>
      <c r="G316" s="61" t="str">
        <f t="shared" si="9"/>
        <v>HRV3</v>
      </c>
    </row>
    <row r="317" spans="1:7" ht="15" hidden="1" customHeight="1" x14ac:dyDescent="0.35">
      <c r="A317" s="61">
        <v>4</v>
      </c>
      <c r="B317" s="61" t="s">
        <v>273</v>
      </c>
      <c r="C317" s="62" t="s">
        <v>860</v>
      </c>
      <c r="D317" s="62" t="s">
        <v>861</v>
      </c>
      <c r="E317" s="61" t="s">
        <v>855</v>
      </c>
      <c r="F317" s="61" t="str">
        <f t="shared" si="8"/>
        <v>HRV GVARDIOL - 4</v>
      </c>
      <c r="G317" s="61" t="str">
        <f t="shared" si="9"/>
        <v>HRV4</v>
      </c>
    </row>
    <row r="318" spans="1:7" ht="15" hidden="1" customHeight="1" x14ac:dyDescent="0.35">
      <c r="A318" s="61">
        <v>5</v>
      </c>
      <c r="B318" s="61" t="s">
        <v>273</v>
      </c>
      <c r="C318" s="62" t="s">
        <v>862</v>
      </c>
      <c r="D318" s="62" t="s">
        <v>863</v>
      </c>
      <c r="E318" s="61" t="s">
        <v>855</v>
      </c>
      <c r="F318" s="61" t="str">
        <f t="shared" si="8"/>
        <v>HRV CALETA-CAR - 5</v>
      </c>
      <c r="G318" s="61" t="str">
        <f t="shared" si="9"/>
        <v>HRV5</v>
      </c>
    </row>
    <row r="319" spans="1:7" ht="15" hidden="1" customHeight="1" x14ac:dyDescent="0.35">
      <c r="A319" s="61">
        <v>6</v>
      </c>
      <c r="B319" s="61" t="s">
        <v>273</v>
      </c>
      <c r="C319" s="62" t="s">
        <v>856</v>
      </c>
      <c r="D319" s="62" t="s">
        <v>864</v>
      </c>
      <c r="E319" s="61" t="s">
        <v>855</v>
      </c>
      <c r="F319" s="61" t="str">
        <f t="shared" si="8"/>
        <v>HRV SUTALO - 6</v>
      </c>
      <c r="G319" s="61" t="str">
        <f t="shared" si="9"/>
        <v>HRV6</v>
      </c>
    </row>
    <row r="320" spans="1:7" ht="15" hidden="1" customHeight="1" x14ac:dyDescent="0.35">
      <c r="A320" s="61">
        <v>7</v>
      </c>
      <c r="B320" s="61" t="s">
        <v>282</v>
      </c>
      <c r="C320" s="62" t="s">
        <v>514</v>
      </c>
      <c r="D320" s="62" t="s">
        <v>865</v>
      </c>
      <c r="E320" s="61" t="s">
        <v>855</v>
      </c>
      <c r="F320" s="61" t="str">
        <f t="shared" si="8"/>
        <v>HRV MORO - 7</v>
      </c>
      <c r="G320" s="61" t="str">
        <f t="shared" si="9"/>
        <v>HRV7</v>
      </c>
    </row>
    <row r="321" spans="1:7" ht="15" hidden="1" customHeight="1" x14ac:dyDescent="0.35">
      <c r="A321" s="61">
        <v>8</v>
      </c>
      <c r="B321" s="61" t="s">
        <v>282</v>
      </c>
      <c r="C321" s="62" t="s">
        <v>866</v>
      </c>
      <c r="D321" s="62" t="s">
        <v>867</v>
      </c>
      <c r="E321" s="61" t="s">
        <v>855</v>
      </c>
      <c r="F321" s="61" t="str">
        <f t="shared" si="8"/>
        <v>HRV KOVACIC - 8</v>
      </c>
      <c r="G321" s="61" t="str">
        <f t="shared" si="9"/>
        <v>HRV8</v>
      </c>
    </row>
    <row r="322" spans="1:7" ht="15" hidden="1" customHeight="1" x14ac:dyDescent="0.35">
      <c r="A322" s="61">
        <v>9</v>
      </c>
      <c r="B322" s="61" t="s">
        <v>285</v>
      </c>
      <c r="C322" s="62" t="s">
        <v>868</v>
      </c>
      <c r="D322" s="62" t="s">
        <v>869</v>
      </c>
      <c r="E322" s="61" t="s">
        <v>855</v>
      </c>
      <c r="F322" s="61" t="str">
        <f t="shared" si="8"/>
        <v>HRV KRAMARIC - 9</v>
      </c>
      <c r="G322" s="61" t="str">
        <f t="shared" si="9"/>
        <v>HRV9</v>
      </c>
    </row>
    <row r="323" spans="1:7" ht="15" hidden="1" customHeight="1" x14ac:dyDescent="0.35">
      <c r="A323" s="61">
        <v>10</v>
      </c>
      <c r="B323" s="61" t="s">
        <v>282</v>
      </c>
      <c r="C323" s="62" t="s">
        <v>870</v>
      </c>
      <c r="D323" s="62" t="s">
        <v>871</v>
      </c>
      <c r="E323" s="61" t="s">
        <v>855</v>
      </c>
      <c r="F323" s="61" t="str">
        <f t="shared" ref="F323:F386" si="10">IF(B323="GK", _xlfn.CONCAT(E323, " ","(",B323, ") ",D323, " - ", A323),  _xlfn.CONCAT(E323, " ",D323, " - ", A323))</f>
        <v>HRV MODRIC - 10</v>
      </c>
      <c r="G323" s="61" t="str">
        <f t="shared" ref="G323:G386" si="11">_xlfn.CONCAT(E323,A323)</f>
        <v>HRV10</v>
      </c>
    </row>
    <row r="324" spans="1:7" ht="15" hidden="1" customHeight="1" x14ac:dyDescent="0.35">
      <c r="A324" s="61">
        <v>11</v>
      </c>
      <c r="B324" s="61" t="s">
        <v>285</v>
      </c>
      <c r="C324" s="62" t="s">
        <v>872</v>
      </c>
      <c r="D324" s="62" t="s">
        <v>873</v>
      </c>
      <c r="E324" s="61" t="s">
        <v>855</v>
      </c>
      <c r="F324" s="61" t="str">
        <f t="shared" si="10"/>
        <v>HRV BUDIMIR - 11</v>
      </c>
      <c r="G324" s="61" t="str">
        <f t="shared" si="11"/>
        <v>HRV11</v>
      </c>
    </row>
    <row r="325" spans="1:7" ht="15" hidden="1" customHeight="1" x14ac:dyDescent="0.35">
      <c r="A325" s="61">
        <v>12</v>
      </c>
      <c r="B325" s="61" t="s">
        <v>269</v>
      </c>
      <c r="C325" s="62" t="s">
        <v>874</v>
      </c>
      <c r="D325" s="62" t="s">
        <v>875</v>
      </c>
      <c r="E325" s="61" t="s">
        <v>855</v>
      </c>
      <c r="F325" s="61" t="str">
        <f t="shared" si="10"/>
        <v>HRV (GK) PANDUR - 12</v>
      </c>
      <c r="G325" s="61" t="str">
        <f t="shared" si="11"/>
        <v>HRV12</v>
      </c>
    </row>
    <row r="326" spans="1:7" ht="15" hidden="1" customHeight="1" x14ac:dyDescent="0.35">
      <c r="A326" s="61">
        <v>13</v>
      </c>
      <c r="B326" s="61" t="s">
        <v>282</v>
      </c>
      <c r="C326" s="62" t="s">
        <v>514</v>
      </c>
      <c r="D326" s="62" t="s">
        <v>876</v>
      </c>
      <c r="E326" s="61" t="s">
        <v>855</v>
      </c>
      <c r="F326" s="61" t="str">
        <f t="shared" si="10"/>
        <v>HRV VLASIC - 13</v>
      </c>
      <c r="G326" s="61" t="str">
        <f t="shared" si="11"/>
        <v>HRV13</v>
      </c>
    </row>
    <row r="327" spans="1:7" ht="15" hidden="1" customHeight="1" x14ac:dyDescent="0.35">
      <c r="A327" s="61">
        <v>14</v>
      </c>
      <c r="B327" s="61" t="s">
        <v>285</v>
      </c>
      <c r="C327" s="62" t="s">
        <v>539</v>
      </c>
      <c r="D327" s="62" t="s">
        <v>877</v>
      </c>
      <c r="E327" s="61" t="s">
        <v>855</v>
      </c>
      <c r="F327" s="61" t="str">
        <f t="shared" si="10"/>
        <v>HRV PERISIC - 14</v>
      </c>
      <c r="G327" s="61" t="str">
        <f t="shared" si="11"/>
        <v>HRV14</v>
      </c>
    </row>
    <row r="328" spans="1:7" ht="15" hidden="1" customHeight="1" x14ac:dyDescent="0.35">
      <c r="A328" s="61">
        <v>15</v>
      </c>
      <c r="B328" s="61" t="s">
        <v>282</v>
      </c>
      <c r="C328" s="62" t="s">
        <v>878</v>
      </c>
      <c r="D328" s="62" t="s">
        <v>879</v>
      </c>
      <c r="E328" s="61" t="s">
        <v>855</v>
      </c>
      <c r="F328" s="61" t="str">
        <f t="shared" si="10"/>
        <v>HRV PASALIC - 15</v>
      </c>
      <c r="G328" s="61" t="str">
        <f t="shared" si="11"/>
        <v>HRV15</v>
      </c>
    </row>
    <row r="329" spans="1:7" ht="15" hidden="1" customHeight="1" x14ac:dyDescent="0.35">
      <c r="A329" s="61">
        <v>16</v>
      </c>
      <c r="B329" s="61" t="s">
        <v>282</v>
      </c>
      <c r="C329" s="62" t="s">
        <v>554</v>
      </c>
      <c r="D329" s="62" t="s">
        <v>880</v>
      </c>
      <c r="E329" s="61" t="s">
        <v>855</v>
      </c>
      <c r="F329" s="61" t="str">
        <f t="shared" si="10"/>
        <v>HRV BATURINA - 16</v>
      </c>
      <c r="G329" s="61" t="str">
        <f t="shared" si="11"/>
        <v>HRV16</v>
      </c>
    </row>
    <row r="330" spans="1:7" ht="15" hidden="1" customHeight="1" x14ac:dyDescent="0.35">
      <c r="A330" s="61">
        <v>17</v>
      </c>
      <c r="B330" s="61" t="s">
        <v>282</v>
      </c>
      <c r="C330" s="62" t="s">
        <v>881</v>
      </c>
      <c r="D330" s="62" t="s">
        <v>882</v>
      </c>
      <c r="E330" s="61" t="s">
        <v>855</v>
      </c>
      <c r="F330" s="61" t="str">
        <f t="shared" si="10"/>
        <v>HRV SUCIC - 17</v>
      </c>
      <c r="G330" s="61" t="str">
        <f t="shared" si="11"/>
        <v>HRV17</v>
      </c>
    </row>
    <row r="331" spans="1:7" ht="15" hidden="1" customHeight="1" x14ac:dyDescent="0.35">
      <c r="A331" s="61">
        <v>18</v>
      </c>
      <c r="B331" s="61" t="s">
        <v>273</v>
      </c>
      <c r="C331" s="62" t="s">
        <v>883</v>
      </c>
      <c r="D331" s="62" t="s">
        <v>884</v>
      </c>
      <c r="E331" s="61" t="s">
        <v>855</v>
      </c>
      <c r="F331" s="61" t="str">
        <f t="shared" si="10"/>
        <v>HRV JAKIC - 18</v>
      </c>
      <c r="G331" s="61" t="str">
        <f t="shared" si="11"/>
        <v>HRV18</v>
      </c>
    </row>
    <row r="332" spans="1:7" ht="15" hidden="1" customHeight="1" x14ac:dyDescent="0.35">
      <c r="A332" s="61">
        <v>19</v>
      </c>
      <c r="B332" s="61" t="s">
        <v>282</v>
      </c>
      <c r="C332" s="62" t="s">
        <v>885</v>
      </c>
      <c r="D332" s="62" t="s">
        <v>886</v>
      </c>
      <c r="E332" s="61" t="s">
        <v>855</v>
      </c>
      <c r="F332" s="61" t="str">
        <f t="shared" si="10"/>
        <v>HRV FRUK - 19</v>
      </c>
      <c r="G332" s="61" t="str">
        <f t="shared" si="11"/>
        <v>HRV19</v>
      </c>
    </row>
    <row r="333" spans="1:7" ht="15" hidden="1" customHeight="1" x14ac:dyDescent="0.35">
      <c r="A333" s="61">
        <v>20</v>
      </c>
      <c r="B333" s="61" t="s">
        <v>285</v>
      </c>
      <c r="C333" s="62" t="s">
        <v>887</v>
      </c>
      <c r="D333" s="62" t="s">
        <v>888</v>
      </c>
      <c r="E333" s="61" t="s">
        <v>855</v>
      </c>
      <c r="F333" s="61" t="str">
        <f t="shared" si="10"/>
        <v>HRV MATANOVIC - 20</v>
      </c>
      <c r="G333" s="61" t="str">
        <f t="shared" si="11"/>
        <v>HRV20</v>
      </c>
    </row>
    <row r="334" spans="1:7" ht="15" hidden="1" customHeight="1" x14ac:dyDescent="0.35">
      <c r="A334" s="61">
        <v>21</v>
      </c>
      <c r="B334" s="61" t="s">
        <v>282</v>
      </c>
      <c r="C334" s="62" t="s">
        <v>870</v>
      </c>
      <c r="D334" s="62" t="s">
        <v>882</v>
      </c>
      <c r="E334" s="61" t="s">
        <v>855</v>
      </c>
      <c r="F334" s="61" t="str">
        <f t="shared" si="10"/>
        <v>HRV SUCIC - 21</v>
      </c>
      <c r="G334" s="61" t="str">
        <f t="shared" si="11"/>
        <v>HRV21</v>
      </c>
    </row>
    <row r="335" spans="1:7" ht="15" hidden="1" customHeight="1" x14ac:dyDescent="0.35">
      <c r="A335" s="61">
        <v>22</v>
      </c>
      <c r="B335" s="61" t="s">
        <v>273</v>
      </c>
      <c r="C335" s="62" t="s">
        <v>870</v>
      </c>
      <c r="D335" s="62" t="s">
        <v>889</v>
      </c>
      <c r="E335" s="61" t="s">
        <v>855</v>
      </c>
      <c r="F335" s="61" t="str">
        <f t="shared" si="10"/>
        <v>HRV VUSKOVIC - 22</v>
      </c>
      <c r="G335" s="61" t="str">
        <f t="shared" si="11"/>
        <v>HRV22</v>
      </c>
    </row>
    <row r="336" spans="1:7" ht="15" hidden="1" customHeight="1" x14ac:dyDescent="0.35">
      <c r="A336" s="61">
        <v>23</v>
      </c>
      <c r="B336" s="61" t="s">
        <v>269</v>
      </c>
      <c r="C336" s="62" t="s">
        <v>853</v>
      </c>
      <c r="D336" s="62" t="s">
        <v>890</v>
      </c>
      <c r="E336" s="61" t="s">
        <v>855</v>
      </c>
      <c r="F336" s="61" t="str">
        <f t="shared" si="10"/>
        <v>HRV (GK) KOTARSKI - 23</v>
      </c>
      <c r="G336" s="61" t="str">
        <f t="shared" si="11"/>
        <v>HRV23</v>
      </c>
    </row>
    <row r="337" spans="1:7" ht="15" hidden="1" customHeight="1" x14ac:dyDescent="0.35">
      <c r="A337" s="61">
        <v>24</v>
      </c>
      <c r="B337" s="61" t="s">
        <v>285</v>
      </c>
      <c r="C337" s="62" t="s">
        <v>460</v>
      </c>
      <c r="D337" s="62" t="s">
        <v>879</v>
      </c>
      <c r="E337" s="61" t="s">
        <v>855</v>
      </c>
      <c r="F337" s="61" t="str">
        <f t="shared" si="10"/>
        <v>HRV PASALIC - 24</v>
      </c>
      <c r="G337" s="61" t="str">
        <f t="shared" si="11"/>
        <v>HRV24</v>
      </c>
    </row>
    <row r="338" spans="1:7" ht="15" hidden="1" customHeight="1" x14ac:dyDescent="0.35">
      <c r="A338" s="61">
        <v>25</v>
      </c>
      <c r="B338" s="61" t="s">
        <v>273</v>
      </c>
      <c r="C338" s="62" t="s">
        <v>554</v>
      </c>
      <c r="D338" s="62" t="s">
        <v>891</v>
      </c>
      <c r="E338" s="61" t="s">
        <v>855</v>
      </c>
      <c r="F338" s="61" t="str">
        <f t="shared" si="10"/>
        <v>HRV ERLIC - 25</v>
      </c>
      <c r="G338" s="61" t="str">
        <f t="shared" si="11"/>
        <v>HRV25</v>
      </c>
    </row>
    <row r="339" spans="1:7" ht="15" hidden="1" customHeight="1" x14ac:dyDescent="0.35">
      <c r="A339" s="61">
        <v>26</v>
      </c>
      <c r="B339" s="61" t="s">
        <v>285</v>
      </c>
      <c r="C339" s="62" t="s">
        <v>881</v>
      </c>
      <c r="D339" s="62" t="s">
        <v>892</v>
      </c>
      <c r="E339" s="61" t="s">
        <v>855</v>
      </c>
      <c r="F339" s="61" t="str">
        <f t="shared" si="10"/>
        <v>HRV MUSA - 26</v>
      </c>
      <c r="G339" s="61" t="str">
        <f t="shared" si="11"/>
        <v>HRV26</v>
      </c>
    </row>
    <row r="340" spans="1:7" ht="15" hidden="1" customHeight="1" x14ac:dyDescent="0.35">
      <c r="A340" s="63">
        <v>1</v>
      </c>
      <c r="B340" s="63" t="s">
        <v>269</v>
      </c>
      <c r="C340" s="64" t="s">
        <v>893</v>
      </c>
      <c r="D340" s="64" t="s">
        <v>894</v>
      </c>
      <c r="E340" s="63" t="s">
        <v>895</v>
      </c>
      <c r="F340" s="63" t="str">
        <f t="shared" si="10"/>
        <v>CUW (GK) ROOM - 1</v>
      </c>
      <c r="G340" s="63" t="str">
        <f t="shared" si="11"/>
        <v>CUW1</v>
      </c>
    </row>
    <row r="341" spans="1:7" ht="15" hidden="1" customHeight="1" x14ac:dyDescent="0.35">
      <c r="A341" s="63">
        <v>2</v>
      </c>
      <c r="B341" s="63" t="s">
        <v>273</v>
      </c>
      <c r="C341" s="64" t="s">
        <v>896</v>
      </c>
      <c r="D341" s="64" t="s">
        <v>897</v>
      </c>
      <c r="E341" s="63" t="s">
        <v>895</v>
      </c>
      <c r="F341" s="63" t="str">
        <f t="shared" si="10"/>
        <v>CUW SAMBO - 2</v>
      </c>
      <c r="G341" s="63" t="str">
        <f t="shared" si="11"/>
        <v>CUW2</v>
      </c>
    </row>
    <row r="342" spans="1:7" ht="15" hidden="1" customHeight="1" x14ac:dyDescent="0.35">
      <c r="A342" s="63">
        <v>3</v>
      </c>
      <c r="B342" s="63" t="s">
        <v>273</v>
      </c>
      <c r="C342" s="64" t="s">
        <v>898</v>
      </c>
      <c r="D342" s="64" t="s">
        <v>899</v>
      </c>
      <c r="E342" s="63" t="s">
        <v>895</v>
      </c>
      <c r="F342" s="63" t="str">
        <f t="shared" si="10"/>
        <v>CUW GAARI - 3</v>
      </c>
      <c r="G342" s="63" t="str">
        <f t="shared" si="11"/>
        <v>CUW3</v>
      </c>
    </row>
    <row r="343" spans="1:7" ht="15" hidden="1" customHeight="1" x14ac:dyDescent="0.35">
      <c r="A343" s="63">
        <v>4</v>
      </c>
      <c r="B343" s="63" t="s">
        <v>273</v>
      </c>
      <c r="C343" s="64" t="s">
        <v>900</v>
      </c>
      <c r="D343" s="64" t="s">
        <v>901</v>
      </c>
      <c r="E343" s="63" t="s">
        <v>895</v>
      </c>
      <c r="F343" s="63" t="str">
        <f t="shared" si="10"/>
        <v>CUW VAN EIJMA - 4</v>
      </c>
      <c r="G343" s="63" t="str">
        <f t="shared" si="11"/>
        <v>CUW4</v>
      </c>
    </row>
    <row r="344" spans="1:7" ht="15" hidden="1" customHeight="1" x14ac:dyDescent="0.35">
      <c r="A344" s="63">
        <v>5</v>
      </c>
      <c r="B344" s="63" t="s">
        <v>273</v>
      </c>
      <c r="C344" s="64" t="s">
        <v>902</v>
      </c>
      <c r="D344" s="64" t="s">
        <v>903</v>
      </c>
      <c r="E344" s="63" t="s">
        <v>895</v>
      </c>
      <c r="F344" s="63" t="str">
        <f t="shared" si="10"/>
        <v>CUW FLORANUS - 5</v>
      </c>
      <c r="G344" s="63" t="str">
        <f t="shared" si="11"/>
        <v>CUW5</v>
      </c>
    </row>
    <row r="345" spans="1:7" ht="15" hidden="1" customHeight="1" x14ac:dyDescent="0.35">
      <c r="A345" s="63">
        <v>6</v>
      </c>
      <c r="B345" s="63" t="s">
        <v>282</v>
      </c>
      <c r="C345" s="64" t="s">
        <v>904</v>
      </c>
      <c r="D345" s="64" t="s">
        <v>905</v>
      </c>
      <c r="E345" s="63" t="s">
        <v>895</v>
      </c>
      <c r="F345" s="63" t="str">
        <f t="shared" si="10"/>
        <v>CUW ROEMERATOE - 6</v>
      </c>
      <c r="G345" s="63" t="str">
        <f t="shared" si="11"/>
        <v>CUW6</v>
      </c>
    </row>
    <row r="346" spans="1:7" ht="15" hidden="1" customHeight="1" x14ac:dyDescent="0.35">
      <c r="A346" s="63">
        <v>7</v>
      </c>
      <c r="B346" s="63" t="s">
        <v>282</v>
      </c>
      <c r="C346" s="64" t="s">
        <v>906</v>
      </c>
      <c r="D346" s="64" t="s">
        <v>907</v>
      </c>
      <c r="E346" s="63" t="s">
        <v>895</v>
      </c>
      <c r="F346" s="63" t="str">
        <f t="shared" si="10"/>
        <v>CUW BACUNA - 7</v>
      </c>
      <c r="G346" s="63" t="str">
        <f t="shared" si="11"/>
        <v>CUW7</v>
      </c>
    </row>
    <row r="347" spans="1:7" ht="15" hidden="1" customHeight="1" x14ac:dyDescent="0.35">
      <c r="A347" s="63">
        <v>8</v>
      </c>
      <c r="B347" s="63" t="s">
        <v>282</v>
      </c>
      <c r="C347" s="64" t="s">
        <v>908</v>
      </c>
      <c r="D347" s="64" t="s">
        <v>909</v>
      </c>
      <c r="E347" s="63" t="s">
        <v>895</v>
      </c>
      <c r="F347" s="63" t="str">
        <f t="shared" si="10"/>
        <v>CUW COMENENCIA - 8</v>
      </c>
      <c r="G347" s="63" t="str">
        <f t="shared" si="11"/>
        <v>CUW8</v>
      </c>
    </row>
    <row r="348" spans="1:7" ht="15" hidden="1" customHeight="1" x14ac:dyDescent="0.35">
      <c r="A348" s="63">
        <v>9</v>
      </c>
      <c r="B348" s="63" t="s">
        <v>285</v>
      </c>
      <c r="C348" s="64" t="s">
        <v>910</v>
      </c>
      <c r="D348" s="64" t="s">
        <v>911</v>
      </c>
      <c r="E348" s="63" t="s">
        <v>895</v>
      </c>
      <c r="F348" s="63" t="str">
        <f t="shared" si="10"/>
        <v>CUW LOCADIA - 9</v>
      </c>
      <c r="G348" s="63" t="str">
        <f t="shared" si="11"/>
        <v>CUW9</v>
      </c>
    </row>
    <row r="349" spans="1:7" ht="15" hidden="1" customHeight="1" x14ac:dyDescent="0.35">
      <c r="A349" s="63">
        <v>10</v>
      </c>
      <c r="B349" s="63" t="s">
        <v>282</v>
      </c>
      <c r="C349" s="64" t="s">
        <v>334</v>
      </c>
      <c r="D349" s="64" t="s">
        <v>907</v>
      </c>
      <c r="E349" s="63" t="s">
        <v>895</v>
      </c>
      <c r="F349" s="63" t="str">
        <f t="shared" si="10"/>
        <v>CUW BACUNA - 10</v>
      </c>
      <c r="G349" s="63" t="str">
        <f t="shared" si="11"/>
        <v>CUW10</v>
      </c>
    </row>
    <row r="350" spans="1:7" ht="15" hidden="1" customHeight="1" x14ac:dyDescent="0.35">
      <c r="A350" s="63">
        <v>11</v>
      </c>
      <c r="B350" s="63" t="s">
        <v>285</v>
      </c>
      <c r="C350" s="64" t="s">
        <v>484</v>
      </c>
      <c r="D350" s="64" t="s">
        <v>912</v>
      </c>
      <c r="E350" s="63" t="s">
        <v>895</v>
      </c>
      <c r="F350" s="63" t="str">
        <f t="shared" si="10"/>
        <v>CUW ANTONISSE - 11</v>
      </c>
      <c r="G350" s="63" t="str">
        <f t="shared" si="11"/>
        <v>CUW11</v>
      </c>
    </row>
    <row r="351" spans="1:7" ht="15" hidden="1" customHeight="1" x14ac:dyDescent="0.35">
      <c r="A351" s="63">
        <v>12</v>
      </c>
      <c r="B351" s="63" t="s">
        <v>285</v>
      </c>
      <c r="C351" s="64" t="s">
        <v>913</v>
      </c>
      <c r="D351" s="64" t="s">
        <v>914</v>
      </c>
      <c r="E351" s="63" t="s">
        <v>895</v>
      </c>
      <c r="F351" s="63" t="str">
        <f t="shared" si="10"/>
        <v>CUW HANSEN - 12</v>
      </c>
      <c r="G351" s="63" t="str">
        <f t="shared" si="11"/>
        <v>CUW12</v>
      </c>
    </row>
    <row r="352" spans="1:7" ht="15" hidden="1" customHeight="1" x14ac:dyDescent="0.35">
      <c r="A352" s="63">
        <v>13</v>
      </c>
      <c r="B352" s="63" t="s">
        <v>285</v>
      </c>
      <c r="C352" s="64" t="s">
        <v>915</v>
      </c>
      <c r="D352" s="64" t="s">
        <v>916</v>
      </c>
      <c r="E352" s="63" t="s">
        <v>895</v>
      </c>
      <c r="F352" s="63" t="str">
        <f t="shared" si="10"/>
        <v>CUW NOSLIN - 13</v>
      </c>
      <c r="G352" s="63" t="str">
        <f t="shared" si="11"/>
        <v>CUW13</v>
      </c>
    </row>
    <row r="353" spans="1:7" ht="15" hidden="1" customHeight="1" x14ac:dyDescent="0.35">
      <c r="A353" s="63">
        <v>14</v>
      </c>
      <c r="B353" s="63" t="s">
        <v>285</v>
      </c>
      <c r="C353" s="64" t="s">
        <v>917</v>
      </c>
      <c r="D353" s="64" t="s">
        <v>918</v>
      </c>
      <c r="E353" s="63" t="s">
        <v>895</v>
      </c>
      <c r="F353" s="63" t="str">
        <f t="shared" si="10"/>
        <v>CUW GORRE - 14</v>
      </c>
      <c r="G353" s="63" t="str">
        <f t="shared" si="11"/>
        <v>CUW14</v>
      </c>
    </row>
    <row r="354" spans="1:7" ht="15" hidden="1" customHeight="1" x14ac:dyDescent="0.35">
      <c r="A354" s="63">
        <v>15</v>
      </c>
      <c r="B354" s="63" t="s">
        <v>282</v>
      </c>
      <c r="C354" s="64" t="s">
        <v>919</v>
      </c>
      <c r="D354" s="64" t="s">
        <v>920</v>
      </c>
      <c r="E354" s="63" t="s">
        <v>895</v>
      </c>
      <c r="F354" s="63" t="str">
        <f t="shared" si="10"/>
        <v>CUW MARTHA - 15</v>
      </c>
      <c r="G354" s="63" t="str">
        <f t="shared" si="11"/>
        <v>CUW15</v>
      </c>
    </row>
    <row r="355" spans="1:7" ht="15" hidden="1" customHeight="1" x14ac:dyDescent="0.35">
      <c r="A355" s="63">
        <v>16</v>
      </c>
      <c r="B355" s="63" t="s">
        <v>285</v>
      </c>
      <c r="C355" s="64" t="s">
        <v>921</v>
      </c>
      <c r="D355" s="64" t="s">
        <v>922</v>
      </c>
      <c r="E355" s="63" t="s">
        <v>895</v>
      </c>
      <c r="F355" s="63" t="str">
        <f t="shared" si="10"/>
        <v>CUW MARGARITHA - 16</v>
      </c>
      <c r="G355" s="63" t="str">
        <f t="shared" si="11"/>
        <v>CUW16</v>
      </c>
    </row>
    <row r="356" spans="1:7" ht="15" hidden="1" customHeight="1" x14ac:dyDescent="0.35">
      <c r="A356" s="63">
        <v>17</v>
      </c>
      <c r="B356" s="63" t="s">
        <v>285</v>
      </c>
      <c r="C356" s="64" t="s">
        <v>923</v>
      </c>
      <c r="D356" s="64" t="s">
        <v>924</v>
      </c>
      <c r="E356" s="63" t="s">
        <v>895</v>
      </c>
      <c r="F356" s="63" t="str">
        <f t="shared" si="10"/>
        <v>CUW KUWAS - 17</v>
      </c>
      <c r="G356" s="63" t="str">
        <f t="shared" si="11"/>
        <v>CUW17</v>
      </c>
    </row>
    <row r="357" spans="1:7" ht="15" hidden="1" customHeight="1" x14ac:dyDescent="0.35">
      <c r="A357" s="63">
        <v>18</v>
      </c>
      <c r="B357" s="63" t="s">
        <v>273</v>
      </c>
      <c r="C357" s="64" t="s">
        <v>925</v>
      </c>
      <c r="D357" s="64" t="s">
        <v>926</v>
      </c>
      <c r="E357" s="63" t="s">
        <v>895</v>
      </c>
      <c r="F357" s="63" t="str">
        <f t="shared" si="10"/>
        <v>CUW OBISPO - 18</v>
      </c>
      <c r="G357" s="63" t="str">
        <f t="shared" si="11"/>
        <v>CUW18</v>
      </c>
    </row>
    <row r="358" spans="1:7" ht="15" hidden="1" customHeight="1" x14ac:dyDescent="0.35">
      <c r="A358" s="63">
        <v>19</v>
      </c>
      <c r="B358" s="63" t="s">
        <v>285</v>
      </c>
      <c r="C358" s="64" t="s">
        <v>927</v>
      </c>
      <c r="D358" s="64" t="s">
        <v>928</v>
      </c>
      <c r="E358" s="63" t="s">
        <v>895</v>
      </c>
      <c r="F358" s="63" t="str">
        <f t="shared" si="10"/>
        <v>CUW KASTANEER - 19</v>
      </c>
      <c r="G358" s="63" t="str">
        <f t="shared" si="11"/>
        <v>CUW19</v>
      </c>
    </row>
    <row r="359" spans="1:7" ht="15" hidden="1" customHeight="1" x14ac:dyDescent="0.35">
      <c r="A359" s="63">
        <v>20</v>
      </c>
      <c r="B359" s="63" t="s">
        <v>273</v>
      </c>
      <c r="C359" s="64" t="s">
        <v>929</v>
      </c>
      <c r="D359" s="64" t="s">
        <v>930</v>
      </c>
      <c r="E359" s="63" t="s">
        <v>895</v>
      </c>
      <c r="F359" s="63" t="str">
        <f t="shared" si="10"/>
        <v>CUW BRENET - 20</v>
      </c>
      <c r="G359" s="63" t="str">
        <f t="shared" si="11"/>
        <v>CUW20</v>
      </c>
    </row>
    <row r="360" spans="1:7" ht="15" hidden="1" customHeight="1" x14ac:dyDescent="0.35">
      <c r="A360" s="63">
        <v>21</v>
      </c>
      <c r="B360" s="63" t="s">
        <v>282</v>
      </c>
      <c r="C360" s="64" t="s">
        <v>931</v>
      </c>
      <c r="D360" s="64" t="s">
        <v>932</v>
      </c>
      <c r="E360" s="63" t="s">
        <v>895</v>
      </c>
      <c r="F360" s="63" t="str">
        <f t="shared" si="10"/>
        <v>CUW CHONG - 21</v>
      </c>
      <c r="G360" s="63" t="str">
        <f t="shared" si="11"/>
        <v>CUW21</v>
      </c>
    </row>
    <row r="361" spans="1:7" ht="15" hidden="1" customHeight="1" x14ac:dyDescent="0.35">
      <c r="A361" s="63">
        <v>22</v>
      </c>
      <c r="B361" s="63" t="s">
        <v>282</v>
      </c>
      <c r="C361" s="64" t="s">
        <v>427</v>
      </c>
      <c r="D361" s="64" t="s">
        <v>933</v>
      </c>
      <c r="E361" s="63" t="s">
        <v>895</v>
      </c>
      <c r="F361" s="63" t="str">
        <f t="shared" si="10"/>
        <v>CUW FELIDA - 22</v>
      </c>
      <c r="G361" s="63" t="str">
        <f t="shared" si="11"/>
        <v>CUW22</v>
      </c>
    </row>
    <row r="362" spans="1:7" ht="15" hidden="1" customHeight="1" x14ac:dyDescent="0.35">
      <c r="A362" s="63">
        <v>23</v>
      </c>
      <c r="B362" s="63" t="s">
        <v>273</v>
      </c>
      <c r="C362" s="64" t="s">
        <v>934</v>
      </c>
      <c r="D362" s="64" t="s">
        <v>935</v>
      </c>
      <c r="E362" s="63" t="s">
        <v>895</v>
      </c>
      <c r="F362" s="63" t="str">
        <f t="shared" si="10"/>
        <v>CUW BAZOER - 23</v>
      </c>
      <c r="G362" s="63" t="str">
        <f t="shared" si="11"/>
        <v>CUW23</v>
      </c>
    </row>
    <row r="363" spans="1:7" ht="15" hidden="1" customHeight="1" x14ac:dyDescent="0.35">
      <c r="A363" s="63">
        <v>24</v>
      </c>
      <c r="B363" s="63" t="s">
        <v>273</v>
      </c>
      <c r="C363" s="64" t="s">
        <v>936</v>
      </c>
      <c r="D363" s="64" t="s">
        <v>937</v>
      </c>
      <c r="E363" s="63" t="s">
        <v>895</v>
      </c>
      <c r="F363" s="63" t="str">
        <f t="shared" si="10"/>
        <v>CUW FONVILLE - 24</v>
      </c>
      <c r="G363" s="63" t="str">
        <f t="shared" si="11"/>
        <v>CUW24</v>
      </c>
    </row>
    <row r="364" spans="1:7" ht="15" hidden="1" customHeight="1" x14ac:dyDescent="0.35">
      <c r="A364" s="63">
        <v>25</v>
      </c>
      <c r="B364" s="63" t="s">
        <v>269</v>
      </c>
      <c r="C364" s="64" t="s">
        <v>938</v>
      </c>
      <c r="D364" s="64" t="s">
        <v>939</v>
      </c>
      <c r="E364" s="63" t="s">
        <v>895</v>
      </c>
      <c r="F364" s="63" t="str">
        <f t="shared" si="10"/>
        <v>CUW (GK) BODAK - 25</v>
      </c>
      <c r="G364" s="63" t="str">
        <f t="shared" si="11"/>
        <v>CUW25</v>
      </c>
    </row>
    <row r="365" spans="1:7" ht="15" hidden="1" customHeight="1" x14ac:dyDescent="0.35">
      <c r="A365" s="63">
        <v>26</v>
      </c>
      <c r="B365" s="63" t="s">
        <v>269</v>
      </c>
      <c r="C365" s="64" t="s">
        <v>940</v>
      </c>
      <c r="D365" s="64" t="s">
        <v>941</v>
      </c>
      <c r="E365" s="63" t="s">
        <v>895</v>
      </c>
      <c r="F365" s="63" t="str">
        <f t="shared" si="10"/>
        <v>CUW (GK) DOORNBUSCH - 26</v>
      </c>
      <c r="G365" s="63" t="str">
        <f t="shared" si="11"/>
        <v>CUW26</v>
      </c>
    </row>
    <row r="366" spans="1:7" ht="15" hidden="1" customHeight="1" x14ac:dyDescent="0.35">
      <c r="A366" s="65">
        <v>1</v>
      </c>
      <c r="B366" s="65" t="s">
        <v>269</v>
      </c>
      <c r="C366" s="66" t="s">
        <v>942</v>
      </c>
      <c r="D366" s="66" t="s">
        <v>943</v>
      </c>
      <c r="E366" s="65" t="s">
        <v>944</v>
      </c>
      <c r="F366" s="65" t="str">
        <f t="shared" si="10"/>
        <v>CZE (GK) KOVAR - 1</v>
      </c>
      <c r="G366" s="65" t="str">
        <f t="shared" si="11"/>
        <v>CZE1</v>
      </c>
    </row>
    <row r="367" spans="1:7" ht="15" hidden="1" customHeight="1" x14ac:dyDescent="0.35">
      <c r="A367" s="65">
        <v>2</v>
      </c>
      <c r="B367" s="65" t="s">
        <v>273</v>
      </c>
      <c r="C367" s="66" t="s">
        <v>425</v>
      </c>
      <c r="D367" s="66" t="s">
        <v>945</v>
      </c>
      <c r="E367" s="65" t="s">
        <v>944</v>
      </c>
      <c r="F367" s="65" t="str">
        <f t="shared" si="10"/>
        <v>CZE ZIMA - 2</v>
      </c>
      <c r="G367" s="65" t="str">
        <f t="shared" si="11"/>
        <v>CZE2</v>
      </c>
    </row>
    <row r="368" spans="1:7" ht="15" hidden="1" customHeight="1" x14ac:dyDescent="0.35">
      <c r="A368" s="65">
        <v>3</v>
      </c>
      <c r="B368" s="65" t="s">
        <v>273</v>
      </c>
      <c r="C368" s="66" t="s">
        <v>946</v>
      </c>
      <c r="D368" s="66" t="s">
        <v>947</v>
      </c>
      <c r="E368" s="65" t="s">
        <v>944</v>
      </c>
      <c r="F368" s="65" t="str">
        <f t="shared" si="10"/>
        <v>CZE HOLES - 3</v>
      </c>
      <c r="G368" s="65" t="str">
        <f t="shared" si="11"/>
        <v>CZE3</v>
      </c>
    </row>
    <row r="369" spans="1:7" ht="15" hidden="1" customHeight="1" x14ac:dyDescent="0.35">
      <c r="A369" s="65">
        <v>4</v>
      </c>
      <c r="B369" s="65" t="s">
        <v>273</v>
      </c>
      <c r="C369" s="66" t="s">
        <v>948</v>
      </c>
      <c r="D369" s="66" t="s">
        <v>949</v>
      </c>
      <c r="E369" s="65" t="s">
        <v>944</v>
      </c>
      <c r="F369" s="65" t="str">
        <f t="shared" si="10"/>
        <v>CZE HRANAC - 4</v>
      </c>
      <c r="G369" s="65" t="str">
        <f t="shared" si="11"/>
        <v>CZE4</v>
      </c>
    </row>
    <row r="370" spans="1:7" ht="15" hidden="1" customHeight="1" x14ac:dyDescent="0.35">
      <c r="A370" s="65">
        <v>5</v>
      </c>
      <c r="B370" s="65" t="s">
        <v>273</v>
      </c>
      <c r="C370" s="66" t="s">
        <v>950</v>
      </c>
      <c r="D370" s="66" t="s">
        <v>951</v>
      </c>
      <c r="E370" s="65" t="s">
        <v>944</v>
      </c>
      <c r="F370" s="65" t="str">
        <f t="shared" si="10"/>
        <v>CZE COUFAL - 5</v>
      </c>
      <c r="G370" s="65" t="str">
        <f t="shared" si="11"/>
        <v>CZE5</v>
      </c>
    </row>
    <row r="371" spans="1:7" ht="15" hidden="1" customHeight="1" x14ac:dyDescent="0.35">
      <c r="A371" s="65">
        <v>6</v>
      </c>
      <c r="B371" s="65" t="s">
        <v>273</v>
      </c>
      <c r="C371" s="66" t="s">
        <v>952</v>
      </c>
      <c r="D371" s="66" t="s">
        <v>953</v>
      </c>
      <c r="E371" s="65" t="s">
        <v>944</v>
      </c>
      <c r="F371" s="65" t="str">
        <f t="shared" si="10"/>
        <v>CZE CHALOUPEK - 6</v>
      </c>
      <c r="G371" s="65" t="str">
        <f t="shared" si="11"/>
        <v>CZE6</v>
      </c>
    </row>
    <row r="372" spans="1:7" ht="15" hidden="1" customHeight="1" x14ac:dyDescent="0.35">
      <c r="A372" s="65">
        <v>7</v>
      </c>
      <c r="B372" s="65" t="s">
        <v>273</v>
      </c>
      <c r="C372" s="66" t="s">
        <v>954</v>
      </c>
      <c r="D372" s="66" t="s">
        <v>955</v>
      </c>
      <c r="E372" s="65" t="s">
        <v>944</v>
      </c>
      <c r="F372" s="65" t="str">
        <f t="shared" si="10"/>
        <v>CZE KREJCI - 7</v>
      </c>
      <c r="G372" s="65" t="str">
        <f t="shared" si="11"/>
        <v>CZE7</v>
      </c>
    </row>
    <row r="373" spans="1:7" ht="15" hidden="1" customHeight="1" x14ac:dyDescent="0.35">
      <c r="A373" s="65">
        <v>8</v>
      </c>
      <c r="B373" s="65" t="s">
        <v>282</v>
      </c>
      <c r="C373" s="66" t="s">
        <v>950</v>
      </c>
      <c r="D373" s="66" t="s">
        <v>956</v>
      </c>
      <c r="E373" s="65" t="s">
        <v>944</v>
      </c>
      <c r="F373" s="65" t="str">
        <f t="shared" si="10"/>
        <v>CZE DARIDA - 8</v>
      </c>
      <c r="G373" s="65" t="str">
        <f t="shared" si="11"/>
        <v>CZE8</v>
      </c>
    </row>
    <row r="374" spans="1:7" ht="15" hidden="1" customHeight="1" x14ac:dyDescent="0.35">
      <c r="A374" s="65">
        <v>9</v>
      </c>
      <c r="B374" s="65" t="s">
        <v>285</v>
      </c>
      <c r="C374" s="66" t="s">
        <v>957</v>
      </c>
      <c r="D374" s="66" t="s">
        <v>958</v>
      </c>
      <c r="E374" s="65" t="s">
        <v>944</v>
      </c>
      <c r="F374" s="65" t="str">
        <f t="shared" si="10"/>
        <v>CZE HLOZEK - 9</v>
      </c>
      <c r="G374" s="65" t="str">
        <f t="shared" si="11"/>
        <v>CZE9</v>
      </c>
    </row>
    <row r="375" spans="1:7" ht="15" hidden="1" customHeight="1" x14ac:dyDescent="0.35">
      <c r="A375" s="65">
        <v>10</v>
      </c>
      <c r="B375" s="65" t="s">
        <v>285</v>
      </c>
      <c r="C375" s="66" t="s">
        <v>959</v>
      </c>
      <c r="D375" s="66" t="s">
        <v>960</v>
      </c>
      <c r="E375" s="65" t="s">
        <v>944</v>
      </c>
      <c r="F375" s="65" t="str">
        <f t="shared" si="10"/>
        <v>CZE SCHICK - 10</v>
      </c>
      <c r="G375" s="65" t="str">
        <f t="shared" si="11"/>
        <v>CZE10</v>
      </c>
    </row>
    <row r="376" spans="1:7" ht="15" hidden="1" customHeight="1" x14ac:dyDescent="0.35">
      <c r="A376" s="65">
        <v>11</v>
      </c>
      <c r="B376" s="65" t="s">
        <v>285</v>
      </c>
      <c r="C376" s="66" t="s">
        <v>961</v>
      </c>
      <c r="D376" s="66" t="s">
        <v>962</v>
      </c>
      <c r="E376" s="65" t="s">
        <v>944</v>
      </c>
      <c r="F376" s="65" t="str">
        <f t="shared" si="10"/>
        <v>CZE KUCHTA - 11</v>
      </c>
      <c r="G376" s="65" t="str">
        <f t="shared" si="11"/>
        <v>CZE11</v>
      </c>
    </row>
    <row r="377" spans="1:7" ht="15" hidden="1" customHeight="1" x14ac:dyDescent="0.35">
      <c r="A377" s="65">
        <v>12</v>
      </c>
      <c r="B377" s="65" t="s">
        <v>282</v>
      </c>
      <c r="C377" s="66" t="s">
        <v>963</v>
      </c>
      <c r="D377" s="66" t="s">
        <v>964</v>
      </c>
      <c r="E377" s="65" t="s">
        <v>944</v>
      </c>
      <c r="F377" s="65" t="str">
        <f t="shared" si="10"/>
        <v>CZE CERV - 12</v>
      </c>
      <c r="G377" s="65" t="str">
        <f t="shared" si="11"/>
        <v>CZE12</v>
      </c>
    </row>
    <row r="378" spans="1:7" ht="15" hidden="1" customHeight="1" x14ac:dyDescent="0.35">
      <c r="A378" s="65">
        <v>13</v>
      </c>
      <c r="B378" s="65" t="s">
        <v>285</v>
      </c>
      <c r="C378" s="66" t="s">
        <v>965</v>
      </c>
      <c r="D378" s="66" t="s">
        <v>966</v>
      </c>
      <c r="E378" s="65" t="s">
        <v>944</v>
      </c>
      <c r="F378" s="65" t="str">
        <f t="shared" si="10"/>
        <v>CZE CHYTIL - 13</v>
      </c>
      <c r="G378" s="65" t="str">
        <f t="shared" si="11"/>
        <v>CZE13</v>
      </c>
    </row>
    <row r="379" spans="1:7" ht="15" hidden="1" customHeight="1" x14ac:dyDescent="0.35">
      <c r="A379" s="65">
        <v>14</v>
      </c>
      <c r="B379" s="65" t="s">
        <v>273</v>
      </c>
      <c r="C379" s="66" t="s">
        <v>425</v>
      </c>
      <c r="D379" s="66" t="s">
        <v>967</v>
      </c>
      <c r="E379" s="65" t="s">
        <v>944</v>
      </c>
      <c r="F379" s="65" t="str">
        <f t="shared" si="10"/>
        <v>CZE JURASEK - 14</v>
      </c>
      <c r="G379" s="65" t="str">
        <f t="shared" si="11"/>
        <v>CZE14</v>
      </c>
    </row>
    <row r="380" spans="1:7" ht="15" hidden="1" customHeight="1" x14ac:dyDescent="0.35">
      <c r="A380" s="65">
        <v>15</v>
      </c>
      <c r="B380" s="65" t="s">
        <v>285</v>
      </c>
      <c r="C380" s="66" t="s">
        <v>968</v>
      </c>
      <c r="D380" s="66" t="s">
        <v>969</v>
      </c>
      <c r="E380" s="65" t="s">
        <v>944</v>
      </c>
      <c r="F380" s="65" t="str">
        <f t="shared" si="10"/>
        <v>CZE SULC - 15</v>
      </c>
      <c r="G380" s="65" t="str">
        <f t="shared" si="11"/>
        <v>CZE15</v>
      </c>
    </row>
    <row r="381" spans="1:7" ht="15" hidden="1" customHeight="1" x14ac:dyDescent="0.35">
      <c r="A381" s="65">
        <v>16</v>
      </c>
      <c r="B381" s="65" t="s">
        <v>269</v>
      </c>
      <c r="C381" s="66" t="s">
        <v>970</v>
      </c>
      <c r="D381" s="66" t="s">
        <v>971</v>
      </c>
      <c r="E381" s="65" t="s">
        <v>944</v>
      </c>
      <c r="F381" s="65" t="str">
        <f t="shared" si="10"/>
        <v>CZE (GK) STANEK - 16</v>
      </c>
      <c r="G381" s="65" t="str">
        <f t="shared" si="11"/>
        <v>CZE16</v>
      </c>
    </row>
    <row r="382" spans="1:7" ht="15" hidden="1" customHeight="1" x14ac:dyDescent="0.35">
      <c r="A382" s="65">
        <v>17</v>
      </c>
      <c r="B382" s="65" t="s">
        <v>282</v>
      </c>
      <c r="C382" s="66" t="s">
        <v>963</v>
      </c>
      <c r="D382" s="66" t="s">
        <v>972</v>
      </c>
      <c r="E382" s="65" t="s">
        <v>944</v>
      </c>
      <c r="F382" s="65" t="str">
        <f t="shared" si="10"/>
        <v>CZE PROVOD - 17</v>
      </c>
      <c r="G382" s="65" t="str">
        <f t="shared" si="11"/>
        <v>CZE17</v>
      </c>
    </row>
    <row r="383" spans="1:7" ht="15" hidden="1" customHeight="1" x14ac:dyDescent="0.35">
      <c r="A383" s="65">
        <v>18</v>
      </c>
      <c r="B383" s="65" t="s">
        <v>282</v>
      </c>
      <c r="C383" s="66" t="s">
        <v>973</v>
      </c>
      <c r="D383" s="66" t="s">
        <v>974</v>
      </c>
      <c r="E383" s="65" t="s">
        <v>944</v>
      </c>
      <c r="F383" s="65" t="str">
        <f t="shared" si="10"/>
        <v>CZE SADILEK - 18</v>
      </c>
      <c r="G383" s="65" t="str">
        <f t="shared" si="11"/>
        <v>CZE18</v>
      </c>
    </row>
    <row r="384" spans="1:7" ht="15" hidden="1" customHeight="1" x14ac:dyDescent="0.35">
      <c r="A384" s="65">
        <v>19</v>
      </c>
      <c r="B384" s="65" t="s">
        <v>285</v>
      </c>
      <c r="C384" s="66" t="s">
        <v>946</v>
      </c>
      <c r="D384" s="66" t="s">
        <v>975</v>
      </c>
      <c r="E384" s="65" t="s">
        <v>944</v>
      </c>
      <c r="F384" s="65" t="str">
        <f t="shared" si="10"/>
        <v>CZE CHORY - 19</v>
      </c>
      <c r="G384" s="65" t="str">
        <f t="shared" si="11"/>
        <v>CZE19</v>
      </c>
    </row>
    <row r="385" spans="1:7" ht="15" hidden="1" customHeight="1" x14ac:dyDescent="0.35">
      <c r="A385" s="65">
        <v>20</v>
      </c>
      <c r="B385" s="65" t="s">
        <v>273</v>
      </c>
      <c r="C385" s="66" t="s">
        <v>976</v>
      </c>
      <c r="D385" s="66" t="s">
        <v>977</v>
      </c>
      <c r="E385" s="65" t="s">
        <v>944</v>
      </c>
      <c r="F385" s="65" t="str">
        <f t="shared" si="10"/>
        <v>CZE ZELENY - 20</v>
      </c>
      <c r="G385" s="65" t="str">
        <f t="shared" si="11"/>
        <v>CZE20</v>
      </c>
    </row>
    <row r="386" spans="1:7" ht="15" hidden="1" customHeight="1" x14ac:dyDescent="0.35">
      <c r="A386" s="65">
        <v>21</v>
      </c>
      <c r="B386" s="65" t="s">
        <v>273</v>
      </c>
      <c r="C386" s="66" t="s">
        <v>425</v>
      </c>
      <c r="D386" s="66" t="s">
        <v>978</v>
      </c>
      <c r="E386" s="65" t="s">
        <v>944</v>
      </c>
      <c r="F386" s="65" t="str">
        <f t="shared" si="10"/>
        <v>CZE DOUDERA - 21</v>
      </c>
      <c r="G386" s="65" t="str">
        <f t="shared" si="11"/>
        <v>CZE21</v>
      </c>
    </row>
    <row r="387" spans="1:7" ht="15" hidden="1" customHeight="1" x14ac:dyDescent="0.35">
      <c r="A387" s="65">
        <v>22</v>
      </c>
      <c r="B387" s="65" t="s">
        <v>282</v>
      </c>
      <c r="C387" s="66" t="s">
        <v>946</v>
      </c>
      <c r="D387" s="66" t="s">
        <v>979</v>
      </c>
      <c r="E387" s="65" t="s">
        <v>944</v>
      </c>
      <c r="F387" s="65" t="str">
        <f t="shared" ref="F387:F450" si="12">IF(B387="GK", _xlfn.CONCAT(E387, " ","(",B387, ") ",D387, " - ", A387),  _xlfn.CONCAT(E387, " ",D387, " - ", A387))</f>
        <v>CZE SOUCEK - 22</v>
      </c>
      <c r="G387" s="65" t="str">
        <f t="shared" ref="G387:G450" si="13">_xlfn.CONCAT(E387,A387)</f>
        <v>CZE22</v>
      </c>
    </row>
    <row r="388" spans="1:7" ht="15" hidden="1" customHeight="1" x14ac:dyDescent="0.35">
      <c r="A388" s="65">
        <v>23</v>
      </c>
      <c r="B388" s="65" t="s">
        <v>269</v>
      </c>
      <c r="C388" s="66" t="s">
        <v>963</v>
      </c>
      <c r="D388" s="66" t="s">
        <v>980</v>
      </c>
      <c r="E388" s="65" t="s">
        <v>944</v>
      </c>
      <c r="F388" s="65" t="str">
        <f t="shared" si="12"/>
        <v>CZE (GK) HORNICEK - 23</v>
      </c>
      <c r="G388" s="65" t="str">
        <f t="shared" si="13"/>
        <v>CZE23</v>
      </c>
    </row>
    <row r="389" spans="1:7" ht="15" hidden="1" customHeight="1" x14ac:dyDescent="0.35">
      <c r="A389" s="65">
        <v>24</v>
      </c>
      <c r="B389" s="65" t="s">
        <v>282</v>
      </c>
      <c r="C389" s="66" t="s">
        <v>981</v>
      </c>
      <c r="D389" s="66" t="s">
        <v>982</v>
      </c>
      <c r="E389" s="65" t="s">
        <v>944</v>
      </c>
      <c r="F389" s="65" t="str">
        <f t="shared" si="12"/>
        <v>CZE SOJKA - 24</v>
      </c>
      <c r="G389" s="65" t="str">
        <f t="shared" si="13"/>
        <v>CZE24</v>
      </c>
    </row>
    <row r="390" spans="1:7" ht="15" hidden="1" customHeight="1" x14ac:dyDescent="0.35">
      <c r="A390" s="65">
        <v>25</v>
      </c>
      <c r="B390" s="65" t="s">
        <v>282</v>
      </c>
      <c r="C390" s="66" t="s">
        <v>983</v>
      </c>
      <c r="D390" s="66" t="s">
        <v>984</v>
      </c>
      <c r="E390" s="65" t="s">
        <v>944</v>
      </c>
      <c r="F390" s="65" t="str">
        <f t="shared" si="12"/>
        <v>CZE SOCHUREK - 25</v>
      </c>
      <c r="G390" s="65" t="str">
        <f t="shared" si="13"/>
        <v>CZE25</v>
      </c>
    </row>
    <row r="391" spans="1:7" ht="15" hidden="1" customHeight="1" x14ac:dyDescent="0.35">
      <c r="A391" s="65">
        <v>26</v>
      </c>
      <c r="B391" s="65" t="s">
        <v>285</v>
      </c>
      <c r="C391" s="66" t="s">
        <v>985</v>
      </c>
      <c r="D391" s="66" t="s">
        <v>986</v>
      </c>
      <c r="E391" s="65" t="s">
        <v>944</v>
      </c>
      <c r="F391" s="65" t="str">
        <f t="shared" si="12"/>
        <v>CZE VISINSKY - 26</v>
      </c>
      <c r="G391" s="65" t="str">
        <f t="shared" si="13"/>
        <v>CZE26</v>
      </c>
    </row>
    <row r="392" spans="1:7" ht="15" hidden="1" customHeight="1" x14ac:dyDescent="0.35">
      <c r="A392" s="67">
        <v>1</v>
      </c>
      <c r="B392" s="67" t="s">
        <v>269</v>
      </c>
      <c r="C392" s="68" t="s">
        <v>987</v>
      </c>
      <c r="D392" s="68" t="s">
        <v>988</v>
      </c>
      <c r="E392" s="67" t="s">
        <v>989</v>
      </c>
      <c r="F392" s="67" t="str">
        <f t="shared" si="12"/>
        <v>ECU (GK) GALINDEZ - 1</v>
      </c>
      <c r="G392" s="67" t="str">
        <f t="shared" si="13"/>
        <v>ECU1</v>
      </c>
    </row>
    <row r="393" spans="1:7" ht="15" hidden="1" customHeight="1" x14ac:dyDescent="0.35">
      <c r="A393" s="67">
        <v>2</v>
      </c>
      <c r="B393" s="67" t="s">
        <v>273</v>
      </c>
      <c r="C393" s="68" t="s">
        <v>990</v>
      </c>
      <c r="D393" s="68" t="s">
        <v>991</v>
      </c>
      <c r="E393" s="67" t="s">
        <v>989</v>
      </c>
      <c r="F393" s="67" t="str">
        <f t="shared" si="12"/>
        <v>ECU TORRES - 2</v>
      </c>
      <c r="G393" s="67" t="str">
        <f t="shared" si="13"/>
        <v>ECU2</v>
      </c>
    </row>
    <row r="394" spans="1:7" ht="15" hidden="1" customHeight="1" x14ac:dyDescent="0.35">
      <c r="A394" s="67">
        <v>3</v>
      </c>
      <c r="B394" s="67" t="s">
        <v>273</v>
      </c>
      <c r="C394" s="68" t="s">
        <v>992</v>
      </c>
      <c r="D394" s="68" t="s">
        <v>993</v>
      </c>
      <c r="E394" s="67" t="s">
        <v>989</v>
      </c>
      <c r="F394" s="67" t="str">
        <f t="shared" si="12"/>
        <v>ECU HINCAPIE - 3</v>
      </c>
      <c r="G394" s="67" t="str">
        <f t="shared" si="13"/>
        <v>ECU3</v>
      </c>
    </row>
    <row r="395" spans="1:7" ht="15" hidden="1" customHeight="1" x14ac:dyDescent="0.35">
      <c r="A395" s="67">
        <v>4</v>
      </c>
      <c r="B395" s="67" t="s">
        <v>273</v>
      </c>
      <c r="C395" s="68" t="s">
        <v>677</v>
      </c>
      <c r="D395" s="68" t="s">
        <v>994</v>
      </c>
      <c r="E395" s="67" t="s">
        <v>989</v>
      </c>
      <c r="F395" s="67" t="str">
        <f t="shared" si="12"/>
        <v>ECU ORDONEZ - 4</v>
      </c>
      <c r="G395" s="67" t="str">
        <f t="shared" si="13"/>
        <v>ECU4</v>
      </c>
    </row>
    <row r="396" spans="1:7" ht="15" hidden="1" customHeight="1" x14ac:dyDescent="0.35">
      <c r="A396" s="67">
        <v>5</v>
      </c>
      <c r="B396" s="67" t="s">
        <v>282</v>
      </c>
      <c r="C396" s="68" t="s">
        <v>995</v>
      </c>
      <c r="D396" s="68" t="s">
        <v>996</v>
      </c>
      <c r="E396" s="67" t="s">
        <v>989</v>
      </c>
      <c r="F396" s="67" t="str">
        <f t="shared" si="12"/>
        <v>ECU ALCIVAR - 5</v>
      </c>
      <c r="G396" s="67" t="str">
        <f t="shared" si="13"/>
        <v>ECU5</v>
      </c>
    </row>
    <row r="397" spans="1:7" ht="15" hidden="1" customHeight="1" x14ac:dyDescent="0.35">
      <c r="A397" s="67">
        <v>6</v>
      </c>
      <c r="B397" s="67" t="s">
        <v>273</v>
      </c>
      <c r="C397" s="68" t="s">
        <v>997</v>
      </c>
      <c r="D397" s="68" t="s">
        <v>998</v>
      </c>
      <c r="E397" s="67" t="s">
        <v>989</v>
      </c>
      <c r="F397" s="67" t="str">
        <f t="shared" si="12"/>
        <v>ECU PACHO - 6</v>
      </c>
      <c r="G397" s="67" t="str">
        <f t="shared" si="13"/>
        <v>ECU6</v>
      </c>
    </row>
    <row r="398" spans="1:7" ht="15" hidden="1" customHeight="1" x14ac:dyDescent="0.35">
      <c r="A398" s="67">
        <v>7</v>
      </c>
      <c r="B398" s="67" t="s">
        <v>273</v>
      </c>
      <c r="C398" s="68" t="s">
        <v>999</v>
      </c>
      <c r="D398" s="68" t="s">
        <v>1000</v>
      </c>
      <c r="E398" s="67" t="s">
        <v>989</v>
      </c>
      <c r="F398" s="67" t="str">
        <f t="shared" si="12"/>
        <v>ECU ESTUPINAN - 7</v>
      </c>
      <c r="G398" s="67" t="str">
        <f t="shared" si="13"/>
        <v>ECU7</v>
      </c>
    </row>
    <row r="399" spans="1:7" ht="15" hidden="1" customHeight="1" x14ac:dyDescent="0.35">
      <c r="A399" s="67">
        <v>8</v>
      </c>
      <c r="B399" s="67" t="s">
        <v>282</v>
      </c>
      <c r="C399" s="68" t="s">
        <v>1001</v>
      </c>
      <c r="D399" s="68" t="s">
        <v>1002</v>
      </c>
      <c r="E399" s="67" t="s">
        <v>989</v>
      </c>
      <c r="F399" s="67" t="str">
        <f t="shared" si="12"/>
        <v>ECU VALENCIA - 8</v>
      </c>
      <c r="G399" s="67" t="str">
        <f t="shared" si="13"/>
        <v>ECU8</v>
      </c>
    </row>
    <row r="400" spans="1:7" ht="15" hidden="1" customHeight="1" x14ac:dyDescent="0.35">
      <c r="A400" s="67">
        <v>9</v>
      </c>
      <c r="B400" s="67" t="s">
        <v>285</v>
      </c>
      <c r="C400" s="68" t="s">
        <v>1003</v>
      </c>
      <c r="D400" s="68" t="s">
        <v>1004</v>
      </c>
      <c r="E400" s="67" t="s">
        <v>989</v>
      </c>
      <c r="F400" s="67" t="str">
        <f t="shared" si="12"/>
        <v>ECU YEBOAH - 9</v>
      </c>
      <c r="G400" s="67" t="str">
        <f t="shared" si="13"/>
        <v>ECU9</v>
      </c>
    </row>
    <row r="401" spans="1:7" ht="15" hidden="1" customHeight="1" x14ac:dyDescent="0.35">
      <c r="A401" s="67">
        <v>10</v>
      </c>
      <c r="B401" s="67" t="s">
        <v>282</v>
      </c>
      <c r="C401" s="68" t="s">
        <v>1005</v>
      </c>
      <c r="D401" s="68" t="s">
        <v>1006</v>
      </c>
      <c r="E401" s="67" t="s">
        <v>989</v>
      </c>
      <c r="F401" s="67" t="str">
        <f t="shared" si="12"/>
        <v>ECU PAEZ - 10</v>
      </c>
      <c r="G401" s="67" t="str">
        <f t="shared" si="13"/>
        <v>ECU10</v>
      </c>
    </row>
    <row r="402" spans="1:7" ht="15" hidden="1" customHeight="1" x14ac:dyDescent="0.35">
      <c r="A402" s="67">
        <v>11</v>
      </c>
      <c r="B402" s="67" t="s">
        <v>285</v>
      </c>
      <c r="C402" s="68" t="s">
        <v>427</v>
      </c>
      <c r="D402" s="68" t="s">
        <v>734</v>
      </c>
      <c r="E402" s="67" t="s">
        <v>989</v>
      </c>
      <c r="F402" s="67" t="str">
        <f t="shared" si="12"/>
        <v>ECU RODRIGUEZ - 11</v>
      </c>
      <c r="G402" s="67" t="str">
        <f t="shared" si="13"/>
        <v>ECU11</v>
      </c>
    </row>
    <row r="403" spans="1:7" ht="15" hidden="1" customHeight="1" x14ac:dyDescent="0.35">
      <c r="A403" s="67">
        <v>12</v>
      </c>
      <c r="B403" s="67" t="s">
        <v>269</v>
      </c>
      <c r="C403" s="68" t="s">
        <v>1007</v>
      </c>
      <c r="D403" s="68" t="s">
        <v>1008</v>
      </c>
      <c r="E403" s="67" t="s">
        <v>989</v>
      </c>
      <c r="F403" s="67" t="str">
        <f t="shared" si="12"/>
        <v>ECU (GK) RAMIREZ - 12</v>
      </c>
      <c r="G403" s="67" t="str">
        <f t="shared" si="13"/>
        <v>ECU12</v>
      </c>
    </row>
    <row r="404" spans="1:7" ht="15" hidden="1" customHeight="1" x14ac:dyDescent="0.35">
      <c r="A404" s="67">
        <v>13</v>
      </c>
      <c r="B404" s="67" t="s">
        <v>285</v>
      </c>
      <c r="C404" s="68" t="s">
        <v>1009</v>
      </c>
      <c r="D404" s="68" t="s">
        <v>1002</v>
      </c>
      <c r="E404" s="67" t="s">
        <v>989</v>
      </c>
      <c r="F404" s="67" t="str">
        <f t="shared" si="12"/>
        <v>ECU VALENCIA - 13</v>
      </c>
      <c r="G404" s="67" t="str">
        <f t="shared" si="13"/>
        <v>ECU13</v>
      </c>
    </row>
    <row r="405" spans="1:7" ht="15" hidden="1" customHeight="1" x14ac:dyDescent="0.35">
      <c r="A405" s="67">
        <v>14</v>
      </c>
      <c r="B405" s="67" t="s">
        <v>282</v>
      </c>
      <c r="C405" s="68" t="s">
        <v>1010</v>
      </c>
      <c r="D405" s="68" t="s">
        <v>1011</v>
      </c>
      <c r="E405" s="67" t="s">
        <v>989</v>
      </c>
      <c r="F405" s="67" t="str">
        <f t="shared" si="12"/>
        <v>ECU MINDA - 14</v>
      </c>
      <c r="G405" s="67" t="str">
        <f t="shared" si="13"/>
        <v>ECU14</v>
      </c>
    </row>
    <row r="406" spans="1:7" ht="15" hidden="1" customHeight="1" x14ac:dyDescent="0.35">
      <c r="A406" s="67">
        <v>15</v>
      </c>
      <c r="B406" s="67" t="s">
        <v>282</v>
      </c>
      <c r="C406" s="68" t="s">
        <v>1012</v>
      </c>
      <c r="D406" s="68" t="s">
        <v>1013</v>
      </c>
      <c r="E406" s="67" t="s">
        <v>989</v>
      </c>
      <c r="F406" s="67" t="str">
        <f t="shared" si="12"/>
        <v>ECU VITE - 15</v>
      </c>
      <c r="G406" s="67" t="str">
        <f t="shared" si="13"/>
        <v>ECU15</v>
      </c>
    </row>
    <row r="407" spans="1:7" ht="15" hidden="1" customHeight="1" x14ac:dyDescent="0.35">
      <c r="A407" s="67">
        <v>16</v>
      </c>
      <c r="B407" s="67" t="s">
        <v>285</v>
      </c>
      <c r="C407" s="68" t="s">
        <v>995</v>
      </c>
      <c r="D407" s="68" t="s">
        <v>1014</v>
      </c>
      <c r="E407" s="67" t="s">
        <v>989</v>
      </c>
      <c r="F407" s="67" t="str">
        <f t="shared" si="12"/>
        <v>ECU CAICEDO - 16</v>
      </c>
      <c r="G407" s="67" t="str">
        <f t="shared" si="13"/>
        <v>ECU16</v>
      </c>
    </row>
    <row r="408" spans="1:7" ht="15" hidden="1" customHeight="1" x14ac:dyDescent="0.35">
      <c r="A408" s="67">
        <v>17</v>
      </c>
      <c r="B408" s="67" t="s">
        <v>273</v>
      </c>
      <c r="C408" s="68" t="s">
        <v>1015</v>
      </c>
      <c r="D408" s="68" t="s">
        <v>1016</v>
      </c>
      <c r="E408" s="67" t="s">
        <v>989</v>
      </c>
      <c r="F408" s="67" t="str">
        <f t="shared" si="12"/>
        <v>ECU PRECIADO - 17</v>
      </c>
      <c r="G408" s="67" t="str">
        <f t="shared" si="13"/>
        <v>ECU17</v>
      </c>
    </row>
    <row r="409" spans="1:7" ht="15" hidden="1" customHeight="1" x14ac:dyDescent="0.35">
      <c r="A409" s="67">
        <v>18</v>
      </c>
      <c r="B409" s="67" t="s">
        <v>282</v>
      </c>
      <c r="C409" s="68" t="s">
        <v>1017</v>
      </c>
      <c r="D409" s="68" t="s">
        <v>1018</v>
      </c>
      <c r="E409" s="67" t="s">
        <v>989</v>
      </c>
      <c r="F409" s="67" t="str">
        <f t="shared" si="12"/>
        <v>ECU CASTILLO - 18</v>
      </c>
      <c r="G409" s="67" t="str">
        <f t="shared" si="13"/>
        <v>ECU18</v>
      </c>
    </row>
    <row r="410" spans="1:7" ht="15" hidden="1" customHeight="1" x14ac:dyDescent="0.35">
      <c r="A410" s="67">
        <v>19</v>
      </c>
      <c r="B410" s="67" t="s">
        <v>285</v>
      </c>
      <c r="C410" s="68" t="s">
        <v>332</v>
      </c>
      <c r="D410" s="68" t="s">
        <v>1019</v>
      </c>
      <c r="E410" s="67" t="s">
        <v>989</v>
      </c>
      <c r="F410" s="67" t="str">
        <f t="shared" si="12"/>
        <v>ECU PLATA - 19</v>
      </c>
      <c r="G410" s="67" t="str">
        <f t="shared" si="13"/>
        <v>ECU19</v>
      </c>
    </row>
    <row r="411" spans="1:7" ht="15" hidden="1" customHeight="1" x14ac:dyDescent="0.35">
      <c r="A411" s="67">
        <v>20</v>
      </c>
      <c r="B411" s="67" t="s">
        <v>285</v>
      </c>
      <c r="C411" s="68" t="s">
        <v>1020</v>
      </c>
      <c r="D411" s="68" t="s">
        <v>1021</v>
      </c>
      <c r="E411" s="67" t="s">
        <v>989</v>
      </c>
      <c r="F411" s="67" t="str">
        <f t="shared" si="12"/>
        <v>ECU ANGULO - 20</v>
      </c>
      <c r="G411" s="67" t="str">
        <f t="shared" si="13"/>
        <v>ECU20</v>
      </c>
    </row>
    <row r="412" spans="1:7" ht="15" hidden="1" customHeight="1" x14ac:dyDescent="0.35">
      <c r="A412" s="67">
        <v>21</v>
      </c>
      <c r="B412" s="67" t="s">
        <v>282</v>
      </c>
      <c r="C412" s="68" t="s">
        <v>1010</v>
      </c>
      <c r="D412" s="68" t="s">
        <v>1022</v>
      </c>
      <c r="E412" s="67" t="s">
        <v>989</v>
      </c>
      <c r="F412" s="67" t="str">
        <f t="shared" si="12"/>
        <v>ECU FRANCO - 21</v>
      </c>
      <c r="G412" s="67" t="str">
        <f t="shared" si="13"/>
        <v>ECU21</v>
      </c>
    </row>
    <row r="413" spans="1:7" ht="15" hidden="1" customHeight="1" x14ac:dyDescent="0.35">
      <c r="A413" s="67">
        <v>22</v>
      </c>
      <c r="B413" s="67" t="s">
        <v>269</v>
      </c>
      <c r="C413" s="68" t="s">
        <v>332</v>
      </c>
      <c r="D413" s="68" t="s">
        <v>1023</v>
      </c>
      <c r="E413" s="67" t="s">
        <v>989</v>
      </c>
      <c r="F413" s="67" t="str">
        <f t="shared" si="12"/>
        <v>ECU (GK) VALLE - 22</v>
      </c>
      <c r="G413" s="67" t="str">
        <f t="shared" si="13"/>
        <v>ECU22</v>
      </c>
    </row>
    <row r="414" spans="1:7" ht="15" hidden="1" customHeight="1" x14ac:dyDescent="0.35">
      <c r="A414" s="67">
        <v>23</v>
      </c>
      <c r="B414" s="67" t="s">
        <v>282</v>
      </c>
      <c r="C414" s="68" t="s">
        <v>1007</v>
      </c>
      <c r="D414" s="68" t="s">
        <v>1014</v>
      </c>
      <c r="E414" s="67" t="s">
        <v>989</v>
      </c>
      <c r="F414" s="67" t="str">
        <f t="shared" si="12"/>
        <v>ECU CAICEDO - 23</v>
      </c>
      <c r="G414" s="67" t="str">
        <f t="shared" si="13"/>
        <v>ECU23</v>
      </c>
    </row>
    <row r="415" spans="1:7" ht="15" hidden="1" customHeight="1" x14ac:dyDescent="0.35">
      <c r="A415" s="67">
        <v>24</v>
      </c>
      <c r="B415" s="67" t="s">
        <v>285</v>
      </c>
      <c r="C415" s="68" t="s">
        <v>484</v>
      </c>
      <c r="D415" s="68" t="s">
        <v>1024</v>
      </c>
      <c r="E415" s="67" t="s">
        <v>989</v>
      </c>
      <c r="F415" s="67" t="str">
        <f t="shared" si="12"/>
        <v>ECU AREVALO - 24</v>
      </c>
      <c r="G415" s="67" t="str">
        <f t="shared" si="13"/>
        <v>ECU24</v>
      </c>
    </row>
    <row r="416" spans="1:7" ht="15" hidden="1" customHeight="1" x14ac:dyDescent="0.35">
      <c r="A416" s="67">
        <v>25</v>
      </c>
      <c r="B416" s="67" t="s">
        <v>273</v>
      </c>
      <c r="C416" s="68" t="s">
        <v>413</v>
      </c>
      <c r="D416" s="68" t="s">
        <v>1025</v>
      </c>
      <c r="E416" s="67" t="s">
        <v>989</v>
      </c>
      <c r="F416" s="67" t="str">
        <f t="shared" si="12"/>
        <v>ECU POROZO - 25</v>
      </c>
      <c r="G416" s="67" t="str">
        <f t="shared" si="13"/>
        <v>ECU25</v>
      </c>
    </row>
    <row r="417" spans="1:7" ht="15" hidden="1" customHeight="1" x14ac:dyDescent="0.35">
      <c r="A417" s="67">
        <v>26</v>
      </c>
      <c r="B417" s="67" t="s">
        <v>273</v>
      </c>
      <c r="C417" s="68" t="s">
        <v>1026</v>
      </c>
      <c r="D417" s="68" t="s">
        <v>371</v>
      </c>
      <c r="E417" s="67" t="s">
        <v>989</v>
      </c>
      <c r="F417" s="67" t="str">
        <f t="shared" si="12"/>
        <v>ECU MEDINA - 26</v>
      </c>
      <c r="G417" s="67" t="str">
        <f t="shared" si="13"/>
        <v>ECU26</v>
      </c>
    </row>
    <row r="418" spans="1:7" ht="15" hidden="1" customHeight="1" x14ac:dyDescent="0.35">
      <c r="A418" s="69">
        <v>1</v>
      </c>
      <c r="B418" s="69" t="s">
        <v>269</v>
      </c>
      <c r="C418" s="70" t="s">
        <v>308</v>
      </c>
      <c r="D418" s="70" t="s">
        <v>1027</v>
      </c>
      <c r="E418" s="69" t="s">
        <v>1028</v>
      </c>
      <c r="F418" s="69" t="str">
        <f t="shared" si="12"/>
        <v>EGY (GK) ELSHENAWY - 1</v>
      </c>
      <c r="G418" s="69" t="str">
        <f t="shared" si="13"/>
        <v>EGY1</v>
      </c>
    </row>
    <row r="419" spans="1:7" ht="15" hidden="1" customHeight="1" x14ac:dyDescent="0.35">
      <c r="A419" s="69">
        <v>2</v>
      </c>
      <c r="B419" s="69" t="s">
        <v>273</v>
      </c>
      <c r="C419" s="70" t="s">
        <v>1029</v>
      </c>
      <c r="D419" s="70" t="s">
        <v>1030</v>
      </c>
      <c r="E419" s="69" t="s">
        <v>1028</v>
      </c>
      <c r="F419" s="69" t="str">
        <f t="shared" si="12"/>
        <v>EGY IBRAHIM - 2</v>
      </c>
      <c r="G419" s="69" t="str">
        <f t="shared" si="13"/>
        <v>EGY2</v>
      </c>
    </row>
    <row r="420" spans="1:7" ht="15" hidden="1" customHeight="1" x14ac:dyDescent="0.35">
      <c r="A420" s="69">
        <v>3</v>
      </c>
      <c r="B420" s="69" t="s">
        <v>273</v>
      </c>
      <c r="C420" s="70" t="s">
        <v>308</v>
      </c>
      <c r="D420" s="70" t="s">
        <v>1031</v>
      </c>
      <c r="E420" s="69" t="s">
        <v>1028</v>
      </c>
      <c r="F420" s="69" t="str">
        <f t="shared" si="12"/>
        <v>EGY HANY - 3</v>
      </c>
      <c r="G420" s="69" t="str">
        <f t="shared" si="13"/>
        <v>EGY3</v>
      </c>
    </row>
    <row r="421" spans="1:7" ht="15" hidden="1" customHeight="1" x14ac:dyDescent="0.35">
      <c r="A421" s="69">
        <v>4</v>
      </c>
      <c r="B421" s="69" t="s">
        <v>273</v>
      </c>
      <c r="C421" s="70" t="s">
        <v>1032</v>
      </c>
      <c r="D421" s="70" t="s">
        <v>1033</v>
      </c>
      <c r="E421" s="69" t="s">
        <v>1028</v>
      </c>
      <c r="F421" s="69" t="str">
        <f t="shared" si="12"/>
        <v>EGY ABDELMAGUID - 4</v>
      </c>
      <c r="G421" s="69" t="str">
        <f t="shared" si="13"/>
        <v>EGY4</v>
      </c>
    </row>
    <row r="422" spans="1:7" ht="15" hidden="1" customHeight="1" x14ac:dyDescent="0.35">
      <c r="A422" s="69">
        <v>5</v>
      </c>
      <c r="B422" s="69" t="s">
        <v>273</v>
      </c>
      <c r="C422" s="70" t="s">
        <v>314</v>
      </c>
      <c r="D422" s="70" t="s">
        <v>1034</v>
      </c>
      <c r="E422" s="69" t="s">
        <v>1028</v>
      </c>
      <c r="F422" s="69" t="str">
        <f t="shared" si="12"/>
        <v>EGY RABIA - 5</v>
      </c>
      <c r="G422" s="69" t="str">
        <f t="shared" si="13"/>
        <v>EGY5</v>
      </c>
    </row>
    <row r="423" spans="1:7" ht="15" hidden="1" customHeight="1" x14ac:dyDescent="0.35">
      <c r="A423" s="69">
        <v>6</v>
      </c>
      <c r="B423" s="69" t="s">
        <v>273</v>
      </c>
      <c r="C423" s="70" t="s">
        <v>308</v>
      </c>
      <c r="D423" s="70" t="s">
        <v>1035</v>
      </c>
      <c r="E423" s="69" t="s">
        <v>1028</v>
      </c>
      <c r="F423" s="69" t="str">
        <f t="shared" si="12"/>
        <v>EGY ABDELMONEIM - 6</v>
      </c>
      <c r="G423" s="69" t="str">
        <f t="shared" si="13"/>
        <v>EGY6</v>
      </c>
    </row>
    <row r="424" spans="1:7" ht="15" hidden="1" customHeight="1" x14ac:dyDescent="0.35">
      <c r="A424" s="69">
        <v>7</v>
      </c>
      <c r="B424" s="69" t="s">
        <v>285</v>
      </c>
      <c r="C424" s="70" t="s">
        <v>1036</v>
      </c>
      <c r="D424" s="70" t="s">
        <v>1037</v>
      </c>
      <c r="E424" s="69" t="s">
        <v>1028</v>
      </c>
      <c r="F424" s="69" t="str">
        <f t="shared" si="12"/>
        <v>EGY TREZEGUET - 7</v>
      </c>
      <c r="G424" s="69" t="str">
        <f t="shared" si="13"/>
        <v>EGY7</v>
      </c>
    </row>
    <row r="425" spans="1:7" ht="15" hidden="1" customHeight="1" x14ac:dyDescent="0.35">
      <c r="A425" s="69">
        <v>8</v>
      </c>
      <c r="B425" s="69" t="s">
        <v>282</v>
      </c>
      <c r="C425" s="70" t="s">
        <v>1038</v>
      </c>
      <c r="D425" s="70" t="s">
        <v>1039</v>
      </c>
      <c r="E425" s="69" t="s">
        <v>1028</v>
      </c>
      <c r="F425" s="69" t="str">
        <f t="shared" si="12"/>
        <v>EGY ASHOUR - 8</v>
      </c>
      <c r="G425" s="69" t="str">
        <f t="shared" si="13"/>
        <v>EGY8</v>
      </c>
    </row>
    <row r="426" spans="1:7" ht="15" hidden="1" customHeight="1" x14ac:dyDescent="0.35">
      <c r="A426" s="69">
        <v>9</v>
      </c>
      <c r="B426" s="69" t="s">
        <v>285</v>
      </c>
      <c r="C426" s="70" t="s">
        <v>1040</v>
      </c>
      <c r="D426" s="70" t="s">
        <v>1041</v>
      </c>
      <c r="E426" s="69" t="s">
        <v>1028</v>
      </c>
      <c r="F426" s="69" t="str">
        <f t="shared" si="12"/>
        <v>EGY ABDELKARIM - 9</v>
      </c>
      <c r="G426" s="69" t="str">
        <f t="shared" si="13"/>
        <v>EGY9</v>
      </c>
    </row>
    <row r="427" spans="1:7" ht="15" hidden="1" customHeight="1" x14ac:dyDescent="0.35">
      <c r="A427" s="69">
        <v>10</v>
      </c>
      <c r="B427" s="69" t="s">
        <v>285</v>
      </c>
      <c r="C427" s="70" t="s">
        <v>308</v>
      </c>
      <c r="D427" s="70" t="s">
        <v>1042</v>
      </c>
      <c r="E427" s="69" t="s">
        <v>1028</v>
      </c>
      <c r="F427" s="69" t="str">
        <f t="shared" si="12"/>
        <v>EGY SALAH - 10</v>
      </c>
      <c r="G427" s="69" t="str">
        <f t="shared" si="13"/>
        <v>EGY10</v>
      </c>
    </row>
    <row r="428" spans="1:7" ht="15" hidden="1" customHeight="1" x14ac:dyDescent="0.35">
      <c r="A428" s="69">
        <v>11</v>
      </c>
      <c r="B428" s="69" t="s">
        <v>282</v>
      </c>
      <c r="C428" s="70" t="s">
        <v>1043</v>
      </c>
      <c r="D428" s="70" t="s">
        <v>1044</v>
      </c>
      <c r="E428" s="69" t="s">
        <v>1028</v>
      </c>
      <c r="F428" s="69" t="str">
        <f t="shared" si="12"/>
        <v>EGY ZICO - 11</v>
      </c>
      <c r="G428" s="69" t="str">
        <f t="shared" si="13"/>
        <v>EGY11</v>
      </c>
    </row>
    <row r="429" spans="1:7" ht="15" hidden="1" customHeight="1" x14ac:dyDescent="0.35">
      <c r="A429" s="69">
        <v>12</v>
      </c>
      <c r="B429" s="69" t="s">
        <v>285</v>
      </c>
      <c r="C429" s="70" t="s">
        <v>1045</v>
      </c>
      <c r="D429" s="70" t="s">
        <v>1046</v>
      </c>
      <c r="E429" s="69" t="s">
        <v>1028</v>
      </c>
      <c r="F429" s="69" t="str">
        <f t="shared" si="12"/>
        <v>EGY HASSAN - 12</v>
      </c>
      <c r="G429" s="69" t="str">
        <f t="shared" si="13"/>
        <v>EGY12</v>
      </c>
    </row>
    <row r="430" spans="1:7" ht="15" hidden="1" customHeight="1" x14ac:dyDescent="0.35">
      <c r="A430" s="69">
        <v>13</v>
      </c>
      <c r="B430" s="69" t="s">
        <v>273</v>
      </c>
      <c r="C430" s="70" t="s">
        <v>1047</v>
      </c>
      <c r="D430" s="70" t="s">
        <v>1048</v>
      </c>
      <c r="E430" s="69" t="s">
        <v>1028</v>
      </c>
      <c r="F430" s="69" t="str">
        <f t="shared" si="12"/>
        <v>EGY FATOUH - 13</v>
      </c>
      <c r="G430" s="69" t="str">
        <f t="shared" si="13"/>
        <v>EGY13</v>
      </c>
    </row>
    <row r="431" spans="1:7" ht="15" hidden="1" customHeight="1" x14ac:dyDescent="0.35">
      <c r="A431" s="69">
        <v>14</v>
      </c>
      <c r="B431" s="69" t="s">
        <v>282</v>
      </c>
      <c r="C431" s="70" t="s">
        <v>1049</v>
      </c>
      <c r="D431" s="70" t="s">
        <v>1050</v>
      </c>
      <c r="E431" s="69" t="s">
        <v>1028</v>
      </c>
      <c r="F431" s="69" t="str">
        <f t="shared" si="12"/>
        <v>EGY FATHY - 14</v>
      </c>
      <c r="G431" s="69" t="str">
        <f t="shared" si="13"/>
        <v>EGY14</v>
      </c>
    </row>
    <row r="432" spans="1:7" ht="15" hidden="1" customHeight="1" x14ac:dyDescent="0.35">
      <c r="A432" s="69">
        <v>15</v>
      </c>
      <c r="B432" s="69" t="s">
        <v>273</v>
      </c>
      <c r="C432" s="70" t="s">
        <v>1051</v>
      </c>
      <c r="D432" s="70" t="s">
        <v>1052</v>
      </c>
      <c r="E432" s="69" t="s">
        <v>1028</v>
      </c>
      <c r="F432" s="69" t="str">
        <f t="shared" si="12"/>
        <v>EGY HAFEZ - 15</v>
      </c>
      <c r="G432" s="69" t="str">
        <f t="shared" si="13"/>
        <v>EGY15</v>
      </c>
    </row>
    <row r="433" spans="1:7" ht="15" hidden="1" customHeight="1" x14ac:dyDescent="0.35">
      <c r="A433" s="69">
        <v>16</v>
      </c>
      <c r="B433" s="69" t="s">
        <v>269</v>
      </c>
      <c r="C433" s="70" t="s">
        <v>1053</v>
      </c>
      <c r="D433" s="70" t="s">
        <v>1054</v>
      </c>
      <c r="E433" s="69" t="s">
        <v>1028</v>
      </c>
      <c r="F433" s="69" t="str">
        <f t="shared" si="12"/>
        <v>EGY (GK) SOLIMAN - 16</v>
      </c>
      <c r="G433" s="69" t="str">
        <f t="shared" si="13"/>
        <v>EGY16</v>
      </c>
    </row>
    <row r="434" spans="1:7" ht="15" hidden="1" customHeight="1" x14ac:dyDescent="0.35">
      <c r="A434" s="69">
        <v>17</v>
      </c>
      <c r="B434" s="69" t="s">
        <v>282</v>
      </c>
      <c r="C434" s="70" t="s">
        <v>1055</v>
      </c>
      <c r="D434" s="70" t="s">
        <v>1056</v>
      </c>
      <c r="E434" s="69" t="s">
        <v>1028</v>
      </c>
      <c r="F434" s="69" t="str">
        <f t="shared" si="12"/>
        <v>EGY LASHIN - 17</v>
      </c>
      <c r="G434" s="69" t="str">
        <f t="shared" si="13"/>
        <v>EGY17</v>
      </c>
    </row>
    <row r="435" spans="1:7" ht="15" hidden="1" customHeight="1" x14ac:dyDescent="0.35">
      <c r="A435" s="69">
        <v>18</v>
      </c>
      <c r="B435" s="69" t="s">
        <v>282</v>
      </c>
      <c r="C435" s="70" t="s">
        <v>310</v>
      </c>
      <c r="D435" s="70" t="s">
        <v>1057</v>
      </c>
      <c r="E435" s="69" t="s">
        <v>1028</v>
      </c>
      <c r="F435" s="69" t="str">
        <f t="shared" si="12"/>
        <v>EGY DONGA - 18</v>
      </c>
      <c r="G435" s="69" t="str">
        <f t="shared" si="13"/>
        <v>EGY18</v>
      </c>
    </row>
    <row r="436" spans="1:7" ht="15" hidden="1" customHeight="1" x14ac:dyDescent="0.35">
      <c r="A436" s="69">
        <v>19</v>
      </c>
      <c r="B436" s="69" t="s">
        <v>282</v>
      </c>
      <c r="C436" s="70" t="s">
        <v>1058</v>
      </c>
      <c r="D436" s="70" t="s">
        <v>1059</v>
      </c>
      <c r="E436" s="69" t="s">
        <v>1028</v>
      </c>
      <c r="F436" s="69" t="str">
        <f t="shared" si="12"/>
        <v>EGY ATTIA - 19</v>
      </c>
      <c r="G436" s="69" t="str">
        <f t="shared" si="13"/>
        <v>EGY19</v>
      </c>
    </row>
    <row r="437" spans="1:7" ht="15" hidden="1" customHeight="1" x14ac:dyDescent="0.35">
      <c r="A437" s="69">
        <v>20</v>
      </c>
      <c r="B437" s="69" t="s">
        <v>285</v>
      </c>
      <c r="C437" s="70" t="s">
        <v>316</v>
      </c>
      <c r="D437" s="70" t="s">
        <v>1060</v>
      </c>
      <c r="E437" s="69" t="s">
        <v>1028</v>
      </c>
      <c r="F437" s="69" t="str">
        <f t="shared" si="12"/>
        <v>EGY ADEL - 20</v>
      </c>
      <c r="G437" s="69" t="str">
        <f t="shared" si="13"/>
        <v>EGY20</v>
      </c>
    </row>
    <row r="438" spans="1:7" ht="15" hidden="1" customHeight="1" x14ac:dyDescent="0.35">
      <c r="A438" s="69">
        <v>21</v>
      </c>
      <c r="B438" s="69" t="s">
        <v>282</v>
      </c>
      <c r="C438" s="70" t="s">
        <v>1036</v>
      </c>
      <c r="D438" s="70" t="s">
        <v>1061</v>
      </c>
      <c r="E438" s="69" t="s">
        <v>1028</v>
      </c>
      <c r="F438" s="69" t="str">
        <f t="shared" si="12"/>
        <v>EGY SABER - 21</v>
      </c>
      <c r="G438" s="69" t="str">
        <f t="shared" si="13"/>
        <v>EGY21</v>
      </c>
    </row>
    <row r="439" spans="1:7" ht="15" hidden="1" customHeight="1" x14ac:dyDescent="0.35">
      <c r="A439" s="69">
        <v>22</v>
      </c>
      <c r="B439" s="69" t="s">
        <v>285</v>
      </c>
      <c r="C439" s="70" t="s">
        <v>1062</v>
      </c>
      <c r="D439" s="70" t="s">
        <v>1063</v>
      </c>
      <c r="E439" s="69" t="s">
        <v>1028</v>
      </c>
      <c r="F439" s="69" t="str">
        <f t="shared" si="12"/>
        <v>EGY MARMOUSH - 22</v>
      </c>
      <c r="G439" s="69" t="str">
        <f t="shared" si="13"/>
        <v>EGY22</v>
      </c>
    </row>
    <row r="440" spans="1:7" ht="15" hidden="1" customHeight="1" x14ac:dyDescent="0.35">
      <c r="A440" s="69">
        <v>23</v>
      </c>
      <c r="B440" s="69" t="s">
        <v>269</v>
      </c>
      <c r="C440" s="70" t="s">
        <v>1043</v>
      </c>
      <c r="D440" s="70" t="s">
        <v>1064</v>
      </c>
      <c r="E440" s="69" t="s">
        <v>1028</v>
      </c>
      <c r="F440" s="69" t="str">
        <f t="shared" si="12"/>
        <v>EGY (GK) SHOUBIR - 23</v>
      </c>
      <c r="G440" s="69" t="str">
        <f t="shared" si="13"/>
        <v>EGY23</v>
      </c>
    </row>
    <row r="441" spans="1:7" ht="15" hidden="1" customHeight="1" x14ac:dyDescent="0.35">
      <c r="A441" s="69">
        <v>24</v>
      </c>
      <c r="B441" s="69" t="s">
        <v>273</v>
      </c>
      <c r="C441" s="70" t="s">
        <v>1065</v>
      </c>
      <c r="D441" s="70" t="s">
        <v>1066</v>
      </c>
      <c r="E441" s="69" t="s">
        <v>1028</v>
      </c>
      <c r="F441" s="69" t="str">
        <f t="shared" si="12"/>
        <v>EGY ALAA - 24</v>
      </c>
      <c r="G441" s="69" t="str">
        <f t="shared" si="13"/>
        <v>EGY24</v>
      </c>
    </row>
    <row r="442" spans="1:7" ht="15" hidden="1" customHeight="1" x14ac:dyDescent="0.35">
      <c r="A442" s="69">
        <v>25</v>
      </c>
      <c r="B442" s="69" t="s">
        <v>285</v>
      </c>
      <c r="C442" s="70" t="s">
        <v>1047</v>
      </c>
      <c r="D442" s="70" t="s">
        <v>1067</v>
      </c>
      <c r="E442" s="69" t="s">
        <v>1028</v>
      </c>
      <c r="F442" s="69" t="str">
        <f t="shared" si="12"/>
        <v>EGY ZIZO - 25</v>
      </c>
      <c r="G442" s="69" t="str">
        <f t="shared" si="13"/>
        <v>EGY25</v>
      </c>
    </row>
    <row r="443" spans="1:7" ht="15" hidden="1" customHeight="1" x14ac:dyDescent="0.35">
      <c r="A443" s="69">
        <v>26</v>
      </c>
      <c r="B443" s="69" t="s">
        <v>269</v>
      </c>
      <c r="C443" s="70" t="s">
        <v>308</v>
      </c>
      <c r="D443" s="70" t="s">
        <v>1066</v>
      </c>
      <c r="E443" s="69" t="s">
        <v>1028</v>
      </c>
      <c r="F443" s="69" t="str">
        <f t="shared" si="12"/>
        <v>EGY (GK) ALAA - 26</v>
      </c>
      <c r="G443" s="69" t="str">
        <f t="shared" si="13"/>
        <v>EGY26</v>
      </c>
    </row>
    <row r="444" spans="1:7" ht="15" hidden="1" customHeight="1" x14ac:dyDescent="0.35">
      <c r="A444" s="71">
        <v>1</v>
      </c>
      <c r="B444" s="71" t="s">
        <v>269</v>
      </c>
      <c r="C444" s="72" t="s">
        <v>383</v>
      </c>
      <c r="D444" s="72" t="s">
        <v>1068</v>
      </c>
      <c r="E444" s="71" t="s">
        <v>1069</v>
      </c>
      <c r="F444" s="71" t="str">
        <f t="shared" si="12"/>
        <v>ENG (GK) PICKFORD - 1</v>
      </c>
      <c r="G444" s="71" t="str">
        <f t="shared" si="13"/>
        <v>ENG1</v>
      </c>
    </row>
    <row r="445" spans="1:7" ht="15" hidden="1" customHeight="1" x14ac:dyDescent="0.35">
      <c r="A445" s="71">
        <v>2</v>
      </c>
      <c r="B445" s="71" t="s">
        <v>273</v>
      </c>
      <c r="C445" s="72" t="s">
        <v>1070</v>
      </c>
      <c r="D445" s="72" t="s">
        <v>1071</v>
      </c>
      <c r="E445" s="71" t="s">
        <v>1069</v>
      </c>
      <c r="F445" s="71" t="str">
        <f t="shared" si="12"/>
        <v>ENG KONSA - 2</v>
      </c>
      <c r="G445" s="71" t="str">
        <f t="shared" si="13"/>
        <v>ENG2</v>
      </c>
    </row>
    <row r="446" spans="1:7" ht="15" hidden="1" customHeight="1" x14ac:dyDescent="0.35">
      <c r="A446" s="71">
        <v>3</v>
      </c>
      <c r="B446" s="71" t="s">
        <v>273</v>
      </c>
      <c r="C446" s="72" t="s">
        <v>354</v>
      </c>
      <c r="D446" s="72" t="s">
        <v>1072</v>
      </c>
      <c r="E446" s="71" t="s">
        <v>1069</v>
      </c>
      <c r="F446" s="71" t="str">
        <f t="shared" si="12"/>
        <v>ENG OREILLY - 3</v>
      </c>
      <c r="G446" s="71" t="str">
        <f t="shared" si="13"/>
        <v>ENG3</v>
      </c>
    </row>
    <row r="447" spans="1:7" ht="15" hidden="1" customHeight="1" x14ac:dyDescent="0.35">
      <c r="A447" s="71">
        <v>4</v>
      </c>
      <c r="B447" s="71" t="s">
        <v>282</v>
      </c>
      <c r="C447" s="72" t="s">
        <v>1073</v>
      </c>
      <c r="D447" s="72" t="s">
        <v>1074</v>
      </c>
      <c r="E447" s="71" t="s">
        <v>1069</v>
      </c>
      <c r="F447" s="71" t="str">
        <f t="shared" si="12"/>
        <v>ENG RICE - 4</v>
      </c>
      <c r="G447" s="71" t="str">
        <f t="shared" si="13"/>
        <v>ENG4</v>
      </c>
    </row>
    <row r="448" spans="1:7" ht="15" hidden="1" customHeight="1" x14ac:dyDescent="0.35">
      <c r="A448" s="71">
        <v>5</v>
      </c>
      <c r="B448" s="71" t="s">
        <v>273</v>
      </c>
      <c r="C448" s="72" t="s">
        <v>1003</v>
      </c>
      <c r="D448" s="72" t="s">
        <v>1075</v>
      </c>
      <c r="E448" s="71" t="s">
        <v>1069</v>
      </c>
      <c r="F448" s="71" t="str">
        <f t="shared" si="12"/>
        <v>ENG STONES - 5</v>
      </c>
      <c r="G448" s="71" t="str">
        <f t="shared" si="13"/>
        <v>ENG5</v>
      </c>
    </row>
    <row r="449" spans="1:7" ht="15" hidden="1" customHeight="1" x14ac:dyDescent="0.35">
      <c r="A449" s="71">
        <v>6</v>
      </c>
      <c r="B449" s="71" t="s">
        <v>273</v>
      </c>
      <c r="C449" s="72" t="s">
        <v>1076</v>
      </c>
      <c r="D449" s="72" t="s">
        <v>1077</v>
      </c>
      <c r="E449" s="71" t="s">
        <v>1069</v>
      </c>
      <c r="F449" s="71" t="str">
        <f t="shared" si="12"/>
        <v>ENG GUEHI - 6</v>
      </c>
      <c r="G449" s="71" t="str">
        <f t="shared" si="13"/>
        <v>ENG6</v>
      </c>
    </row>
    <row r="450" spans="1:7" ht="15" hidden="1" customHeight="1" x14ac:dyDescent="0.35">
      <c r="A450" s="71">
        <v>7</v>
      </c>
      <c r="B450" s="71" t="s">
        <v>285</v>
      </c>
      <c r="C450" s="72" t="s">
        <v>1078</v>
      </c>
      <c r="D450" s="72" t="s">
        <v>1079</v>
      </c>
      <c r="E450" s="71" t="s">
        <v>1069</v>
      </c>
      <c r="F450" s="71" t="str">
        <f t="shared" si="12"/>
        <v>ENG SAKA - 7</v>
      </c>
      <c r="G450" s="71" t="str">
        <f t="shared" si="13"/>
        <v>ENG7</v>
      </c>
    </row>
    <row r="451" spans="1:7" ht="15" hidden="1" customHeight="1" x14ac:dyDescent="0.35">
      <c r="A451" s="71">
        <v>8</v>
      </c>
      <c r="B451" s="71" t="s">
        <v>282</v>
      </c>
      <c r="C451" s="72" t="s">
        <v>1080</v>
      </c>
      <c r="D451" s="72" t="s">
        <v>1081</v>
      </c>
      <c r="E451" s="71" t="s">
        <v>1069</v>
      </c>
      <c r="F451" s="71" t="str">
        <f t="shared" ref="F451:F514" si="14">IF(B451="GK", _xlfn.CONCAT(E451, " ","(",B451, ") ",D451, " - ", A451),  _xlfn.CONCAT(E451, " ",D451, " - ", A451))</f>
        <v>ENG ANDERSON - 8</v>
      </c>
      <c r="G451" s="71" t="str">
        <f t="shared" ref="G451:G514" si="15">_xlfn.CONCAT(E451,A451)</f>
        <v>ENG8</v>
      </c>
    </row>
    <row r="452" spans="1:7" ht="15" hidden="1" customHeight="1" x14ac:dyDescent="0.35">
      <c r="A452" s="71">
        <v>9</v>
      </c>
      <c r="B452" s="71" t="s">
        <v>285</v>
      </c>
      <c r="C452" s="72" t="s">
        <v>409</v>
      </c>
      <c r="D452" s="72" t="s">
        <v>1082</v>
      </c>
      <c r="E452" s="71" t="s">
        <v>1069</v>
      </c>
      <c r="F452" s="71" t="str">
        <f t="shared" si="14"/>
        <v>ENG KANE - 9</v>
      </c>
      <c r="G452" s="71" t="str">
        <f t="shared" si="15"/>
        <v>ENG9</v>
      </c>
    </row>
    <row r="453" spans="1:7" ht="15" hidden="1" customHeight="1" x14ac:dyDescent="0.35">
      <c r="A453" s="71">
        <v>10</v>
      </c>
      <c r="B453" s="71" t="s">
        <v>282</v>
      </c>
      <c r="C453" s="72" t="s">
        <v>1083</v>
      </c>
      <c r="D453" s="72" t="s">
        <v>1084</v>
      </c>
      <c r="E453" s="71" t="s">
        <v>1069</v>
      </c>
      <c r="F453" s="71" t="str">
        <f t="shared" si="14"/>
        <v>ENG BELLINGHAM - 10</v>
      </c>
      <c r="G453" s="71" t="str">
        <f t="shared" si="15"/>
        <v>ENG10</v>
      </c>
    </row>
    <row r="454" spans="1:7" ht="15" hidden="1" customHeight="1" x14ac:dyDescent="0.35">
      <c r="A454" s="71">
        <v>11</v>
      </c>
      <c r="B454" s="71" t="s">
        <v>285</v>
      </c>
      <c r="C454" s="72" t="s">
        <v>1085</v>
      </c>
      <c r="D454" s="72" t="s">
        <v>1086</v>
      </c>
      <c r="E454" s="71" t="s">
        <v>1069</v>
      </c>
      <c r="F454" s="71" t="str">
        <f t="shared" si="14"/>
        <v>ENG RASHFORD - 11</v>
      </c>
      <c r="G454" s="71" t="str">
        <f t="shared" si="15"/>
        <v>ENG11</v>
      </c>
    </row>
    <row r="455" spans="1:7" ht="15" hidden="1" customHeight="1" x14ac:dyDescent="0.35">
      <c r="A455" s="71">
        <v>12</v>
      </c>
      <c r="B455" s="71" t="s">
        <v>273</v>
      </c>
      <c r="C455" s="72" t="s">
        <v>1087</v>
      </c>
      <c r="D455" s="72" t="s">
        <v>1088</v>
      </c>
      <c r="E455" s="71" t="s">
        <v>1069</v>
      </c>
      <c r="F455" s="71" t="str">
        <f t="shared" si="14"/>
        <v>ENG LIVRAMENTO - 12</v>
      </c>
      <c r="G455" s="71" t="str">
        <f t="shared" si="15"/>
        <v>ENG12</v>
      </c>
    </row>
    <row r="456" spans="1:7" ht="15" hidden="1" customHeight="1" x14ac:dyDescent="0.35">
      <c r="A456" s="71">
        <v>13</v>
      </c>
      <c r="B456" s="71" t="s">
        <v>269</v>
      </c>
      <c r="C456" s="72" t="s">
        <v>1089</v>
      </c>
      <c r="D456" s="72" t="s">
        <v>1090</v>
      </c>
      <c r="E456" s="71" t="s">
        <v>1069</v>
      </c>
      <c r="F456" s="71" t="str">
        <f t="shared" si="14"/>
        <v>ENG (GK) HENDERSON - 13</v>
      </c>
      <c r="G456" s="71" t="str">
        <f t="shared" si="15"/>
        <v>ENG13</v>
      </c>
    </row>
    <row r="457" spans="1:7" ht="15" hidden="1" customHeight="1" x14ac:dyDescent="0.35">
      <c r="A457" s="71">
        <v>14</v>
      </c>
      <c r="B457" s="71" t="s">
        <v>282</v>
      </c>
      <c r="C457" s="72" t="s">
        <v>383</v>
      </c>
      <c r="D457" s="72" t="s">
        <v>1090</v>
      </c>
      <c r="E457" s="71" t="s">
        <v>1069</v>
      </c>
      <c r="F457" s="71" t="str">
        <f t="shared" si="14"/>
        <v>ENG HENDERSON - 14</v>
      </c>
      <c r="G457" s="71" t="str">
        <f t="shared" si="15"/>
        <v>ENG14</v>
      </c>
    </row>
    <row r="458" spans="1:7" ht="15" hidden="1" customHeight="1" x14ac:dyDescent="0.35">
      <c r="A458" s="71">
        <v>15</v>
      </c>
      <c r="B458" s="71" t="s">
        <v>273</v>
      </c>
      <c r="C458" s="72" t="s">
        <v>1091</v>
      </c>
      <c r="D458" s="72" t="s">
        <v>1092</v>
      </c>
      <c r="E458" s="71" t="s">
        <v>1069</v>
      </c>
      <c r="F458" s="71" t="str">
        <f t="shared" si="14"/>
        <v>ENG BURN - 15</v>
      </c>
      <c r="G458" s="71" t="str">
        <f t="shared" si="15"/>
        <v>ENG15</v>
      </c>
    </row>
    <row r="459" spans="1:7" ht="15" hidden="1" customHeight="1" x14ac:dyDescent="0.35">
      <c r="A459" s="71">
        <v>16</v>
      </c>
      <c r="B459" s="71" t="s">
        <v>282</v>
      </c>
      <c r="C459" s="72" t="s">
        <v>1093</v>
      </c>
      <c r="D459" s="72" t="s">
        <v>1094</v>
      </c>
      <c r="E459" s="71" t="s">
        <v>1069</v>
      </c>
      <c r="F459" s="71" t="str">
        <f t="shared" si="14"/>
        <v>ENG MAINOO - 16</v>
      </c>
      <c r="G459" s="71" t="str">
        <f t="shared" si="15"/>
        <v>ENG16</v>
      </c>
    </row>
    <row r="460" spans="1:7" ht="15" hidden="1" customHeight="1" x14ac:dyDescent="0.35">
      <c r="A460" s="71">
        <v>17</v>
      </c>
      <c r="B460" s="71" t="s">
        <v>282</v>
      </c>
      <c r="C460" s="72" t="s">
        <v>1095</v>
      </c>
      <c r="D460" s="72" t="s">
        <v>1096</v>
      </c>
      <c r="E460" s="71" t="s">
        <v>1069</v>
      </c>
      <c r="F460" s="71" t="str">
        <f t="shared" si="14"/>
        <v>ENG ROGERS - 17</v>
      </c>
      <c r="G460" s="71" t="str">
        <f t="shared" si="15"/>
        <v>ENG17</v>
      </c>
    </row>
    <row r="461" spans="1:7" ht="15" hidden="1" customHeight="1" x14ac:dyDescent="0.35">
      <c r="A461" s="71">
        <v>18</v>
      </c>
      <c r="B461" s="71" t="s">
        <v>285</v>
      </c>
      <c r="C461" s="72" t="s">
        <v>1001</v>
      </c>
      <c r="D461" s="72" t="s">
        <v>1097</v>
      </c>
      <c r="E461" s="71" t="s">
        <v>1069</v>
      </c>
      <c r="F461" s="71" t="str">
        <f t="shared" si="14"/>
        <v>ENG GORDON - 18</v>
      </c>
      <c r="G461" s="71" t="str">
        <f t="shared" si="15"/>
        <v>ENG18</v>
      </c>
    </row>
    <row r="462" spans="1:7" ht="15" hidden="1" customHeight="1" x14ac:dyDescent="0.35">
      <c r="A462" s="71">
        <v>19</v>
      </c>
      <c r="B462" s="71" t="s">
        <v>285</v>
      </c>
      <c r="C462" s="72" t="s">
        <v>1098</v>
      </c>
      <c r="D462" s="72" t="s">
        <v>1099</v>
      </c>
      <c r="E462" s="71" t="s">
        <v>1069</v>
      </c>
      <c r="F462" s="71" t="str">
        <f t="shared" si="14"/>
        <v>ENG WATKINS - 19</v>
      </c>
      <c r="G462" s="71" t="str">
        <f t="shared" si="15"/>
        <v>ENG19</v>
      </c>
    </row>
    <row r="463" spans="1:7" ht="15" hidden="1" customHeight="1" x14ac:dyDescent="0.35">
      <c r="A463" s="71">
        <v>20</v>
      </c>
      <c r="B463" s="71" t="s">
        <v>285</v>
      </c>
      <c r="C463" s="72" t="s">
        <v>1100</v>
      </c>
      <c r="D463" s="72" t="s">
        <v>1101</v>
      </c>
      <c r="E463" s="71" t="s">
        <v>1069</v>
      </c>
      <c r="F463" s="71" t="str">
        <f t="shared" si="14"/>
        <v>ENG MADUEKE - 20</v>
      </c>
      <c r="G463" s="71" t="str">
        <f t="shared" si="15"/>
        <v>ENG20</v>
      </c>
    </row>
    <row r="464" spans="1:7" ht="15" hidden="1" customHeight="1" x14ac:dyDescent="0.35">
      <c r="A464" s="71">
        <v>21</v>
      </c>
      <c r="B464" s="71" t="s">
        <v>282</v>
      </c>
      <c r="C464" s="72" t="s">
        <v>1102</v>
      </c>
      <c r="D464" s="72" t="s">
        <v>1103</v>
      </c>
      <c r="E464" s="71" t="s">
        <v>1069</v>
      </c>
      <c r="F464" s="71" t="str">
        <f t="shared" si="14"/>
        <v>ENG EZE - 21</v>
      </c>
      <c r="G464" s="71" t="str">
        <f t="shared" si="15"/>
        <v>ENG21</v>
      </c>
    </row>
    <row r="465" spans="1:7" ht="15" hidden="1" customHeight="1" x14ac:dyDescent="0.35">
      <c r="A465" s="71">
        <v>22</v>
      </c>
      <c r="B465" s="71" t="s">
        <v>285</v>
      </c>
      <c r="C465" s="72" t="s">
        <v>539</v>
      </c>
      <c r="D465" s="72" t="s">
        <v>1104</v>
      </c>
      <c r="E465" s="71" t="s">
        <v>1069</v>
      </c>
      <c r="F465" s="71" t="str">
        <f t="shared" si="14"/>
        <v>ENG TONEY - 22</v>
      </c>
      <c r="G465" s="71" t="str">
        <f t="shared" si="15"/>
        <v>ENG22</v>
      </c>
    </row>
    <row r="466" spans="1:7" ht="15" hidden="1" customHeight="1" x14ac:dyDescent="0.35">
      <c r="A466" s="71">
        <v>23</v>
      </c>
      <c r="B466" s="71" t="s">
        <v>269</v>
      </c>
      <c r="C466" s="72" t="s">
        <v>733</v>
      </c>
      <c r="D466" s="72" t="s">
        <v>1105</v>
      </c>
      <c r="E466" s="71" t="s">
        <v>1069</v>
      </c>
      <c r="F466" s="71" t="str">
        <f t="shared" si="14"/>
        <v>ENG (GK) TRAFFORD - 23</v>
      </c>
      <c r="G466" s="71" t="str">
        <f t="shared" si="15"/>
        <v>ENG23</v>
      </c>
    </row>
    <row r="467" spans="1:7" ht="15" hidden="1" customHeight="1" x14ac:dyDescent="0.35">
      <c r="A467" s="71">
        <v>24</v>
      </c>
      <c r="B467" s="71" t="s">
        <v>273</v>
      </c>
      <c r="C467" s="72" t="s">
        <v>1106</v>
      </c>
      <c r="D467" s="72" t="s">
        <v>1107</v>
      </c>
      <c r="E467" s="71" t="s">
        <v>1069</v>
      </c>
      <c r="F467" s="71" t="str">
        <f t="shared" si="14"/>
        <v>ENG JAMES - 24</v>
      </c>
      <c r="G467" s="71" t="str">
        <f t="shared" si="15"/>
        <v>ENG24</v>
      </c>
    </row>
    <row r="468" spans="1:7" ht="15" hidden="1" customHeight="1" x14ac:dyDescent="0.35">
      <c r="A468" s="71">
        <v>25</v>
      </c>
      <c r="B468" s="71" t="s">
        <v>273</v>
      </c>
      <c r="C468" s="72" t="s">
        <v>1108</v>
      </c>
      <c r="D468" s="72" t="s">
        <v>1109</v>
      </c>
      <c r="E468" s="71" t="s">
        <v>1069</v>
      </c>
      <c r="F468" s="71" t="str">
        <f t="shared" si="14"/>
        <v>ENG SPENCE - 25</v>
      </c>
      <c r="G468" s="71" t="str">
        <f t="shared" si="15"/>
        <v>ENG25</v>
      </c>
    </row>
    <row r="469" spans="1:7" ht="15" hidden="1" customHeight="1" x14ac:dyDescent="0.35">
      <c r="A469" s="71">
        <v>26</v>
      </c>
      <c r="B469" s="71" t="s">
        <v>273</v>
      </c>
      <c r="C469" s="72" t="s">
        <v>1110</v>
      </c>
      <c r="D469" s="72" t="s">
        <v>1111</v>
      </c>
      <c r="E469" s="71" t="s">
        <v>1069</v>
      </c>
      <c r="F469" s="71" t="str">
        <f t="shared" si="14"/>
        <v>ENG QUANSAH - 26</v>
      </c>
      <c r="G469" s="71" t="str">
        <f t="shared" si="15"/>
        <v>ENG26</v>
      </c>
    </row>
    <row r="470" spans="1:7" ht="15" hidden="1" customHeight="1" x14ac:dyDescent="0.35">
      <c r="A470" s="73">
        <v>1</v>
      </c>
      <c r="B470" s="73" t="s">
        <v>269</v>
      </c>
      <c r="C470" s="74" t="s">
        <v>1112</v>
      </c>
      <c r="D470" s="74" t="s">
        <v>1113</v>
      </c>
      <c r="E470" s="73" t="s">
        <v>1114</v>
      </c>
      <c r="F470" s="73" t="str">
        <f t="shared" si="14"/>
        <v>FRA (GK) SAMBA - 1</v>
      </c>
      <c r="G470" s="73" t="str">
        <f t="shared" si="15"/>
        <v>FRA1</v>
      </c>
    </row>
    <row r="471" spans="1:7" ht="15" hidden="1" customHeight="1" x14ac:dyDescent="0.35">
      <c r="A471" s="73">
        <v>2</v>
      </c>
      <c r="B471" s="73" t="s">
        <v>273</v>
      </c>
      <c r="C471" s="74" t="s">
        <v>1115</v>
      </c>
      <c r="D471" s="74" t="s">
        <v>1116</v>
      </c>
      <c r="E471" s="73" t="s">
        <v>1114</v>
      </c>
      <c r="F471" s="73" t="str">
        <f t="shared" si="14"/>
        <v>FRA GUSTO - 2</v>
      </c>
      <c r="G471" s="73" t="str">
        <f t="shared" si="15"/>
        <v>FRA2</v>
      </c>
    </row>
    <row r="472" spans="1:7" ht="15" hidden="1" customHeight="1" x14ac:dyDescent="0.35">
      <c r="A472" s="73">
        <v>3</v>
      </c>
      <c r="B472" s="73" t="s">
        <v>273</v>
      </c>
      <c r="C472" s="74" t="s">
        <v>418</v>
      </c>
      <c r="D472" s="74" t="s">
        <v>1117</v>
      </c>
      <c r="E472" s="73" t="s">
        <v>1114</v>
      </c>
      <c r="F472" s="73" t="str">
        <f t="shared" si="14"/>
        <v>FRA DIGNE - 3</v>
      </c>
      <c r="G472" s="73" t="str">
        <f t="shared" si="15"/>
        <v>FRA3</v>
      </c>
    </row>
    <row r="473" spans="1:7" ht="15" hidden="1" customHeight="1" x14ac:dyDescent="0.35">
      <c r="A473" s="73">
        <v>4</v>
      </c>
      <c r="B473" s="73" t="s">
        <v>273</v>
      </c>
      <c r="C473" s="74" t="s">
        <v>1118</v>
      </c>
      <c r="D473" s="74" t="s">
        <v>1119</v>
      </c>
      <c r="E473" s="73" t="s">
        <v>1114</v>
      </c>
      <c r="F473" s="73" t="str">
        <f t="shared" si="14"/>
        <v>FRA UPAMECANO - 4</v>
      </c>
      <c r="G473" s="73" t="str">
        <f t="shared" si="15"/>
        <v>FRA4</v>
      </c>
    </row>
    <row r="474" spans="1:7" ht="15" hidden="1" customHeight="1" x14ac:dyDescent="0.35">
      <c r="A474" s="73">
        <v>5</v>
      </c>
      <c r="B474" s="73" t="s">
        <v>273</v>
      </c>
      <c r="C474" s="74" t="s">
        <v>1120</v>
      </c>
      <c r="D474" s="74" t="s">
        <v>1121</v>
      </c>
      <c r="E474" s="73" t="s">
        <v>1114</v>
      </c>
      <c r="F474" s="73" t="str">
        <f t="shared" si="14"/>
        <v>FRA KOUNDE - 5</v>
      </c>
      <c r="G474" s="73" t="str">
        <f t="shared" si="15"/>
        <v>FRA5</v>
      </c>
    </row>
    <row r="475" spans="1:7" ht="15" hidden="1" customHeight="1" x14ac:dyDescent="0.35">
      <c r="A475" s="73">
        <v>6</v>
      </c>
      <c r="B475" s="73" t="s">
        <v>282</v>
      </c>
      <c r="C475" s="74" t="s">
        <v>1122</v>
      </c>
      <c r="D475" s="74" t="s">
        <v>684</v>
      </c>
      <c r="E475" s="73" t="s">
        <v>1114</v>
      </c>
      <c r="F475" s="73" t="str">
        <f t="shared" si="14"/>
        <v>FRA KONE - 6</v>
      </c>
      <c r="G475" s="73" t="str">
        <f t="shared" si="15"/>
        <v>FRA6</v>
      </c>
    </row>
    <row r="476" spans="1:7" ht="15" hidden="1" customHeight="1" x14ac:dyDescent="0.35">
      <c r="A476" s="73">
        <v>7</v>
      </c>
      <c r="B476" s="73" t="s">
        <v>285</v>
      </c>
      <c r="C476" s="74" t="s">
        <v>811</v>
      </c>
      <c r="D476" s="74" t="s">
        <v>1123</v>
      </c>
      <c r="E476" s="73" t="s">
        <v>1114</v>
      </c>
      <c r="F476" s="73" t="str">
        <f t="shared" si="14"/>
        <v>FRA DEMBELE - 7</v>
      </c>
      <c r="G476" s="73" t="str">
        <f t="shared" si="15"/>
        <v>FRA7</v>
      </c>
    </row>
    <row r="477" spans="1:7" ht="15" hidden="1" customHeight="1" x14ac:dyDescent="0.35">
      <c r="A477" s="73">
        <v>8</v>
      </c>
      <c r="B477" s="73" t="s">
        <v>282</v>
      </c>
      <c r="C477" s="74" t="s">
        <v>1124</v>
      </c>
      <c r="D477" s="74" t="s">
        <v>1125</v>
      </c>
      <c r="E477" s="73" t="s">
        <v>1114</v>
      </c>
      <c r="F477" s="73" t="str">
        <f t="shared" si="14"/>
        <v>FRA TCHOUAMENI - 8</v>
      </c>
      <c r="G477" s="73" t="str">
        <f t="shared" si="15"/>
        <v>FRA8</v>
      </c>
    </row>
    <row r="478" spans="1:7" ht="15" hidden="1" customHeight="1" x14ac:dyDescent="0.35">
      <c r="A478" s="73">
        <v>9</v>
      </c>
      <c r="B478" s="73" t="s">
        <v>285</v>
      </c>
      <c r="C478" s="74" t="s">
        <v>1085</v>
      </c>
      <c r="D478" s="74" t="s">
        <v>1126</v>
      </c>
      <c r="E478" s="73" t="s">
        <v>1114</v>
      </c>
      <c r="F478" s="73" t="str">
        <f t="shared" si="14"/>
        <v>FRA THURAM - 9</v>
      </c>
      <c r="G478" s="73" t="str">
        <f t="shared" si="15"/>
        <v>FRA9</v>
      </c>
    </row>
    <row r="479" spans="1:7" ht="15" hidden="1" customHeight="1" x14ac:dyDescent="0.35">
      <c r="A479" s="73">
        <v>10</v>
      </c>
      <c r="B479" s="73" t="s">
        <v>285</v>
      </c>
      <c r="C479" s="74" t="s">
        <v>1127</v>
      </c>
      <c r="D479" s="74" t="s">
        <v>1128</v>
      </c>
      <c r="E479" s="73" t="s">
        <v>1114</v>
      </c>
      <c r="F479" s="73" t="str">
        <f t="shared" si="14"/>
        <v>FRA MBAPPE - 10</v>
      </c>
      <c r="G479" s="73" t="str">
        <f t="shared" si="15"/>
        <v>FRA10</v>
      </c>
    </row>
    <row r="480" spans="1:7" ht="15" hidden="1" customHeight="1" x14ac:dyDescent="0.35">
      <c r="A480" s="73">
        <v>11</v>
      </c>
      <c r="B480" s="73" t="s">
        <v>285</v>
      </c>
      <c r="C480" s="74" t="s">
        <v>440</v>
      </c>
      <c r="D480" s="74" t="s">
        <v>1129</v>
      </c>
      <c r="E480" s="73" t="s">
        <v>1114</v>
      </c>
      <c r="F480" s="73" t="str">
        <f t="shared" si="14"/>
        <v>FRA OLISE - 11</v>
      </c>
      <c r="G480" s="73" t="str">
        <f t="shared" si="15"/>
        <v>FRA11</v>
      </c>
    </row>
    <row r="481" spans="1:7" ht="15" hidden="1" customHeight="1" x14ac:dyDescent="0.35">
      <c r="A481" s="73">
        <v>12</v>
      </c>
      <c r="B481" s="73" t="s">
        <v>285</v>
      </c>
      <c r="C481" s="74" t="s">
        <v>1130</v>
      </c>
      <c r="D481" s="74" t="s">
        <v>1131</v>
      </c>
      <c r="E481" s="73" t="s">
        <v>1114</v>
      </c>
      <c r="F481" s="73" t="str">
        <f t="shared" si="14"/>
        <v>FRA BARCOLA - 12</v>
      </c>
      <c r="G481" s="73" t="str">
        <f t="shared" si="15"/>
        <v>FRA12</v>
      </c>
    </row>
    <row r="482" spans="1:7" ht="15" hidden="1" customHeight="1" x14ac:dyDescent="0.35">
      <c r="A482" s="73">
        <v>13</v>
      </c>
      <c r="B482" s="73" t="s">
        <v>282</v>
      </c>
      <c r="C482" s="74" t="s">
        <v>1132</v>
      </c>
      <c r="D482" s="74" t="s">
        <v>1133</v>
      </c>
      <c r="E482" s="73" t="s">
        <v>1114</v>
      </c>
      <c r="F482" s="73" t="str">
        <f t="shared" si="14"/>
        <v>FRA KANTE - 13</v>
      </c>
      <c r="G482" s="73" t="str">
        <f t="shared" si="15"/>
        <v>FRA13</v>
      </c>
    </row>
    <row r="483" spans="1:7" ht="15" hidden="1" customHeight="1" x14ac:dyDescent="0.35">
      <c r="A483" s="73">
        <v>14</v>
      </c>
      <c r="B483" s="73" t="s">
        <v>282</v>
      </c>
      <c r="C483" s="74" t="s">
        <v>1134</v>
      </c>
      <c r="D483" s="74" t="s">
        <v>1135</v>
      </c>
      <c r="E483" s="73" t="s">
        <v>1114</v>
      </c>
      <c r="F483" s="73" t="str">
        <f t="shared" si="14"/>
        <v>FRA RABIOT - 14</v>
      </c>
      <c r="G483" s="73" t="str">
        <f t="shared" si="15"/>
        <v>FRA14</v>
      </c>
    </row>
    <row r="484" spans="1:7" ht="15" hidden="1" customHeight="1" x14ac:dyDescent="0.35">
      <c r="A484" s="73">
        <v>15</v>
      </c>
      <c r="B484" s="73" t="s">
        <v>273</v>
      </c>
      <c r="C484" s="74" t="s">
        <v>1136</v>
      </c>
      <c r="D484" s="74" t="s">
        <v>1137</v>
      </c>
      <c r="E484" s="73" t="s">
        <v>1114</v>
      </c>
      <c r="F484" s="73" t="str">
        <f t="shared" si="14"/>
        <v>FRA KONATE - 15</v>
      </c>
      <c r="G484" s="73" t="str">
        <f t="shared" si="15"/>
        <v>FRA15</v>
      </c>
    </row>
    <row r="485" spans="1:7" ht="15" hidden="1" customHeight="1" x14ac:dyDescent="0.35">
      <c r="A485" s="73">
        <v>16</v>
      </c>
      <c r="B485" s="73" t="s">
        <v>269</v>
      </c>
      <c r="C485" s="74" t="s">
        <v>488</v>
      </c>
      <c r="D485" s="74" t="s">
        <v>1138</v>
      </c>
      <c r="E485" s="73" t="s">
        <v>1114</v>
      </c>
      <c r="F485" s="73" t="str">
        <f t="shared" si="14"/>
        <v>FRA (GK) MAIGNAN - 16</v>
      </c>
      <c r="G485" s="73" t="str">
        <f t="shared" si="15"/>
        <v>FRA16</v>
      </c>
    </row>
    <row r="486" spans="1:7" ht="15" hidden="1" customHeight="1" x14ac:dyDescent="0.35">
      <c r="A486" s="73">
        <v>17</v>
      </c>
      <c r="B486" s="73" t="s">
        <v>273</v>
      </c>
      <c r="C486" s="74" t="s">
        <v>1139</v>
      </c>
      <c r="D486" s="74" t="s">
        <v>714</v>
      </c>
      <c r="E486" s="73" t="s">
        <v>1114</v>
      </c>
      <c r="F486" s="73" t="str">
        <f t="shared" si="14"/>
        <v>FRA SALIBA - 17</v>
      </c>
      <c r="G486" s="73" t="str">
        <f t="shared" si="15"/>
        <v>FRA17</v>
      </c>
    </row>
    <row r="487" spans="1:7" ht="15" hidden="1" customHeight="1" x14ac:dyDescent="0.35">
      <c r="A487" s="73">
        <v>18</v>
      </c>
      <c r="B487" s="73" t="s">
        <v>282</v>
      </c>
      <c r="C487" s="74" t="s">
        <v>1140</v>
      </c>
      <c r="D487" s="74" t="s">
        <v>1141</v>
      </c>
      <c r="E487" s="73" t="s">
        <v>1114</v>
      </c>
      <c r="F487" s="73" t="str">
        <f t="shared" si="14"/>
        <v>FRA ZAIRE-EMERY - 18</v>
      </c>
      <c r="G487" s="73" t="str">
        <f t="shared" si="15"/>
        <v>FRA18</v>
      </c>
    </row>
    <row r="488" spans="1:7" ht="15" hidden="1" customHeight="1" x14ac:dyDescent="0.35">
      <c r="A488" s="73">
        <v>19</v>
      </c>
      <c r="B488" s="73" t="s">
        <v>273</v>
      </c>
      <c r="C488" s="74" t="s">
        <v>779</v>
      </c>
      <c r="D488" s="74" t="s">
        <v>749</v>
      </c>
      <c r="E488" s="73" t="s">
        <v>1114</v>
      </c>
      <c r="F488" s="73" t="str">
        <f t="shared" si="14"/>
        <v>FRA HERNANDEZ - 19</v>
      </c>
      <c r="G488" s="73" t="str">
        <f t="shared" si="15"/>
        <v>FRA19</v>
      </c>
    </row>
    <row r="489" spans="1:7" ht="15" hidden="1" customHeight="1" x14ac:dyDescent="0.35">
      <c r="A489" s="73">
        <v>20</v>
      </c>
      <c r="B489" s="73" t="s">
        <v>285</v>
      </c>
      <c r="C489" s="74" t="s">
        <v>1142</v>
      </c>
      <c r="D489" s="74" t="s">
        <v>837</v>
      </c>
      <c r="E489" s="73" t="s">
        <v>1114</v>
      </c>
      <c r="F489" s="73" t="str">
        <f t="shared" si="14"/>
        <v>FRA DOUE - 20</v>
      </c>
      <c r="G489" s="73" t="str">
        <f t="shared" si="15"/>
        <v>FRA20</v>
      </c>
    </row>
    <row r="490" spans="1:7" ht="15" hidden="1" customHeight="1" x14ac:dyDescent="0.35">
      <c r="A490" s="73">
        <v>21</v>
      </c>
      <c r="B490" s="73" t="s">
        <v>273</v>
      </c>
      <c r="C490" s="74" t="s">
        <v>418</v>
      </c>
      <c r="D490" s="74" t="s">
        <v>749</v>
      </c>
      <c r="E490" s="73" t="s">
        <v>1114</v>
      </c>
      <c r="F490" s="73" t="str">
        <f t="shared" si="14"/>
        <v>FRA HERNANDEZ - 21</v>
      </c>
      <c r="G490" s="73" t="str">
        <f t="shared" si="15"/>
        <v>FRA21</v>
      </c>
    </row>
    <row r="491" spans="1:7" ht="15" hidden="1" customHeight="1" x14ac:dyDescent="0.35">
      <c r="A491" s="73">
        <v>22</v>
      </c>
      <c r="B491" s="73" t="s">
        <v>285</v>
      </c>
      <c r="C491" s="74" t="s">
        <v>1143</v>
      </c>
      <c r="D491" s="74" t="s">
        <v>1144</v>
      </c>
      <c r="E491" s="73" t="s">
        <v>1114</v>
      </c>
      <c r="F491" s="73" t="str">
        <f t="shared" si="14"/>
        <v>FRA MATETA - 22</v>
      </c>
      <c r="G491" s="73" t="str">
        <f t="shared" si="15"/>
        <v>FRA22</v>
      </c>
    </row>
    <row r="492" spans="1:7" ht="15" hidden="1" customHeight="1" x14ac:dyDescent="0.35">
      <c r="A492" s="73">
        <v>23</v>
      </c>
      <c r="B492" s="73" t="s">
        <v>269</v>
      </c>
      <c r="C492" s="74" t="s">
        <v>948</v>
      </c>
      <c r="D492" s="74" t="s">
        <v>1145</v>
      </c>
      <c r="E492" s="73" t="s">
        <v>1114</v>
      </c>
      <c r="F492" s="73" t="str">
        <f t="shared" si="14"/>
        <v>FRA (GK) RISSER - 23</v>
      </c>
      <c r="G492" s="73" t="str">
        <f t="shared" si="15"/>
        <v>FRA23</v>
      </c>
    </row>
    <row r="493" spans="1:7" ht="15" hidden="1" customHeight="1" x14ac:dyDescent="0.35">
      <c r="A493" s="73">
        <v>24</v>
      </c>
      <c r="B493" s="73" t="s">
        <v>282</v>
      </c>
      <c r="C493" s="74" t="s">
        <v>302</v>
      </c>
      <c r="D493" s="74" t="s">
        <v>1146</v>
      </c>
      <c r="E493" s="73" t="s">
        <v>1114</v>
      </c>
      <c r="F493" s="73" t="str">
        <f t="shared" si="14"/>
        <v>FRA CHERKI - 24</v>
      </c>
      <c r="G493" s="73" t="str">
        <f t="shared" si="15"/>
        <v>FRA24</v>
      </c>
    </row>
    <row r="494" spans="1:7" ht="15" hidden="1" customHeight="1" x14ac:dyDescent="0.35">
      <c r="A494" s="73">
        <v>25</v>
      </c>
      <c r="B494" s="73" t="s">
        <v>282</v>
      </c>
      <c r="C494" s="74" t="s">
        <v>1147</v>
      </c>
      <c r="D494" s="74" t="s">
        <v>1148</v>
      </c>
      <c r="E494" s="73" t="s">
        <v>1114</v>
      </c>
      <c r="F494" s="73" t="str">
        <f t="shared" si="14"/>
        <v>FRA AKLIOUCHE - 25</v>
      </c>
      <c r="G494" s="73" t="str">
        <f t="shared" si="15"/>
        <v>FRA25</v>
      </c>
    </row>
    <row r="495" spans="1:7" ht="15" hidden="1" customHeight="1" x14ac:dyDescent="0.35">
      <c r="A495" s="73">
        <v>26</v>
      </c>
      <c r="B495" s="73" t="s">
        <v>273</v>
      </c>
      <c r="C495" s="74" t="s">
        <v>1149</v>
      </c>
      <c r="D495" s="74" t="s">
        <v>1150</v>
      </c>
      <c r="E495" s="73" t="s">
        <v>1114</v>
      </c>
      <c r="F495" s="73" t="str">
        <f t="shared" si="14"/>
        <v>FRA LACROIX - 26</v>
      </c>
      <c r="G495" s="73" t="str">
        <f t="shared" si="15"/>
        <v>FRA26</v>
      </c>
    </row>
    <row r="496" spans="1:7" ht="15" hidden="1" customHeight="1" x14ac:dyDescent="0.35">
      <c r="A496" s="75">
        <v>1</v>
      </c>
      <c r="B496" s="75" t="s">
        <v>269</v>
      </c>
      <c r="C496" s="76" t="s">
        <v>1151</v>
      </c>
      <c r="D496" s="76" t="s">
        <v>1152</v>
      </c>
      <c r="E496" s="75" t="s">
        <v>1153</v>
      </c>
      <c r="F496" s="75" t="str">
        <f t="shared" si="14"/>
        <v>DEU (GK) NEUER - 1</v>
      </c>
      <c r="G496" s="75" t="str">
        <f t="shared" si="15"/>
        <v>DEU1</v>
      </c>
    </row>
    <row r="497" spans="1:7" ht="15" hidden="1" customHeight="1" x14ac:dyDescent="0.35">
      <c r="A497" s="75">
        <v>2</v>
      </c>
      <c r="B497" s="75" t="s">
        <v>273</v>
      </c>
      <c r="C497" s="76" t="s">
        <v>1154</v>
      </c>
      <c r="D497" s="76" t="s">
        <v>1155</v>
      </c>
      <c r="E497" s="75" t="s">
        <v>1153</v>
      </c>
      <c r="F497" s="75" t="str">
        <f t="shared" si="14"/>
        <v>DEU RUEDIGER - 2</v>
      </c>
      <c r="G497" s="75" t="str">
        <f t="shared" si="15"/>
        <v>DEU2</v>
      </c>
    </row>
    <row r="498" spans="1:7" ht="15" hidden="1" customHeight="1" x14ac:dyDescent="0.35">
      <c r="A498" s="75">
        <v>3</v>
      </c>
      <c r="B498" s="75" t="s">
        <v>273</v>
      </c>
      <c r="C498" s="76" t="s">
        <v>1156</v>
      </c>
      <c r="D498" s="76" t="s">
        <v>1157</v>
      </c>
      <c r="E498" s="75" t="s">
        <v>1153</v>
      </c>
      <c r="F498" s="75" t="str">
        <f t="shared" si="14"/>
        <v>DEU ANTON - 3</v>
      </c>
      <c r="G498" s="75" t="str">
        <f t="shared" si="15"/>
        <v>DEU3</v>
      </c>
    </row>
    <row r="499" spans="1:7" ht="15" hidden="1" customHeight="1" x14ac:dyDescent="0.35">
      <c r="A499" s="75">
        <v>4</v>
      </c>
      <c r="B499" s="75" t="s">
        <v>273</v>
      </c>
      <c r="C499" s="76" t="s">
        <v>687</v>
      </c>
      <c r="D499" s="76" t="s">
        <v>1158</v>
      </c>
      <c r="E499" s="75" t="s">
        <v>1153</v>
      </c>
      <c r="F499" s="75" t="str">
        <f t="shared" si="14"/>
        <v>DEU TAH - 4</v>
      </c>
      <c r="G499" s="75" t="str">
        <f t="shared" si="15"/>
        <v>DEU4</v>
      </c>
    </row>
    <row r="500" spans="1:7" ht="15" hidden="1" customHeight="1" x14ac:dyDescent="0.35">
      <c r="A500" s="75">
        <v>5</v>
      </c>
      <c r="B500" s="75" t="s">
        <v>282</v>
      </c>
      <c r="C500" s="76" t="s">
        <v>1159</v>
      </c>
      <c r="D500" s="76" t="s">
        <v>1160</v>
      </c>
      <c r="E500" s="75" t="s">
        <v>1153</v>
      </c>
      <c r="F500" s="75" t="str">
        <f t="shared" si="14"/>
        <v>DEU PAVLOVIC - 5</v>
      </c>
      <c r="G500" s="75" t="str">
        <f t="shared" si="15"/>
        <v>DEU5</v>
      </c>
    </row>
    <row r="501" spans="1:7" ht="15" hidden="1" customHeight="1" x14ac:dyDescent="0.35">
      <c r="A501" s="75">
        <v>6</v>
      </c>
      <c r="B501" s="75" t="s">
        <v>273</v>
      </c>
      <c r="C501" s="76" t="s">
        <v>929</v>
      </c>
      <c r="D501" s="76" t="s">
        <v>1161</v>
      </c>
      <c r="E501" s="75" t="s">
        <v>1153</v>
      </c>
      <c r="F501" s="75" t="str">
        <f t="shared" si="14"/>
        <v>DEU KIMMICH - 6</v>
      </c>
      <c r="G501" s="75" t="str">
        <f t="shared" si="15"/>
        <v>DEU6</v>
      </c>
    </row>
    <row r="502" spans="1:7" ht="15" hidden="1" customHeight="1" x14ac:dyDescent="0.35">
      <c r="A502" s="75">
        <v>7</v>
      </c>
      <c r="B502" s="75" t="s">
        <v>285</v>
      </c>
      <c r="C502" s="76" t="s">
        <v>401</v>
      </c>
      <c r="D502" s="76" t="s">
        <v>1162</v>
      </c>
      <c r="E502" s="75" t="s">
        <v>1153</v>
      </c>
      <c r="F502" s="75" t="str">
        <f t="shared" si="14"/>
        <v>DEU HAVERTZ - 7</v>
      </c>
      <c r="G502" s="75" t="str">
        <f t="shared" si="15"/>
        <v>DEU7</v>
      </c>
    </row>
    <row r="503" spans="1:7" ht="15" hidden="1" customHeight="1" x14ac:dyDescent="0.35">
      <c r="A503" s="75">
        <v>8</v>
      </c>
      <c r="B503" s="75" t="s">
        <v>282</v>
      </c>
      <c r="C503" s="76" t="s">
        <v>1163</v>
      </c>
      <c r="D503" s="76" t="s">
        <v>1164</v>
      </c>
      <c r="E503" s="75" t="s">
        <v>1153</v>
      </c>
      <c r="F503" s="75" t="str">
        <f t="shared" si="14"/>
        <v>DEU GORETZKA - 8</v>
      </c>
      <c r="G503" s="75" t="str">
        <f t="shared" si="15"/>
        <v>DEU8</v>
      </c>
    </row>
    <row r="504" spans="1:7" ht="15" hidden="1" customHeight="1" x14ac:dyDescent="0.35">
      <c r="A504" s="75">
        <v>9</v>
      </c>
      <c r="B504" s="75" t="s">
        <v>282</v>
      </c>
      <c r="C504" s="76" t="s">
        <v>1165</v>
      </c>
      <c r="D504" s="76" t="s">
        <v>1166</v>
      </c>
      <c r="E504" s="75" t="s">
        <v>1153</v>
      </c>
      <c r="F504" s="75" t="str">
        <f t="shared" si="14"/>
        <v>DEU LEWELING - 9</v>
      </c>
      <c r="G504" s="75" t="str">
        <f t="shared" si="15"/>
        <v>DEU9</v>
      </c>
    </row>
    <row r="505" spans="1:7" ht="15" hidden="1" customHeight="1" x14ac:dyDescent="0.35">
      <c r="A505" s="75">
        <v>10</v>
      </c>
      <c r="B505" s="75" t="s">
        <v>282</v>
      </c>
      <c r="C505" s="76" t="s">
        <v>1167</v>
      </c>
      <c r="D505" s="76" t="s">
        <v>1168</v>
      </c>
      <c r="E505" s="75" t="s">
        <v>1153</v>
      </c>
      <c r="F505" s="75" t="str">
        <f t="shared" si="14"/>
        <v>DEU MUSIALA - 10</v>
      </c>
      <c r="G505" s="75" t="str">
        <f t="shared" si="15"/>
        <v>DEU10</v>
      </c>
    </row>
    <row r="506" spans="1:7" ht="15" hidden="1" customHeight="1" x14ac:dyDescent="0.35">
      <c r="A506" s="75">
        <v>11</v>
      </c>
      <c r="B506" s="75" t="s">
        <v>285</v>
      </c>
      <c r="C506" s="76" t="s">
        <v>1169</v>
      </c>
      <c r="D506" s="76" t="s">
        <v>1170</v>
      </c>
      <c r="E506" s="75" t="s">
        <v>1153</v>
      </c>
      <c r="F506" s="75" t="str">
        <f t="shared" si="14"/>
        <v>DEU WOLTEMADE - 11</v>
      </c>
      <c r="G506" s="75" t="str">
        <f t="shared" si="15"/>
        <v>DEU11</v>
      </c>
    </row>
    <row r="507" spans="1:7" ht="15" hidden="1" customHeight="1" x14ac:dyDescent="0.35">
      <c r="A507" s="75">
        <v>12</v>
      </c>
      <c r="B507" s="75" t="s">
        <v>269</v>
      </c>
      <c r="C507" s="76" t="s">
        <v>1171</v>
      </c>
      <c r="D507" s="76" t="s">
        <v>1172</v>
      </c>
      <c r="E507" s="75" t="s">
        <v>1153</v>
      </c>
      <c r="F507" s="75" t="str">
        <f t="shared" si="14"/>
        <v>DEU (GK) BAUMANN - 12</v>
      </c>
      <c r="G507" s="75" t="str">
        <f t="shared" si="15"/>
        <v>DEU12</v>
      </c>
    </row>
    <row r="508" spans="1:7" ht="15" hidden="1" customHeight="1" x14ac:dyDescent="0.35">
      <c r="A508" s="75">
        <v>13</v>
      </c>
      <c r="B508" s="75" t="s">
        <v>282</v>
      </c>
      <c r="C508" s="76" t="s">
        <v>1173</v>
      </c>
      <c r="D508" s="76" t="s">
        <v>1174</v>
      </c>
      <c r="E508" s="75" t="s">
        <v>1153</v>
      </c>
      <c r="F508" s="75" t="str">
        <f t="shared" si="14"/>
        <v>DEU GROSS - 13</v>
      </c>
      <c r="G508" s="75" t="str">
        <f t="shared" si="15"/>
        <v>DEU13</v>
      </c>
    </row>
    <row r="509" spans="1:7" ht="15" hidden="1" customHeight="1" x14ac:dyDescent="0.35">
      <c r="A509" s="75">
        <v>14</v>
      </c>
      <c r="B509" s="75" t="s">
        <v>285</v>
      </c>
      <c r="C509" s="76" t="s">
        <v>1175</v>
      </c>
      <c r="D509" s="76" t="s">
        <v>1176</v>
      </c>
      <c r="E509" s="75" t="s">
        <v>1153</v>
      </c>
      <c r="F509" s="75" t="str">
        <f t="shared" si="14"/>
        <v>DEU BEIER - 14</v>
      </c>
      <c r="G509" s="75" t="str">
        <f t="shared" si="15"/>
        <v>DEU14</v>
      </c>
    </row>
    <row r="510" spans="1:7" ht="15" hidden="1" customHeight="1" x14ac:dyDescent="0.35">
      <c r="A510" s="75">
        <v>15</v>
      </c>
      <c r="B510" s="75" t="s">
        <v>273</v>
      </c>
      <c r="C510" s="76" t="s">
        <v>354</v>
      </c>
      <c r="D510" s="76" t="s">
        <v>1177</v>
      </c>
      <c r="E510" s="75" t="s">
        <v>1153</v>
      </c>
      <c r="F510" s="75" t="str">
        <f t="shared" si="14"/>
        <v>DEU SCHLOTTERBECK - 15</v>
      </c>
      <c r="G510" s="75" t="str">
        <f t="shared" si="15"/>
        <v>DEU15</v>
      </c>
    </row>
    <row r="511" spans="1:7" ht="15" hidden="1" customHeight="1" x14ac:dyDescent="0.35">
      <c r="A511" s="75">
        <v>16</v>
      </c>
      <c r="B511" s="75" t="s">
        <v>282</v>
      </c>
      <c r="C511" s="76" t="s">
        <v>1015</v>
      </c>
      <c r="D511" s="76" t="s">
        <v>1178</v>
      </c>
      <c r="E511" s="75" t="s">
        <v>1153</v>
      </c>
      <c r="F511" s="75" t="str">
        <f t="shared" si="14"/>
        <v>DEU STILLER - 16</v>
      </c>
      <c r="G511" s="75" t="str">
        <f t="shared" si="15"/>
        <v>DEU16</v>
      </c>
    </row>
    <row r="512" spans="1:7" ht="15" hidden="1" customHeight="1" x14ac:dyDescent="0.35">
      <c r="A512" s="75">
        <v>17</v>
      </c>
      <c r="B512" s="75" t="s">
        <v>282</v>
      </c>
      <c r="C512" s="76" t="s">
        <v>438</v>
      </c>
      <c r="D512" s="76" t="s">
        <v>1179</v>
      </c>
      <c r="E512" s="75" t="s">
        <v>1153</v>
      </c>
      <c r="F512" s="75" t="str">
        <f t="shared" si="14"/>
        <v>DEU WIRTZ - 17</v>
      </c>
      <c r="G512" s="75" t="str">
        <f t="shared" si="15"/>
        <v>DEU17</v>
      </c>
    </row>
    <row r="513" spans="1:7" ht="15" hidden="1" customHeight="1" x14ac:dyDescent="0.35">
      <c r="A513" s="75">
        <v>18</v>
      </c>
      <c r="B513" s="75" t="s">
        <v>273</v>
      </c>
      <c r="C513" s="76" t="s">
        <v>1180</v>
      </c>
      <c r="D513" s="76" t="s">
        <v>1181</v>
      </c>
      <c r="E513" s="75" t="s">
        <v>1153</v>
      </c>
      <c r="F513" s="75" t="str">
        <f t="shared" si="14"/>
        <v>DEU BROWN - 18</v>
      </c>
      <c r="G513" s="75" t="str">
        <f t="shared" si="15"/>
        <v>DEU18</v>
      </c>
    </row>
    <row r="514" spans="1:7" ht="15" hidden="1" customHeight="1" x14ac:dyDescent="0.35">
      <c r="A514" s="75">
        <v>19</v>
      </c>
      <c r="B514" s="75" t="s">
        <v>282</v>
      </c>
      <c r="C514" s="76" t="s">
        <v>1182</v>
      </c>
      <c r="D514" s="76" t="s">
        <v>1183</v>
      </c>
      <c r="E514" s="75" t="s">
        <v>1153</v>
      </c>
      <c r="F514" s="75" t="str">
        <f t="shared" si="14"/>
        <v>DEU SANE - 19</v>
      </c>
      <c r="G514" s="75" t="str">
        <f t="shared" si="15"/>
        <v>DEU19</v>
      </c>
    </row>
    <row r="515" spans="1:7" ht="15" hidden="1" customHeight="1" x14ac:dyDescent="0.35">
      <c r="A515" s="75">
        <v>20</v>
      </c>
      <c r="B515" s="75" t="s">
        <v>282</v>
      </c>
      <c r="C515" s="76" t="s">
        <v>1184</v>
      </c>
      <c r="D515" s="76" t="s">
        <v>1185</v>
      </c>
      <c r="E515" s="75" t="s">
        <v>1153</v>
      </c>
      <c r="F515" s="75" t="str">
        <f t="shared" ref="F515:F578" si="16">IF(B515="GK", _xlfn.CONCAT(E515, " ","(",B515, ") ",D515, " - ", A515),  _xlfn.CONCAT(E515, " ",D515, " - ", A515))</f>
        <v>DEU AMIRI - 20</v>
      </c>
      <c r="G515" s="75" t="str">
        <f t="shared" ref="G515:G578" si="17">_xlfn.CONCAT(E515,A515)</f>
        <v>DEU20</v>
      </c>
    </row>
    <row r="516" spans="1:7" ht="15" hidden="1" customHeight="1" x14ac:dyDescent="0.35">
      <c r="A516" s="75">
        <v>21</v>
      </c>
      <c r="B516" s="75" t="s">
        <v>269</v>
      </c>
      <c r="C516" s="76" t="s">
        <v>422</v>
      </c>
      <c r="D516" s="76" t="s">
        <v>1186</v>
      </c>
      <c r="E516" s="75" t="s">
        <v>1153</v>
      </c>
      <c r="F516" s="75" t="str">
        <f t="shared" si="16"/>
        <v>DEU (GK) NUEBEL - 21</v>
      </c>
      <c r="G516" s="75" t="str">
        <f t="shared" si="17"/>
        <v>DEU21</v>
      </c>
    </row>
    <row r="517" spans="1:7" ht="15" hidden="1" customHeight="1" x14ac:dyDescent="0.35">
      <c r="A517" s="75">
        <v>22</v>
      </c>
      <c r="B517" s="75" t="s">
        <v>273</v>
      </c>
      <c r="C517" s="76" t="s">
        <v>425</v>
      </c>
      <c r="D517" s="76" t="s">
        <v>1187</v>
      </c>
      <c r="E517" s="75" t="s">
        <v>1153</v>
      </c>
      <c r="F517" s="75" t="str">
        <f t="shared" si="16"/>
        <v>DEU RAUM - 22</v>
      </c>
      <c r="G517" s="75" t="str">
        <f t="shared" si="17"/>
        <v>DEU22</v>
      </c>
    </row>
    <row r="518" spans="1:7" ht="15" hidden="1" customHeight="1" x14ac:dyDescent="0.35">
      <c r="A518" s="75">
        <v>23</v>
      </c>
      <c r="B518" s="75" t="s">
        <v>282</v>
      </c>
      <c r="C518" s="76" t="s">
        <v>990</v>
      </c>
      <c r="D518" s="76" t="s">
        <v>1188</v>
      </c>
      <c r="E518" s="75" t="s">
        <v>1153</v>
      </c>
      <c r="F518" s="75" t="str">
        <f t="shared" si="16"/>
        <v>DEU NMECHA - 23</v>
      </c>
      <c r="G518" s="75" t="str">
        <f t="shared" si="17"/>
        <v>DEU23</v>
      </c>
    </row>
    <row r="519" spans="1:7" ht="15" hidden="1" customHeight="1" x14ac:dyDescent="0.35">
      <c r="A519" s="75">
        <v>24</v>
      </c>
      <c r="B519" s="75" t="s">
        <v>273</v>
      </c>
      <c r="C519" s="76" t="s">
        <v>1189</v>
      </c>
      <c r="D519" s="76" t="s">
        <v>1190</v>
      </c>
      <c r="E519" s="75" t="s">
        <v>1153</v>
      </c>
      <c r="F519" s="75" t="str">
        <f t="shared" si="16"/>
        <v>DEU THIAW - 24</v>
      </c>
      <c r="G519" s="75" t="str">
        <f t="shared" si="17"/>
        <v>DEU24</v>
      </c>
    </row>
    <row r="520" spans="1:7" ht="15" hidden="1" customHeight="1" x14ac:dyDescent="0.35">
      <c r="A520" s="75">
        <v>25</v>
      </c>
      <c r="B520" s="75" t="s">
        <v>282</v>
      </c>
      <c r="C520" s="76" t="s">
        <v>1191</v>
      </c>
      <c r="D520" s="76" t="s">
        <v>1192</v>
      </c>
      <c r="E520" s="75" t="s">
        <v>1153</v>
      </c>
      <c r="F520" s="75" t="str">
        <f t="shared" si="16"/>
        <v>DEU KARL - 25</v>
      </c>
      <c r="G520" s="75" t="str">
        <f t="shared" si="17"/>
        <v>DEU25</v>
      </c>
    </row>
    <row r="521" spans="1:7" ht="15" hidden="1" customHeight="1" x14ac:dyDescent="0.35">
      <c r="A521" s="75">
        <v>26</v>
      </c>
      <c r="B521" s="75" t="s">
        <v>285</v>
      </c>
      <c r="C521" s="76" t="s">
        <v>1193</v>
      </c>
      <c r="D521" s="76" t="s">
        <v>1194</v>
      </c>
      <c r="E521" s="75" t="s">
        <v>1153</v>
      </c>
      <c r="F521" s="75" t="str">
        <f t="shared" si="16"/>
        <v>DEU UNDAV - 26</v>
      </c>
      <c r="G521" s="75" t="str">
        <f t="shared" si="17"/>
        <v>DEU26</v>
      </c>
    </row>
    <row r="522" spans="1:7" ht="15" hidden="1" customHeight="1" x14ac:dyDescent="0.35">
      <c r="A522" s="77">
        <v>1</v>
      </c>
      <c r="B522" s="77" t="s">
        <v>269</v>
      </c>
      <c r="C522" s="78" t="s">
        <v>1195</v>
      </c>
      <c r="D522" s="78" t="s">
        <v>1196</v>
      </c>
      <c r="E522" s="77" t="s">
        <v>1197</v>
      </c>
      <c r="F522" s="77" t="str">
        <f t="shared" si="16"/>
        <v>GHA (GK) ZIGI - 1</v>
      </c>
      <c r="G522" s="77" t="str">
        <f t="shared" si="17"/>
        <v>GHA1</v>
      </c>
    </row>
    <row r="523" spans="1:7" ht="15" hidden="1" customHeight="1" x14ac:dyDescent="0.35">
      <c r="A523" s="77">
        <v>2</v>
      </c>
      <c r="B523" s="77" t="s">
        <v>273</v>
      </c>
      <c r="C523" s="78" t="s">
        <v>1198</v>
      </c>
      <c r="D523" s="78" t="s">
        <v>1199</v>
      </c>
      <c r="E523" s="77" t="s">
        <v>1197</v>
      </c>
      <c r="F523" s="77" t="str">
        <f t="shared" si="16"/>
        <v>GHA SEIDU - 2</v>
      </c>
      <c r="G523" s="77" t="str">
        <f t="shared" si="17"/>
        <v>GHA2</v>
      </c>
    </row>
    <row r="524" spans="1:7" ht="15" hidden="1" customHeight="1" x14ac:dyDescent="0.35">
      <c r="A524" s="77">
        <v>3</v>
      </c>
      <c r="B524" s="77" t="s">
        <v>282</v>
      </c>
      <c r="C524" s="78" t="s">
        <v>1200</v>
      </c>
      <c r="D524" s="78" t="s">
        <v>1201</v>
      </c>
      <c r="E524" s="77" t="s">
        <v>1197</v>
      </c>
      <c r="F524" s="77" t="str">
        <f t="shared" si="16"/>
        <v>GHA YIRENKYI - 3</v>
      </c>
      <c r="G524" s="77" t="str">
        <f t="shared" si="17"/>
        <v>GHA3</v>
      </c>
    </row>
    <row r="525" spans="1:7" ht="15" hidden="1" customHeight="1" x14ac:dyDescent="0.35">
      <c r="A525" s="77">
        <v>4</v>
      </c>
      <c r="B525" s="77" t="s">
        <v>273</v>
      </c>
      <c r="C525" s="78" t="s">
        <v>1202</v>
      </c>
      <c r="D525" s="78" t="s">
        <v>1203</v>
      </c>
      <c r="E525" s="77" t="s">
        <v>1197</v>
      </c>
      <c r="F525" s="77" t="str">
        <f t="shared" si="16"/>
        <v>GHA ADJETEY - 4</v>
      </c>
      <c r="G525" s="77" t="str">
        <f t="shared" si="17"/>
        <v>GHA4</v>
      </c>
    </row>
    <row r="526" spans="1:7" ht="15" hidden="1" customHeight="1" x14ac:dyDescent="0.35">
      <c r="A526" s="77">
        <v>5</v>
      </c>
      <c r="B526" s="77" t="s">
        <v>282</v>
      </c>
      <c r="C526" s="78" t="s">
        <v>492</v>
      </c>
      <c r="D526" s="78" t="s">
        <v>1204</v>
      </c>
      <c r="E526" s="77" t="s">
        <v>1197</v>
      </c>
      <c r="F526" s="77" t="str">
        <f t="shared" si="16"/>
        <v>GHA PARTEY - 5</v>
      </c>
      <c r="G526" s="77" t="str">
        <f t="shared" si="17"/>
        <v>GHA5</v>
      </c>
    </row>
    <row r="527" spans="1:7" ht="15" hidden="1" customHeight="1" x14ac:dyDescent="0.35">
      <c r="A527" s="77">
        <v>6</v>
      </c>
      <c r="B527" s="77" t="s">
        <v>273</v>
      </c>
      <c r="C527" s="78" t="s">
        <v>1205</v>
      </c>
      <c r="D527" s="78" t="s">
        <v>1206</v>
      </c>
      <c r="E527" s="77" t="s">
        <v>1197</v>
      </c>
      <c r="F527" s="77" t="str">
        <f t="shared" si="16"/>
        <v>GHA MUMIN - 6</v>
      </c>
      <c r="G527" s="77" t="str">
        <f t="shared" si="17"/>
        <v>GHA6</v>
      </c>
    </row>
    <row r="528" spans="1:7" ht="15" hidden="1" customHeight="1" x14ac:dyDescent="0.35">
      <c r="A528" s="77">
        <v>7</v>
      </c>
      <c r="B528" s="77" t="s">
        <v>285</v>
      </c>
      <c r="C528" s="78" t="s">
        <v>1207</v>
      </c>
      <c r="D528" s="78" t="s">
        <v>1208</v>
      </c>
      <c r="E528" s="77" t="s">
        <v>1197</v>
      </c>
      <c r="F528" s="77" t="str">
        <f t="shared" si="16"/>
        <v>GHA ISSAHAKU - 7</v>
      </c>
      <c r="G528" s="77" t="str">
        <f t="shared" si="17"/>
        <v>GHA7</v>
      </c>
    </row>
    <row r="529" spans="1:7" ht="15" hidden="1" customHeight="1" x14ac:dyDescent="0.35">
      <c r="A529" s="77">
        <v>8</v>
      </c>
      <c r="B529" s="77" t="s">
        <v>282</v>
      </c>
      <c r="C529" s="78" t="s">
        <v>1209</v>
      </c>
      <c r="D529" s="78" t="s">
        <v>1210</v>
      </c>
      <c r="E529" s="77" t="s">
        <v>1197</v>
      </c>
      <c r="F529" s="77" t="str">
        <f t="shared" si="16"/>
        <v>GHA SIBO - 8</v>
      </c>
      <c r="G529" s="77" t="str">
        <f t="shared" si="17"/>
        <v>GHA8</v>
      </c>
    </row>
    <row r="530" spans="1:7" ht="15" hidden="1" customHeight="1" x14ac:dyDescent="0.35">
      <c r="A530" s="77">
        <v>9</v>
      </c>
      <c r="B530" s="77" t="s">
        <v>285</v>
      </c>
      <c r="C530" s="78" t="s">
        <v>383</v>
      </c>
      <c r="D530" s="78" t="s">
        <v>1211</v>
      </c>
      <c r="E530" s="77" t="s">
        <v>1197</v>
      </c>
      <c r="F530" s="77" t="str">
        <f t="shared" si="16"/>
        <v>GHA AYEW - 9</v>
      </c>
      <c r="G530" s="77" t="str">
        <f t="shared" si="17"/>
        <v>GHA9</v>
      </c>
    </row>
    <row r="531" spans="1:7" ht="15" hidden="1" customHeight="1" x14ac:dyDescent="0.35">
      <c r="A531" s="77">
        <v>10</v>
      </c>
      <c r="B531" s="77" t="s">
        <v>285</v>
      </c>
      <c r="C531" s="78" t="s">
        <v>472</v>
      </c>
      <c r="D531" s="78" t="s">
        <v>1212</v>
      </c>
      <c r="E531" s="77" t="s">
        <v>1197</v>
      </c>
      <c r="F531" s="77" t="str">
        <f t="shared" si="16"/>
        <v>GHA THOMAS-ASANTE - 10</v>
      </c>
      <c r="G531" s="77" t="str">
        <f t="shared" si="17"/>
        <v>GHA10</v>
      </c>
    </row>
    <row r="532" spans="1:7" ht="15" hidden="1" customHeight="1" x14ac:dyDescent="0.35">
      <c r="A532" s="77">
        <v>11</v>
      </c>
      <c r="B532" s="77" t="s">
        <v>282</v>
      </c>
      <c r="C532" s="78" t="s">
        <v>1213</v>
      </c>
      <c r="D532" s="78" t="s">
        <v>1214</v>
      </c>
      <c r="E532" s="77" t="s">
        <v>1197</v>
      </c>
      <c r="F532" s="77" t="str">
        <f t="shared" si="16"/>
        <v>GHA SEMENYO - 11</v>
      </c>
      <c r="G532" s="77" t="str">
        <f t="shared" si="17"/>
        <v>GHA11</v>
      </c>
    </row>
    <row r="533" spans="1:7" ht="15" hidden="1" customHeight="1" x14ac:dyDescent="0.35">
      <c r="A533" s="77">
        <v>12</v>
      </c>
      <c r="B533" s="77" t="s">
        <v>269</v>
      </c>
      <c r="C533" s="78" t="s">
        <v>1215</v>
      </c>
      <c r="D533" s="78" t="s">
        <v>1216</v>
      </c>
      <c r="E533" s="77" t="s">
        <v>1197</v>
      </c>
      <c r="F533" s="77" t="str">
        <f t="shared" si="16"/>
        <v>GHA (GK) ANANG - 12</v>
      </c>
      <c r="G533" s="77" t="str">
        <f t="shared" si="17"/>
        <v>GHA12</v>
      </c>
    </row>
    <row r="534" spans="1:7" ht="15" hidden="1" customHeight="1" x14ac:dyDescent="0.35">
      <c r="A534" s="77">
        <v>13</v>
      </c>
      <c r="B534" s="77" t="s">
        <v>285</v>
      </c>
      <c r="C534" s="78" t="s">
        <v>1217</v>
      </c>
      <c r="D534" s="78" t="s">
        <v>1218</v>
      </c>
      <c r="E534" s="77" t="s">
        <v>1197</v>
      </c>
      <c r="F534" s="77" t="str">
        <f t="shared" si="16"/>
        <v>GHA BAAH - 13</v>
      </c>
      <c r="G534" s="77" t="str">
        <f t="shared" si="17"/>
        <v>GHA13</v>
      </c>
    </row>
    <row r="535" spans="1:7" ht="15" hidden="1" customHeight="1" x14ac:dyDescent="0.35">
      <c r="A535" s="77">
        <v>14</v>
      </c>
      <c r="B535" s="77" t="s">
        <v>273</v>
      </c>
      <c r="C535" s="78" t="s">
        <v>1219</v>
      </c>
      <c r="D535" s="78" t="s">
        <v>1220</v>
      </c>
      <c r="E535" s="77" t="s">
        <v>1197</v>
      </c>
      <c r="F535" s="77" t="str">
        <f t="shared" si="16"/>
        <v>GHA MENSAH - 14</v>
      </c>
      <c r="G535" s="77" t="str">
        <f t="shared" si="17"/>
        <v>GHA14</v>
      </c>
    </row>
    <row r="536" spans="1:7" ht="15" hidden="1" customHeight="1" x14ac:dyDescent="0.35">
      <c r="A536" s="77">
        <v>15</v>
      </c>
      <c r="B536" s="77" t="s">
        <v>282</v>
      </c>
      <c r="C536" s="78" t="s">
        <v>1221</v>
      </c>
      <c r="D536" s="78" t="s">
        <v>1222</v>
      </c>
      <c r="E536" s="77" t="s">
        <v>1197</v>
      </c>
      <c r="F536" s="77" t="str">
        <f t="shared" si="16"/>
        <v>GHA OWUSU - 15</v>
      </c>
      <c r="G536" s="77" t="str">
        <f t="shared" si="17"/>
        <v>GHA15</v>
      </c>
    </row>
    <row r="537" spans="1:7" ht="15" hidden="1" customHeight="1" x14ac:dyDescent="0.35">
      <c r="A537" s="77">
        <v>16</v>
      </c>
      <c r="B537" s="77" t="s">
        <v>269</v>
      </c>
      <c r="C537" s="78" t="s">
        <v>525</v>
      </c>
      <c r="D537" s="78" t="s">
        <v>1223</v>
      </c>
      <c r="E537" s="77" t="s">
        <v>1197</v>
      </c>
      <c r="F537" s="77" t="str">
        <f t="shared" si="16"/>
        <v>GHA (GK) ASARE - 16</v>
      </c>
      <c r="G537" s="77" t="str">
        <f t="shared" si="17"/>
        <v>GHA16</v>
      </c>
    </row>
    <row r="538" spans="1:7" ht="15" hidden="1" customHeight="1" x14ac:dyDescent="0.35">
      <c r="A538" s="77">
        <v>17</v>
      </c>
      <c r="B538" s="77" t="s">
        <v>273</v>
      </c>
      <c r="C538" s="78" t="s">
        <v>1224</v>
      </c>
      <c r="D538" s="78" t="s">
        <v>1225</v>
      </c>
      <c r="E538" s="77" t="s">
        <v>1197</v>
      </c>
      <c r="F538" s="77" t="str">
        <f t="shared" si="16"/>
        <v>GHA RAHMAN - 17</v>
      </c>
      <c r="G538" s="77" t="str">
        <f t="shared" si="17"/>
        <v>GHA17</v>
      </c>
    </row>
    <row r="539" spans="1:7" ht="15" hidden="1" customHeight="1" x14ac:dyDescent="0.35">
      <c r="A539" s="77">
        <v>18</v>
      </c>
      <c r="B539" s="77" t="s">
        <v>273</v>
      </c>
      <c r="C539" s="78" t="s">
        <v>1226</v>
      </c>
      <c r="D539" s="78" t="s">
        <v>1227</v>
      </c>
      <c r="E539" s="77" t="s">
        <v>1197</v>
      </c>
      <c r="F539" s="77" t="str">
        <f t="shared" si="16"/>
        <v>GHA OPOKU - 18</v>
      </c>
      <c r="G539" s="77" t="str">
        <f t="shared" si="17"/>
        <v>GHA18</v>
      </c>
    </row>
    <row r="540" spans="1:7" ht="15" hidden="1" customHeight="1" x14ac:dyDescent="0.35">
      <c r="A540" s="77">
        <v>19</v>
      </c>
      <c r="B540" s="77" t="s">
        <v>285</v>
      </c>
      <c r="C540" s="78" t="s">
        <v>1228</v>
      </c>
      <c r="D540" s="78" t="s">
        <v>1229</v>
      </c>
      <c r="E540" s="77" t="s">
        <v>1197</v>
      </c>
      <c r="F540" s="77" t="str">
        <f t="shared" si="16"/>
        <v>GHA WILLIAMS - 19</v>
      </c>
      <c r="G540" s="77" t="str">
        <f t="shared" si="17"/>
        <v>GHA19</v>
      </c>
    </row>
    <row r="541" spans="1:7" ht="15" hidden="1" customHeight="1" x14ac:dyDescent="0.35">
      <c r="A541" s="77">
        <v>20</v>
      </c>
      <c r="B541" s="77" t="s">
        <v>282</v>
      </c>
      <c r="C541" s="78" t="s">
        <v>1230</v>
      </c>
      <c r="D541" s="78" t="s">
        <v>1231</v>
      </c>
      <c r="E541" s="77" t="s">
        <v>1197</v>
      </c>
      <c r="F541" s="77" t="str">
        <f t="shared" si="16"/>
        <v>GHA BOAKYE - 20</v>
      </c>
      <c r="G541" s="77" t="str">
        <f t="shared" si="17"/>
        <v>GHA20</v>
      </c>
    </row>
    <row r="542" spans="1:7" ht="15" hidden="1" customHeight="1" x14ac:dyDescent="0.35">
      <c r="A542" s="77">
        <v>21</v>
      </c>
      <c r="B542" s="77" t="s">
        <v>273</v>
      </c>
      <c r="C542" s="78" t="s">
        <v>1232</v>
      </c>
      <c r="D542" s="78" t="s">
        <v>1233</v>
      </c>
      <c r="E542" s="77" t="s">
        <v>1197</v>
      </c>
      <c r="F542" s="77" t="str">
        <f t="shared" si="16"/>
        <v>GHA OPPONG - 21</v>
      </c>
      <c r="G542" s="77" t="str">
        <f t="shared" si="17"/>
        <v>GHA21</v>
      </c>
    </row>
    <row r="543" spans="1:7" ht="15" hidden="1" customHeight="1" x14ac:dyDescent="0.35">
      <c r="A543" s="77">
        <v>22</v>
      </c>
      <c r="B543" s="77" t="s">
        <v>285</v>
      </c>
      <c r="C543" s="78" t="s">
        <v>1234</v>
      </c>
      <c r="D543" s="78" t="s">
        <v>1235</v>
      </c>
      <c r="E543" s="77" t="s">
        <v>1197</v>
      </c>
      <c r="F543" s="77" t="str">
        <f t="shared" si="16"/>
        <v>GHA SULEMANA - 22</v>
      </c>
      <c r="G543" s="77" t="str">
        <f t="shared" si="17"/>
        <v>GHA22</v>
      </c>
    </row>
    <row r="544" spans="1:7" ht="15" hidden="1" customHeight="1" x14ac:dyDescent="0.35">
      <c r="A544" s="77">
        <v>23</v>
      </c>
      <c r="B544" s="77" t="s">
        <v>273</v>
      </c>
      <c r="C544" s="78" t="s">
        <v>1236</v>
      </c>
      <c r="D544" s="78" t="s">
        <v>1237</v>
      </c>
      <c r="E544" s="77" t="s">
        <v>1197</v>
      </c>
      <c r="F544" s="77" t="str">
        <f t="shared" si="16"/>
        <v>GHA LUCKASSEN - 23</v>
      </c>
      <c r="G544" s="77" t="str">
        <f t="shared" si="17"/>
        <v>GHA23</v>
      </c>
    </row>
    <row r="545" spans="1:7" ht="15" hidden="1" customHeight="1" x14ac:dyDescent="0.35">
      <c r="A545" s="77">
        <v>24</v>
      </c>
      <c r="B545" s="77" t="s">
        <v>285</v>
      </c>
      <c r="C545" s="78" t="s">
        <v>1238</v>
      </c>
      <c r="D545" s="78" t="s">
        <v>1239</v>
      </c>
      <c r="E545" s="77" t="s">
        <v>1197</v>
      </c>
      <c r="F545" s="77" t="str">
        <f t="shared" si="16"/>
        <v>GHA NUAMAH - 24</v>
      </c>
      <c r="G545" s="77" t="str">
        <f t="shared" si="17"/>
        <v>GHA24</v>
      </c>
    </row>
    <row r="546" spans="1:7" ht="15" hidden="1" customHeight="1" x14ac:dyDescent="0.35">
      <c r="A546" s="77">
        <v>25</v>
      </c>
      <c r="B546" s="77" t="s">
        <v>285</v>
      </c>
      <c r="C546" s="78" t="s">
        <v>1240</v>
      </c>
      <c r="D546" s="78" t="s">
        <v>1241</v>
      </c>
      <c r="E546" s="77" t="s">
        <v>1197</v>
      </c>
      <c r="F546" s="77" t="str">
        <f t="shared" si="16"/>
        <v>GHA ADU - 25</v>
      </c>
      <c r="G546" s="77" t="str">
        <f t="shared" si="17"/>
        <v>GHA25</v>
      </c>
    </row>
    <row r="547" spans="1:7" ht="15" hidden="1" customHeight="1" x14ac:dyDescent="0.35">
      <c r="A547" s="77">
        <v>26</v>
      </c>
      <c r="B547" s="77" t="s">
        <v>273</v>
      </c>
      <c r="C547" s="78" t="s">
        <v>1242</v>
      </c>
      <c r="D547" s="78" t="s">
        <v>1243</v>
      </c>
      <c r="E547" s="77" t="s">
        <v>1197</v>
      </c>
      <c r="F547" s="77" t="str">
        <f t="shared" si="16"/>
        <v>GHA SENAYA - 26</v>
      </c>
      <c r="G547" s="77" t="str">
        <f t="shared" si="17"/>
        <v>GHA26</v>
      </c>
    </row>
    <row r="548" spans="1:7" ht="15" hidden="1" customHeight="1" x14ac:dyDescent="0.35">
      <c r="A548" s="79">
        <v>1</v>
      </c>
      <c r="B548" s="79" t="s">
        <v>269</v>
      </c>
      <c r="C548" s="80" t="s">
        <v>1244</v>
      </c>
      <c r="D548" s="80" t="s">
        <v>1245</v>
      </c>
      <c r="E548" s="79" t="s">
        <v>1246</v>
      </c>
      <c r="F548" s="79" t="str">
        <f t="shared" si="16"/>
        <v>HTI (GK) PLACIDE - 1</v>
      </c>
      <c r="G548" s="79" t="str">
        <f t="shared" si="17"/>
        <v>HTI1</v>
      </c>
    </row>
    <row r="549" spans="1:7" ht="15" hidden="1" customHeight="1" x14ac:dyDescent="0.35">
      <c r="A549" s="79">
        <v>2</v>
      </c>
      <c r="B549" s="79" t="s">
        <v>273</v>
      </c>
      <c r="C549" s="80" t="s">
        <v>1247</v>
      </c>
      <c r="D549" s="80" t="s">
        <v>1248</v>
      </c>
      <c r="E549" s="79" t="s">
        <v>1246</v>
      </c>
      <c r="F549" s="79" t="str">
        <f t="shared" si="16"/>
        <v>HTI ARCUS - 2</v>
      </c>
      <c r="G549" s="79" t="str">
        <f t="shared" si="17"/>
        <v>HTI2</v>
      </c>
    </row>
    <row r="550" spans="1:7" ht="15" hidden="1" customHeight="1" x14ac:dyDescent="0.35">
      <c r="A550" s="79">
        <v>3</v>
      </c>
      <c r="B550" s="79" t="s">
        <v>273</v>
      </c>
      <c r="C550" s="80" t="s">
        <v>1249</v>
      </c>
      <c r="D550" s="80" t="s">
        <v>1250</v>
      </c>
      <c r="E550" s="79" t="s">
        <v>1246</v>
      </c>
      <c r="F550" s="79" t="str">
        <f t="shared" si="16"/>
        <v>HTI THERMONCY - 3</v>
      </c>
      <c r="G550" s="79" t="str">
        <f t="shared" si="17"/>
        <v>HTI3</v>
      </c>
    </row>
    <row r="551" spans="1:7" ht="15" hidden="1" customHeight="1" x14ac:dyDescent="0.35">
      <c r="A551" s="79">
        <v>4</v>
      </c>
      <c r="B551" s="79" t="s">
        <v>273</v>
      </c>
      <c r="C551" s="80" t="s">
        <v>1251</v>
      </c>
      <c r="D551" s="80" t="s">
        <v>1252</v>
      </c>
      <c r="E551" s="79" t="s">
        <v>1246</v>
      </c>
      <c r="F551" s="79" t="str">
        <f t="shared" si="16"/>
        <v>HTI ADE - 4</v>
      </c>
      <c r="G551" s="79" t="str">
        <f t="shared" si="17"/>
        <v>HTI4</v>
      </c>
    </row>
    <row r="552" spans="1:7" ht="15" hidden="1" customHeight="1" x14ac:dyDescent="0.35">
      <c r="A552" s="79">
        <v>5</v>
      </c>
      <c r="B552" s="79" t="s">
        <v>273</v>
      </c>
      <c r="C552" s="80" t="s">
        <v>1253</v>
      </c>
      <c r="D552" s="80" t="s">
        <v>1254</v>
      </c>
      <c r="E552" s="79" t="s">
        <v>1246</v>
      </c>
      <c r="F552" s="79" t="str">
        <f t="shared" si="16"/>
        <v>HTI DELCROIX - 5</v>
      </c>
      <c r="G552" s="79" t="str">
        <f t="shared" si="17"/>
        <v>HTI5</v>
      </c>
    </row>
    <row r="553" spans="1:7" ht="15" hidden="1" customHeight="1" x14ac:dyDescent="0.35">
      <c r="A553" s="79">
        <v>6</v>
      </c>
      <c r="B553" s="79" t="s">
        <v>282</v>
      </c>
      <c r="C553" s="80" t="s">
        <v>1255</v>
      </c>
      <c r="D553" s="80" t="s">
        <v>1256</v>
      </c>
      <c r="E553" s="79" t="s">
        <v>1246</v>
      </c>
      <c r="F553" s="79" t="str">
        <f t="shared" si="16"/>
        <v>HTI SAINTE - 6</v>
      </c>
      <c r="G553" s="79" t="str">
        <f t="shared" si="17"/>
        <v>HTI6</v>
      </c>
    </row>
    <row r="554" spans="1:7" ht="15" hidden="1" customHeight="1" x14ac:dyDescent="0.35">
      <c r="A554" s="79">
        <v>7</v>
      </c>
      <c r="B554" s="79" t="s">
        <v>285</v>
      </c>
      <c r="C554" s="80" t="s">
        <v>1236</v>
      </c>
      <c r="D554" s="80" t="s">
        <v>1257</v>
      </c>
      <c r="E554" s="79" t="s">
        <v>1246</v>
      </c>
      <c r="F554" s="79" t="str">
        <f t="shared" si="16"/>
        <v>HTI ETIENNE - 7</v>
      </c>
      <c r="G554" s="79" t="str">
        <f t="shared" si="17"/>
        <v>HTI7</v>
      </c>
    </row>
    <row r="555" spans="1:7" ht="15" hidden="1" customHeight="1" x14ac:dyDescent="0.35">
      <c r="A555" s="79">
        <v>8</v>
      </c>
      <c r="B555" s="79" t="s">
        <v>273</v>
      </c>
      <c r="C555" s="80" t="s">
        <v>554</v>
      </c>
      <c r="D555" s="80" t="s">
        <v>1258</v>
      </c>
      <c r="E555" s="79" t="s">
        <v>1246</v>
      </c>
      <c r="F555" s="79" t="str">
        <f t="shared" si="16"/>
        <v>HTI EXPERIENCE - 8</v>
      </c>
      <c r="G555" s="79" t="str">
        <f t="shared" si="17"/>
        <v>HTI8</v>
      </c>
    </row>
    <row r="556" spans="1:7" ht="15" hidden="1" customHeight="1" x14ac:dyDescent="0.35">
      <c r="A556" s="79">
        <v>9</v>
      </c>
      <c r="B556" s="79" t="s">
        <v>285</v>
      </c>
      <c r="C556" s="80" t="s">
        <v>1259</v>
      </c>
      <c r="D556" s="80" t="s">
        <v>1260</v>
      </c>
      <c r="E556" s="79" t="s">
        <v>1246</v>
      </c>
      <c r="F556" s="79" t="str">
        <f t="shared" si="16"/>
        <v>HTI NAZON - 9</v>
      </c>
      <c r="G556" s="79" t="str">
        <f t="shared" si="17"/>
        <v>HTI9</v>
      </c>
    </row>
    <row r="557" spans="1:7" ht="15" hidden="1" customHeight="1" x14ac:dyDescent="0.35">
      <c r="A557" s="79">
        <v>10</v>
      </c>
      <c r="B557" s="79" t="s">
        <v>282</v>
      </c>
      <c r="C557" s="80" t="s">
        <v>1261</v>
      </c>
      <c r="D557" s="80" t="s">
        <v>1262</v>
      </c>
      <c r="E557" s="79" t="s">
        <v>1246</v>
      </c>
      <c r="F557" s="79" t="str">
        <f t="shared" si="16"/>
        <v>HTI BELLEGARDE - 10</v>
      </c>
      <c r="G557" s="79" t="str">
        <f t="shared" si="17"/>
        <v>HTI10</v>
      </c>
    </row>
    <row r="558" spans="1:7" ht="15" hidden="1" customHeight="1" x14ac:dyDescent="0.35">
      <c r="A558" s="79">
        <v>11</v>
      </c>
      <c r="B558" s="79" t="s">
        <v>285</v>
      </c>
      <c r="C558" s="80" t="s">
        <v>1263</v>
      </c>
      <c r="D558" s="80" t="s">
        <v>1264</v>
      </c>
      <c r="E558" s="79" t="s">
        <v>1246</v>
      </c>
      <c r="F558" s="79" t="str">
        <f t="shared" si="16"/>
        <v>HTI DEEDSON - 11</v>
      </c>
      <c r="G558" s="79" t="str">
        <f t="shared" si="17"/>
        <v>HTI11</v>
      </c>
    </row>
    <row r="559" spans="1:7" ht="15" hidden="1" customHeight="1" x14ac:dyDescent="0.35">
      <c r="A559" s="79">
        <v>12</v>
      </c>
      <c r="B559" s="79" t="s">
        <v>269</v>
      </c>
      <c r="C559" s="80" t="s">
        <v>1265</v>
      </c>
      <c r="D559" s="80" t="s">
        <v>1266</v>
      </c>
      <c r="E559" s="79" t="s">
        <v>1246</v>
      </c>
      <c r="F559" s="79" t="str">
        <f t="shared" si="16"/>
        <v>HTI (GK) PIERRE - 12</v>
      </c>
      <c r="G559" s="79" t="str">
        <f t="shared" si="17"/>
        <v>HTI12</v>
      </c>
    </row>
    <row r="560" spans="1:7" ht="15" hidden="1" customHeight="1" x14ac:dyDescent="0.35">
      <c r="A560" s="79">
        <v>13</v>
      </c>
      <c r="B560" s="79" t="s">
        <v>273</v>
      </c>
      <c r="C560" s="80" t="s">
        <v>1267</v>
      </c>
      <c r="D560" s="80" t="s">
        <v>1150</v>
      </c>
      <c r="E560" s="79" t="s">
        <v>1246</v>
      </c>
      <c r="F560" s="79" t="str">
        <f t="shared" si="16"/>
        <v>HTI LACROIX - 13</v>
      </c>
      <c r="G560" s="79" t="str">
        <f t="shared" si="17"/>
        <v>HTI13</v>
      </c>
    </row>
    <row r="561" spans="1:7" ht="15" hidden="1" customHeight="1" x14ac:dyDescent="0.35">
      <c r="A561" s="79">
        <v>14</v>
      </c>
      <c r="B561" s="79" t="s">
        <v>282</v>
      </c>
      <c r="C561" s="80" t="s">
        <v>1268</v>
      </c>
      <c r="D561" s="80" t="s">
        <v>1266</v>
      </c>
      <c r="E561" s="79" t="s">
        <v>1246</v>
      </c>
      <c r="F561" s="79" t="str">
        <f t="shared" si="16"/>
        <v>HTI PIERRE - 14</v>
      </c>
      <c r="G561" s="79" t="str">
        <f t="shared" si="17"/>
        <v>HTI14</v>
      </c>
    </row>
    <row r="562" spans="1:7" ht="15" hidden="1" customHeight="1" x14ac:dyDescent="0.35">
      <c r="A562" s="79">
        <v>15</v>
      </c>
      <c r="B562" s="79" t="s">
        <v>285</v>
      </c>
      <c r="C562" s="80" t="s">
        <v>1269</v>
      </c>
      <c r="D562" s="80" t="s">
        <v>1270</v>
      </c>
      <c r="E562" s="79" t="s">
        <v>1246</v>
      </c>
      <c r="F562" s="79" t="str">
        <f t="shared" si="16"/>
        <v>HTI PROVIDENCE - 15</v>
      </c>
      <c r="G562" s="79" t="str">
        <f t="shared" si="17"/>
        <v>HTI15</v>
      </c>
    </row>
    <row r="563" spans="1:7" ht="15" hidden="1" customHeight="1" x14ac:dyDescent="0.35">
      <c r="A563" s="79">
        <v>16</v>
      </c>
      <c r="B563" s="79" t="s">
        <v>285</v>
      </c>
      <c r="C563" s="80" t="s">
        <v>1271</v>
      </c>
      <c r="D563" s="80" t="s">
        <v>1272</v>
      </c>
      <c r="E563" s="79" t="s">
        <v>1246</v>
      </c>
      <c r="F563" s="79" t="str">
        <f t="shared" si="16"/>
        <v>HTI JOSEPH - 16</v>
      </c>
      <c r="G563" s="79" t="str">
        <f t="shared" si="17"/>
        <v>HTI16</v>
      </c>
    </row>
    <row r="564" spans="1:7" ht="15" hidden="1" customHeight="1" x14ac:dyDescent="0.35">
      <c r="A564" s="79">
        <v>17</v>
      </c>
      <c r="B564" s="79" t="s">
        <v>282</v>
      </c>
      <c r="C564" s="80" t="s">
        <v>1273</v>
      </c>
      <c r="D564" s="80" t="s">
        <v>1274</v>
      </c>
      <c r="E564" s="79" t="s">
        <v>1246</v>
      </c>
      <c r="F564" s="79" t="str">
        <f t="shared" si="16"/>
        <v>HTI JEAN JACQUES - 17</v>
      </c>
      <c r="G564" s="79" t="str">
        <f t="shared" si="17"/>
        <v>HTI17</v>
      </c>
    </row>
    <row r="565" spans="1:7" ht="15" hidden="1" customHeight="1" x14ac:dyDescent="0.35">
      <c r="A565" s="79">
        <v>18</v>
      </c>
      <c r="B565" s="79" t="s">
        <v>285</v>
      </c>
      <c r="C565" s="80" t="s">
        <v>1275</v>
      </c>
      <c r="D565" s="80" t="s">
        <v>1276</v>
      </c>
      <c r="E565" s="79" t="s">
        <v>1246</v>
      </c>
      <c r="F565" s="79" t="str">
        <f t="shared" si="16"/>
        <v>HTI ISIDOR - 18</v>
      </c>
      <c r="G565" s="79" t="str">
        <f t="shared" si="17"/>
        <v>HTI18</v>
      </c>
    </row>
    <row r="566" spans="1:7" ht="15" hidden="1" customHeight="1" x14ac:dyDescent="0.35">
      <c r="A566" s="79">
        <v>19</v>
      </c>
      <c r="B566" s="79" t="s">
        <v>285</v>
      </c>
      <c r="C566" s="80" t="s">
        <v>1277</v>
      </c>
      <c r="D566" s="80" t="s">
        <v>1278</v>
      </c>
      <c r="E566" s="79" t="s">
        <v>1246</v>
      </c>
      <c r="F566" s="79" t="str">
        <f t="shared" si="16"/>
        <v>HTI FORTUNE - 19</v>
      </c>
      <c r="G566" s="79" t="str">
        <f t="shared" si="17"/>
        <v>HTI19</v>
      </c>
    </row>
    <row r="567" spans="1:7" ht="15" hidden="1" customHeight="1" x14ac:dyDescent="0.35">
      <c r="A567" s="79">
        <v>20</v>
      </c>
      <c r="B567" s="79" t="s">
        <v>285</v>
      </c>
      <c r="C567" s="80" t="s">
        <v>1279</v>
      </c>
      <c r="D567" s="80" t="s">
        <v>1280</v>
      </c>
      <c r="E567" s="79" t="s">
        <v>1246</v>
      </c>
      <c r="F567" s="79" t="str">
        <f t="shared" si="16"/>
        <v>HTI PIERROT - 20</v>
      </c>
      <c r="G567" s="79" t="str">
        <f t="shared" si="17"/>
        <v>HTI20</v>
      </c>
    </row>
    <row r="568" spans="1:7" ht="15" hidden="1" customHeight="1" x14ac:dyDescent="0.35">
      <c r="A568" s="79">
        <v>21</v>
      </c>
      <c r="B568" s="79" t="s">
        <v>285</v>
      </c>
      <c r="C568" s="80" t="s">
        <v>1281</v>
      </c>
      <c r="D568" s="80" t="s">
        <v>1282</v>
      </c>
      <c r="E568" s="79" t="s">
        <v>1246</v>
      </c>
      <c r="F568" s="79" t="str">
        <f t="shared" si="16"/>
        <v>HTI CASIMIR - 21</v>
      </c>
      <c r="G568" s="79" t="str">
        <f t="shared" si="17"/>
        <v>HTI21</v>
      </c>
    </row>
    <row r="569" spans="1:7" ht="15" hidden="1" customHeight="1" x14ac:dyDescent="0.35">
      <c r="A569" s="79">
        <v>22</v>
      </c>
      <c r="B569" s="79" t="s">
        <v>273</v>
      </c>
      <c r="C569" s="80" t="s">
        <v>1283</v>
      </c>
      <c r="D569" s="80" t="s">
        <v>1284</v>
      </c>
      <c r="E569" s="79" t="s">
        <v>1246</v>
      </c>
      <c r="F569" s="79" t="str">
        <f t="shared" si="16"/>
        <v>HTI DUVERNE - 22</v>
      </c>
      <c r="G569" s="79" t="str">
        <f t="shared" si="17"/>
        <v>HTI22</v>
      </c>
    </row>
    <row r="570" spans="1:7" ht="15" hidden="1" customHeight="1" x14ac:dyDescent="0.35">
      <c r="A570" s="79">
        <v>23</v>
      </c>
      <c r="B570" s="79" t="s">
        <v>269</v>
      </c>
      <c r="C570" s="80" t="s">
        <v>1281</v>
      </c>
      <c r="D570" s="80" t="s">
        <v>1285</v>
      </c>
      <c r="E570" s="79" t="s">
        <v>1246</v>
      </c>
      <c r="F570" s="79" t="str">
        <f t="shared" si="16"/>
        <v>HTI (GK) DUVERGER - 23</v>
      </c>
      <c r="G570" s="79" t="str">
        <f t="shared" si="17"/>
        <v>HTI23</v>
      </c>
    </row>
    <row r="571" spans="1:7" ht="15" hidden="1" customHeight="1" x14ac:dyDescent="0.35">
      <c r="A571" s="79">
        <v>24</v>
      </c>
      <c r="B571" s="79" t="s">
        <v>273</v>
      </c>
      <c r="C571" s="80" t="s">
        <v>1286</v>
      </c>
      <c r="D571" s="80" t="s">
        <v>1287</v>
      </c>
      <c r="E571" s="79" t="s">
        <v>1246</v>
      </c>
      <c r="F571" s="79" t="str">
        <f t="shared" si="16"/>
        <v>HTI PAUGAIN - 24</v>
      </c>
      <c r="G571" s="79" t="str">
        <f t="shared" si="17"/>
        <v>HTI24</v>
      </c>
    </row>
    <row r="572" spans="1:7" ht="15" hidden="1" customHeight="1" x14ac:dyDescent="0.35">
      <c r="A572" s="79">
        <v>25</v>
      </c>
      <c r="B572" s="79" t="s">
        <v>282</v>
      </c>
      <c r="C572" s="80" t="s">
        <v>1288</v>
      </c>
      <c r="D572" s="80" t="s">
        <v>1289</v>
      </c>
      <c r="E572" s="79" t="s">
        <v>1246</v>
      </c>
      <c r="F572" s="79" t="str">
        <f t="shared" si="16"/>
        <v>HTI SIMON - 25</v>
      </c>
      <c r="G572" s="79" t="str">
        <f t="shared" si="17"/>
        <v>HTI25</v>
      </c>
    </row>
    <row r="573" spans="1:7" ht="15" hidden="1" customHeight="1" x14ac:dyDescent="0.35">
      <c r="A573" s="79">
        <v>26</v>
      </c>
      <c r="B573" s="79" t="s">
        <v>282</v>
      </c>
      <c r="C573" s="80" t="s">
        <v>1290</v>
      </c>
      <c r="D573" s="80" t="s">
        <v>1266</v>
      </c>
      <c r="E573" s="79" t="s">
        <v>1246</v>
      </c>
      <c r="F573" s="79" t="str">
        <f t="shared" si="16"/>
        <v>HTI PIERRE - 26</v>
      </c>
      <c r="G573" s="79" t="str">
        <f t="shared" si="17"/>
        <v>HTI26</v>
      </c>
    </row>
    <row r="574" spans="1:7" ht="15" hidden="1" customHeight="1" x14ac:dyDescent="0.35">
      <c r="A574" s="81">
        <v>1</v>
      </c>
      <c r="B574" s="81" t="s">
        <v>269</v>
      </c>
      <c r="C574" s="82" t="s">
        <v>1291</v>
      </c>
      <c r="D574" s="82" t="s">
        <v>1292</v>
      </c>
      <c r="E574" s="81" t="s">
        <v>1293</v>
      </c>
      <c r="F574" s="81" t="str">
        <f t="shared" si="16"/>
        <v>IRN (GK) BEIRANVAND - 1</v>
      </c>
      <c r="G574" s="81" t="str">
        <f t="shared" si="17"/>
        <v>IRN1</v>
      </c>
    </row>
    <row r="575" spans="1:7" ht="15" hidden="1" customHeight="1" x14ac:dyDescent="0.35">
      <c r="A575" s="81">
        <v>2</v>
      </c>
      <c r="B575" s="81" t="s">
        <v>273</v>
      </c>
      <c r="C575" s="82" t="s">
        <v>1294</v>
      </c>
      <c r="D575" s="82" t="s">
        <v>1295</v>
      </c>
      <c r="E575" s="81" t="s">
        <v>1293</v>
      </c>
      <c r="F575" s="81" t="str">
        <f t="shared" si="16"/>
        <v>IRN HARDANI - 2</v>
      </c>
      <c r="G575" s="81" t="str">
        <f t="shared" si="17"/>
        <v>IRN2</v>
      </c>
    </row>
    <row r="576" spans="1:7" ht="15" hidden="1" customHeight="1" x14ac:dyDescent="0.35">
      <c r="A576" s="81">
        <v>3</v>
      </c>
      <c r="B576" s="81" t="s">
        <v>273</v>
      </c>
      <c r="C576" s="82" t="s">
        <v>1296</v>
      </c>
      <c r="D576" s="82" t="s">
        <v>1297</v>
      </c>
      <c r="E576" s="81" t="s">
        <v>1293</v>
      </c>
      <c r="F576" s="81" t="str">
        <f t="shared" si="16"/>
        <v>IRN HAJISAFI - 3</v>
      </c>
      <c r="G576" s="81" t="str">
        <f t="shared" si="17"/>
        <v>IRN3</v>
      </c>
    </row>
    <row r="577" spans="1:7" ht="15" hidden="1" customHeight="1" x14ac:dyDescent="0.35">
      <c r="A577" s="81">
        <v>4</v>
      </c>
      <c r="B577" s="81" t="s">
        <v>273</v>
      </c>
      <c r="C577" s="82" t="s">
        <v>1298</v>
      </c>
      <c r="D577" s="82" t="s">
        <v>1299</v>
      </c>
      <c r="E577" s="81" t="s">
        <v>1293</v>
      </c>
      <c r="F577" s="81" t="str">
        <f t="shared" si="16"/>
        <v>IRN KHALILZADEH - 4</v>
      </c>
      <c r="G577" s="81" t="str">
        <f t="shared" si="17"/>
        <v>IRN4</v>
      </c>
    </row>
    <row r="578" spans="1:7" ht="15" hidden="1" customHeight="1" x14ac:dyDescent="0.35">
      <c r="A578" s="81">
        <v>5</v>
      </c>
      <c r="B578" s="81" t="s">
        <v>273</v>
      </c>
      <c r="C578" s="82" t="s">
        <v>1300</v>
      </c>
      <c r="D578" s="82" t="s">
        <v>1301</v>
      </c>
      <c r="E578" s="81" t="s">
        <v>1293</v>
      </c>
      <c r="F578" s="81" t="str">
        <f t="shared" si="16"/>
        <v>IRN MOHAMMADI - 5</v>
      </c>
      <c r="G578" s="81" t="str">
        <f t="shared" si="17"/>
        <v>IRN5</v>
      </c>
    </row>
    <row r="579" spans="1:7" ht="15" hidden="1" customHeight="1" x14ac:dyDescent="0.35">
      <c r="A579" s="81">
        <v>6</v>
      </c>
      <c r="B579" s="81" t="s">
        <v>282</v>
      </c>
      <c r="C579" s="82" t="s">
        <v>1302</v>
      </c>
      <c r="D579" s="82" t="s">
        <v>1303</v>
      </c>
      <c r="E579" s="81" t="s">
        <v>1293</v>
      </c>
      <c r="F579" s="81" t="str">
        <f t="shared" ref="F579:F642" si="18">IF(B579="GK", _xlfn.CONCAT(E579, " ","(",B579, ") ",D579, " - ", A579),  _xlfn.CONCAT(E579, " ",D579, " - ", A579))</f>
        <v>IRN EZATOLAHI - 6</v>
      </c>
      <c r="G579" s="81" t="str">
        <f t="shared" ref="G579:G642" si="19">_xlfn.CONCAT(E579,A579)</f>
        <v>IRN6</v>
      </c>
    </row>
    <row r="580" spans="1:7" ht="15" hidden="1" customHeight="1" x14ac:dyDescent="0.35">
      <c r="A580" s="81">
        <v>7</v>
      </c>
      <c r="B580" s="81" t="s">
        <v>282</v>
      </c>
      <c r="C580" s="82" t="s">
        <v>1291</v>
      </c>
      <c r="D580" s="82" t="s">
        <v>1304</v>
      </c>
      <c r="E580" s="81" t="s">
        <v>1293</v>
      </c>
      <c r="F580" s="81" t="str">
        <f t="shared" si="18"/>
        <v>IRN JAHANBAKHSH - 7</v>
      </c>
      <c r="G580" s="81" t="str">
        <f t="shared" si="19"/>
        <v>IRN7</v>
      </c>
    </row>
    <row r="581" spans="1:7" ht="15" hidden="1" customHeight="1" x14ac:dyDescent="0.35">
      <c r="A581" s="81">
        <v>8</v>
      </c>
      <c r="B581" s="81" t="s">
        <v>282</v>
      </c>
      <c r="C581" s="82" t="s">
        <v>1305</v>
      </c>
      <c r="D581" s="82" t="s">
        <v>1306</v>
      </c>
      <c r="E581" s="81" t="s">
        <v>1293</v>
      </c>
      <c r="F581" s="81" t="str">
        <f t="shared" si="18"/>
        <v>IRN MOHEBBI - 8</v>
      </c>
      <c r="G581" s="81" t="str">
        <f t="shared" si="19"/>
        <v>IRN8</v>
      </c>
    </row>
    <row r="582" spans="1:7" ht="15" hidden="1" customHeight="1" x14ac:dyDescent="0.35">
      <c r="A582" s="81">
        <v>9</v>
      </c>
      <c r="B582" s="81" t="s">
        <v>285</v>
      </c>
      <c r="C582" s="82" t="s">
        <v>1307</v>
      </c>
      <c r="D582" s="82" t="s">
        <v>1308</v>
      </c>
      <c r="E582" s="81" t="s">
        <v>1293</v>
      </c>
      <c r="F582" s="81" t="str">
        <f t="shared" si="18"/>
        <v>IRN TAREMI - 9</v>
      </c>
      <c r="G582" s="81" t="str">
        <f t="shared" si="19"/>
        <v>IRN9</v>
      </c>
    </row>
    <row r="583" spans="1:7" ht="15" hidden="1" customHeight="1" x14ac:dyDescent="0.35">
      <c r="A583" s="81">
        <v>10</v>
      </c>
      <c r="B583" s="81" t="s">
        <v>285</v>
      </c>
      <c r="C583" s="82" t="s">
        <v>1307</v>
      </c>
      <c r="D583" s="82" t="s">
        <v>1309</v>
      </c>
      <c r="E583" s="81" t="s">
        <v>1293</v>
      </c>
      <c r="F583" s="81" t="str">
        <f t="shared" si="18"/>
        <v>IRN GHAYEDI - 10</v>
      </c>
      <c r="G583" s="81" t="str">
        <f t="shared" si="19"/>
        <v>IRN10</v>
      </c>
    </row>
    <row r="584" spans="1:7" ht="15" hidden="1" customHeight="1" x14ac:dyDescent="0.35">
      <c r="A584" s="81">
        <v>11</v>
      </c>
      <c r="B584" s="81" t="s">
        <v>285</v>
      </c>
      <c r="C584" s="82" t="s">
        <v>706</v>
      </c>
      <c r="D584" s="82" t="s">
        <v>1310</v>
      </c>
      <c r="E584" s="81" t="s">
        <v>1293</v>
      </c>
      <c r="F584" s="81" t="str">
        <f t="shared" si="18"/>
        <v>IRN ALIPOUR - 11</v>
      </c>
      <c r="G584" s="81" t="str">
        <f t="shared" si="19"/>
        <v>IRN11</v>
      </c>
    </row>
    <row r="585" spans="1:7" ht="15" hidden="1" customHeight="1" x14ac:dyDescent="0.35">
      <c r="A585" s="81">
        <v>12</v>
      </c>
      <c r="B585" s="81" t="s">
        <v>269</v>
      </c>
      <c r="C585" s="82" t="s">
        <v>1311</v>
      </c>
      <c r="D585" s="82" t="s">
        <v>1312</v>
      </c>
      <c r="E585" s="81" t="s">
        <v>1293</v>
      </c>
      <c r="F585" s="81" t="str">
        <f t="shared" si="18"/>
        <v>IRN (GK) NIAZMAND - 12</v>
      </c>
      <c r="G585" s="81" t="str">
        <f t="shared" si="19"/>
        <v>IRN12</v>
      </c>
    </row>
    <row r="586" spans="1:7" ht="15" hidden="1" customHeight="1" x14ac:dyDescent="0.35">
      <c r="A586" s="81">
        <v>13</v>
      </c>
      <c r="B586" s="81" t="s">
        <v>273</v>
      </c>
      <c r="C586" s="82" t="s">
        <v>1313</v>
      </c>
      <c r="D586" s="82" t="s">
        <v>1314</v>
      </c>
      <c r="E586" s="81" t="s">
        <v>1293</v>
      </c>
      <c r="F586" s="81" t="str">
        <f t="shared" si="18"/>
        <v>IRN KANANI - 13</v>
      </c>
      <c r="G586" s="81" t="str">
        <f t="shared" si="19"/>
        <v>IRN13</v>
      </c>
    </row>
    <row r="587" spans="1:7" ht="15" hidden="1" customHeight="1" x14ac:dyDescent="0.35">
      <c r="A587" s="81">
        <v>14</v>
      </c>
      <c r="B587" s="81" t="s">
        <v>282</v>
      </c>
      <c r="C587" s="82" t="s">
        <v>1315</v>
      </c>
      <c r="D587" s="82" t="s">
        <v>1316</v>
      </c>
      <c r="E587" s="81" t="s">
        <v>1293</v>
      </c>
      <c r="F587" s="81" t="str">
        <f t="shared" si="18"/>
        <v>IRN GHODDOS - 14</v>
      </c>
      <c r="G587" s="81" t="str">
        <f t="shared" si="19"/>
        <v>IRN14</v>
      </c>
    </row>
    <row r="588" spans="1:7" ht="15" hidden="1" customHeight="1" x14ac:dyDescent="0.35">
      <c r="A588" s="81">
        <v>15</v>
      </c>
      <c r="B588" s="81" t="s">
        <v>282</v>
      </c>
      <c r="C588" s="82" t="s">
        <v>1317</v>
      </c>
      <c r="D588" s="82" t="s">
        <v>1318</v>
      </c>
      <c r="E588" s="81" t="s">
        <v>1293</v>
      </c>
      <c r="F588" s="81" t="str">
        <f t="shared" si="18"/>
        <v>IRN CHESHMI - 15</v>
      </c>
      <c r="G588" s="81" t="str">
        <f t="shared" si="19"/>
        <v>IRN15</v>
      </c>
    </row>
    <row r="589" spans="1:7" ht="15" hidden="1" customHeight="1" x14ac:dyDescent="0.35">
      <c r="A589" s="81">
        <v>16</v>
      </c>
      <c r="B589" s="81" t="s">
        <v>282</v>
      </c>
      <c r="C589" s="82" t="s">
        <v>1307</v>
      </c>
      <c r="D589" s="82" t="s">
        <v>1319</v>
      </c>
      <c r="E589" s="81" t="s">
        <v>1293</v>
      </c>
      <c r="F589" s="81" t="str">
        <f t="shared" si="18"/>
        <v>IRN TORABI - 16</v>
      </c>
      <c r="G589" s="81" t="str">
        <f t="shared" si="19"/>
        <v>IRN16</v>
      </c>
    </row>
    <row r="590" spans="1:7" ht="15" hidden="1" customHeight="1" x14ac:dyDescent="0.35">
      <c r="A590" s="81">
        <v>17</v>
      </c>
      <c r="B590" s="81" t="s">
        <v>273</v>
      </c>
      <c r="C590" s="82" t="s">
        <v>1320</v>
      </c>
      <c r="D590" s="82" t="s">
        <v>1321</v>
      </c>
      <c r="E590" s="81" t="s">
        <v>1293</v>
      </c>
      <c r="F590" s="81" t="str">
        <f t="shared" si="18"/>
        <v>IRN YOUSEFI - 17</v>
      </c>
      <c r="G590" s="81" t="str">
        <f t="shared" si="19"/>
        <v>IRN17</v>
      </c>
    </row>
    <row r="591" spans="1:7" ht="15" hidden="1" customHeight="1" x14ac:dyDescent="0.35">
      <c r="A591" s="81">
        <v>18</v>
      </c>
      <c r="B591" s="81" t="s">
        <v>285</v>
      </c>
      <c r="C591" s="82" t="s">
        <v>1322</v>
      </c>
      <c r="D591" s="82" t="s">
        <v>1323</v>
      </c>
      <c r="E591" s="81" t="s">
        <v>1293</v>
      </c>
      <c r="F591" s="81" t="str">
        <f t="shared" si="18"/>
        <v>IRN HOSSEINZADEH - 18</v>
      </c>
      <c r="G591" s="81" t="str">
        <f t="shared" si="19"/>
        <v>IRN18</v>
      </c>
    </row>
    <row r="592" spans="1:7" ht="15" hidden="1" customHeight="1" x14ac:dyDescent="0.35">
      <c r="A592" s="81">
        <v>19</v>
      </c>
      <c r="B592" s="81" t="s">
        <v>273</v>
      </c>
      <c r="C592" s="82" t="s">
        <v>706</v>
      </c>
      <c r="D592" s="82" t="s">
        <v>1324</v>
      </c>
      <c r="E592" s="81" t="s">
        <v>1293</v>
      </c>
      <c r="F592" s="81" t="str">
        <f t="shared" si="18"/>
        <v>IRN NEMATI - 19</v>
      </c>
      <c r="G592" s="81" t="str">
        <f t="shared" si="19"/>
        <v>IRN19</v>
      </c>
    </row>
    <row r="593" spans="1:7" ht="15" hidden="1" customHeight="1" x14ac:dyDescent="0.35">
      <c r="A593" s="81">
        <v>20</v>
      </c>
      <c r="B593" s="81" t="s">
        <v>285</v>
      </c>
      <c r="C593" s="82" t="s">
        <v>1325</v>
      </c>
      <c r="D593" s="82" t="s">
        <v>1326</v>
      </c>
      <c r="E593" s="81" t="s">
        <v>1293</v>
      </c>
      <c r="F593" s="81" t="str">
        <f t="shared" si="18"/>
        <v>IRN MOGHANLOO - 20</v>
      </c>
      <c r="G593" s="81" t="str">
        <f t="shared" si="19"/>
        <v>IRN20</v>
      </c>
    </row>
    <row r="594" spans="1:7" ht="15" hidden="1" customHeight="1" x14ac:dyDescent="0.35">
      <c r="A594" s="81">
        <v>21</v>
      </c>
      <c r="B594" s="81" t="s">
        <v>282</v>
      </c>
      <c r="C594" s="82" t="s">
        <v>1305</v>
      </c>
      <c r="D594" s="82" t="s">
        <v>1327</v>
      </c>
      <c r="E594" s="81" t="s">
        <v>1293</v>
      </c>
      <c r="F594" s="81" t="str">
        <f t="shared" si="18"/>
        <v>IRN GHORBANI - 21</v>
      </c>
      <c r="G594" s="81" t="str">
        <f t="shared" si="19"/>
        <v>IRN21</v>
      </c>
    </row>
    <row r="595" spans="1:7" ht="15" hidden="1" customHeight="1" x14ac:dyDescent="0.35">
      <c r="A595" s="81">
        <v>22</v>
      </c>
      <c r="B595" s="81" t="s">
        <v>269</v>
      </c>
      <c r="C595" s="82" t="s">
        <v>1313</v>
      </c>
      <c r="D595" s="82" t="s">
        <v>1328</v>
      </c>
      <c r="E595" s="81" t="s">
        <v>1293</v>
      </c>
      <c r="F595" s="81" t="str">
        <f t="shared" si="18"/>
        <v>IRN (GK) HOSSEINI - 22</v>
      </c>
      <c r="G595" s="81" t="str">
        <f t="shared" si="19"/>
        <v>IRN22</v>
      </c>
    </row>
    <row r="596" spans="1:7" ht="15" hidden="1" customHeight="1" x14ac:dyDescent="0.35">
      <c r="A596" s="81">
        <v>23</v>
      </c>
      <c r="B596" s="81" t="s">
        <v>273</v>
      </c>
      <c r="C596" s="82" t="s">
        <v>1329</v>
      </c>
      <c r="D596" s="82" t="s">
        <v>1330</v>
      </c>
      <c r="E596" s="81" t="s">
        <v>1293</v>
      </c>
      <c r="F596" s="81" t="str">
        <f t="shared" si="18"/>
        <v>IRN REZAEIAN - 23</v>
      </c>
      <c r="G596" s="81" t="str">
        <f t="shared" si="19"/>
        <v>IRN23</v>
      </c>
    </row>
    <row r="597" spans="1:7" ht="15" hidden="1" customHeight="1" x14ac:dyDescent="0.35">
      <c r="A597" s="81">
        <v>24</v>
      </c>
      <c r="B597" s="81" t="s">
        <v>285</v>
      </c>
      <c r="C597" s="82" t="s">
        <v>519</v>
      </c>
      <c r="D597" s="82" t="s">
        <v>1331</v>
      </c>
      <c r="E597" s="81" t="s">
        <v>1293</v>
      </c>
      <c r="F597" s="81" t="str">
        <f t="shared" si="18"/>
        <v>IRN DARGAHI - 24</v>
      </c>
      <c r="G597" s="81" t="str">
        <f t="shared" si="19"/>
        <v>IRN24</v>
      </c>
    </row>
    <row r="598" spans="1:7" ht="15" hidden="1" customHeight="1" x14ac:dyDescent="0.35">
      <c r="A598" s="81">
        <v>25</v>
      </c>
      <c r="B598" s="81" t="s">
        <v>273</v>
      </c>
      <c r="C598" s="82" t="s">
        <v>1332</v>
      </c>
      <c r="D598" s="82" t="s">
        <v>1333</v>
      </c>
      <c r="E598" s="81" t="s">
        <v>1293</v>
      </c>
      <c r="F598" s="81" t="str">
        <f t="shared" si="18"/>
        <v>IRN IRI - 25</v>
      </c>
      <c r="G598" s="81" t="str">
        <f t="shared" si="19"/>
        <v>IRN25</v>
      </c>
    </row>
    <row r="599" spans="1:7" ht="15" hidden="1" customHeight="1" x14ac:dyDescent="0.35">
      <c r="A599" s="81">
        <v>26</v>
      </c>
      <c r="B599" s="81" t="s">
        <v>282</v>
      </c>
      <c r="C599" s="82" t="s">
        <v>1334</v>
      </c>
      <c r="D599" s="82" t="s">
        <v>1335</v>
      </c>
      <c r="E599" s="81" t="s">
        <v>1293</v>
      </c>
      <c r="F599" s="81" t="str">
        <f t="shared" si="18"/>
        <v>IRN RAZAGHINIA - 26</v>
      </c>
      <c r="G599" s="81" t="str">
        <f t="shared" si="19"/>
        <v>IRN26</v>
      </c>
    </row>
    <row r="600" spans="1:7" ht="15" hidden="1" customHeight="1" x14ac:dyDescent="0.35">
      <c r="A600" s="83">
        <v>1</v>
      </c>
      <c r="B600" s="83" t="s">
        <v>269</v>
      </c>
      <c r="C600" s="84" t="s">
        <v>1336</v>
      </c>
      <c r="D600" s="84" t="s">
        <v>1337</v>
      </c>
      <c r="E600" s="83" t="s">
        <v>1338</v>
      </c>
      <c r="F600" s="83" t="str">
        <f t="shared" si="18"/>
        <v>IRQ (GK) TALIB - 1</v>
      </c>
      <c r="G600" s="83" t="str">
        <f t="shared" si="19"/>
        <v>IRQ1</v>
      </c>
    </row>
    <row r="601" spans="1:7" ht="15" hidden="1" customHeight="1" x14ac:dyDescent="0.35">
      <c r="A601" s="83">
        <v>2</v>
      </c>
      <c r="B601" s="83" t="s">
        <v>273</v>
      </c>
      <c r="C601" s="84" t="s">
        <v>1339</v>
      </c>
      <c r="D601" s="84" t="s">
        <v>1340</v>
      </c>
      <c r="E601" s="83" t="s">
        <v>1338</v>
      </c>
      <c r="F601" s="83" t="str">
        <f t="shared" si="18"/>
        <v>IRQ GHAREEB - 2</v>
      </c>
      <c r="G601" s="83" t="str">
        <f t="shared" si="19"/>
        <v>IRQ2</v>
      </c>
    </row>
    <row r="602" spans="1:7" ht="15" hidden="1" customHeight="1" x14ac:dyDescent="0.35">
      <c r="A602" s="83">
        <v>3</v>
      </c>
      <c r="B602" s="83" t="s">
        <v>273</v>
      </c>
      <c r="C602" s="84" t="s">
        <v>1341</v>
      </c>
      <c r="D602" s="84" t="s">
        <v>1342</v>
      </c>
      <c r="E602" s="83" t="s">
        <v>1338</v>
      </c>
      <c r="F602" s="83" t="str">
        <f t="shared" si="18"/>
        <v>IRQ ALI - 3</v>
      </c>
      <c r="G602" s="83" t="str">
        <f t="shared" si="19"/>
        <v>IRQ3</v>
      </c>
    </row>
    <row r="603" spans="1:7" ht="15" hidden="1" customHeight="1" x14ac:dyDescent="0.35">
      <c r="A603" s="83">
        <v>4</v>
      </c>
      <c r="B603" s="83" t="s">
        <v>273</v>
      </c>
      <c r="C603" s="84" t="s">
        <v>1343</v>
      </c>
      <c r="D603" s="84" t="s">
        <v>1344</v>
      </c>
      <c r="E603" s="83" t="s">
        <v>1338</v>
      </c>
      <c r="F603" s="83" t="str">
        <f t="shared" si="18"/>
        <v>IRQ TAHSEEN - 4</v>
      </c>
      <c r="G603" s="83" t="str">
        <f t="shared" si="19"/>
        <v>IRQ4</v>
      </c>
    </row>
    <row r="604" spans="1:7" ht="15" hidden="1" customHeight="1" x14ac:dyDescent="0.35">
      <c r="A604" s="83">
        <v>5</v>
      </c>
      <c r="B604" s="83" t="s">
        <v>273</v>
      </c>
      <c r="C604" s="84" t="s">
        <v>1345</v>
      </c>
      <c r="D604" s="84" t="s">
        <v>1346</v>
      </c>
      <c r="E604" s="83" t="s">
        <v>1338</v>
      </c>
      <c r="F604" s="83" t="str">
        <f t="shared" si="18"/>
        <v>IRQ HASHIM - 5</v>
      </c>
      <c r="G604" s="83" t="str">
        <f t="shared" si="19"/>
        <v>IRQ5</v>
      </c>
    </row>
    <row r="605" spans="1:7" ht="15" hidden="1" customHeight="1" x14ac:dyDescent="0.35">
      <c r="A605" s="83">
        <v>6</v>
      </c>
      <c r="B605" s="83" t="s">
        <v>273</v>
      </c>
      <c r="C605" s="84" t="s">
        <v>1347</v>
      </c>
      <c r="D605" s="84" t="s">
        <v>1348</v>
      </c>
      <c r="E605" s="83" t="s">
        <v>1338</v>
      </c>
      <c r="F605" s="83" t="str">
        <f t="shared" si="18"/>
        <v>IRQ YOUNUS - 6</v>
      </c>
      <c r="G605" s="83" t="str">
        <f t="shared" si="19"/>
        <v>IRQ6</v>
      </c>
    </row>
    <row r="606" spans="1:7" ht="15" hidden="1" customHeight="1" x14ac:dyDescent="0.35">
      <c r="A606" s="83">
        <v>7</v>
      </c>
      <c r="B606" s="83" t="s">
        <v>282</v>
      </c>
      <c r="C606" s="84" t="s">
        <v>1349</v>
      </c>
      <c r="D606" s="84" t="s">
        <v>1350</v>
      </c>
      <c r="E606" s="83" t="s">
        <v>1338</v>
      </c>
      <c r="F606" s="83" t="str">
        <f t="shared" si="18"/>
        <v>IRQ AMYN - 7</v>
      </c>
      <c r="G606" s="83" t="str">
        <f t="shared" si="19"/>
        <v>IRQ7</v>
      </c>
    </row>
    <row r="607" spans="1:7" ht="15" hidden="1" customHeight="1" x14ac:dyDescent="0.35">
      <c r="A607" s="83">
        <v>8</v>
      </c>
      <c r="B607" s="83" t="s">
        <v>282</v>
      </c>
      <c r="C607" s="84" t="s">
        <v>316</v>
      </c>
      <c r="D607" s="84" t="s">
        <v>1351</v>
      </c>
      <c r="E607" s="83" t="s">
        <v>1338</v>
      </c>
      <c r="F607" s="83" t="str">
        <f t="shared" si="18"/>
        <v>IRQ BAYESH - 8</v>
      </c>
      <c r="G607" s="83" t="str">
        <f t="shared" si="19"/>
        <v>IRQ8</v>
      </c>
    </row>
    <row r="608" spans="1:7" ht="15" hidden="1" customHeight="1" x14ac:dyDescent="0.35">
      <c r="A608" s="83">
        <v>9</v>
      </c>
      <c r="B608" s="83" t="s">
        <v>285</v>
      </c>
      <c r="C608" s="84" t="s">
        <v>706</v>
      </c>
      <c r="D608" s="84" t="s">
        <v>1352</v>
      </c>
      <c r="E608" s="83" t="s">
        <v>1338</v>
      </c>
      <c r="F608" s="83" t="str">
        <f t="shared" si="18"/>
        <v>IRQ ALHAMADI - 9</v>
      </c>
      <c r="G608" s="83" t="str">
        <f t="shared" si="19"/>
        <v>IRQ9</v>
      </c>
    </row>
    <row r="609" spans="1:7" ht="15" hidden="1" customHeight="1" x14ac:dyDescent="0.35">
      <c r="A609" s="83">
        <v>10</v>
      </c>
      <c r="B609" s="83" t="s">
        <v>285</v>
      </c>
      <c r="C609" s="84" t="s">
        <v>1055</v>
      </c>
      <c r="D609" s="84" t="s">
        <v>1342</v>
      </c>
      <c r="E609" s="83" t="s">
        <v>1338</v>
      </c>
      <c r="F609" s="83" t="str">
        <f t="shared" si="18"/>
        <v>IRQ ALI - 10</v>
      </c>
      <c r="G609" s="83" t="str">
        <f t="shared" si="19"/>
        <v>IRQ10</v>
      </c>
    </row>
    <row r="610" spans="1:7" ht="15" hidden="1" customHeight="1" x14ac:dyDescent="0.35">
      <c r="A610" s="83">
        <v>11</v>
      </c>
      <c r="B610" s="83" t="s">
        <v>285</v>
      </c>
      <c r="C610" s="84" t="s">
        <v>1047</v>
      </c>
      <c r="D610" s="84" t="s">
        <v>1353</v>
      </c>
      <c r="E610" s="83" t="s">
        <v>1338</v>
      </c>
      <c r="F610" s="83" t="str">
        <f t="shared" si="18"/>
        <v>IRQ QASIM - 11</v>
      </c>
      <c r="G610" s="83" t="str">
        <f t="shared" si="19"/>
        <v>IRQ11</v>
      </c>
    </row>
    <row r="611" spans="1:7" ht="15" hidden="1" customHeight="1" x14ac:dyDescent="0.35">
      <c r="A611" s="83">
        <v>12</v>
      </c>
      <c r="B611" s="83" t="s">
        <v>269</v>
      </c>
      <c r="C611" s="84" t="s">
        <v>1354</v>
      </c>
      <c r="D611" s="84" t="s">
        <v>1046</v>
      </c>
      <c r="E611" s="83" t="s">
        <v>1338</v>
      </c>
      <c r="F611" s="83" t="str">
        <f t="shared" si="18"/>
        <v>IRQ (GK) HASSAN - 12</v>
      </c>
      <c r="G611" s="83" t="str">
        <f t="shared" si="19"/>
        <v>IRQ12</v>
      </c>
    </row>
    <row r="612" spans="1:7" ht="15" hidden="1" customHeight="1" x14ac:dyDescent="0.35">
      <c r="A612" s="83">
        <v>13</v>
      </c>
      <c r="B612" s="83" t="s">
        <v>285</v>
      </c>
      <c r="C612" s="84" t="s">
        <v>706</v>
      </c>
      <c r="D612" s="84" t="s">
        <v>1355</v>
      </c>
      <c r="E612" s="83" t="s">
        <v>1338</v>
      </c>
      <c r="F612" s="83" t="str">
        <f t="shared" si="18"/>
        <v>IRQ YOUSIF - 13</v>
      </c>
      <c r="G612" s="83" t="str">
        <f t="shared" si="19"/>
        <v>IRQ13</v>
      </c>
    </row>
    <row r="613" spans="1:7" ht="15" hidden="1" customHeight="1" x14ac:dyDescent="0.35">
      <c r="A613" s="83">
        <v>14</v>
      </c>
      <c r="B613" s="83" t="s">
        <v>282</v>
      </c>
      <c r="C613" s="84" t="s">
        <v>1356</v>
      </c>
      <c r="D613" s="84" t="s">
        <v>1357</v>
      </c>
      <c r="E613" s="83" t="s">
        <v>1338</v>
      </c>
      <c r="F613" s="83" t="str">
        <f t="shared" si="18"/>
        <v>IRQ IQBAL - 14</v>
      </c>
      <c r="G613" s="83" t="str">
        <f t="shared" si="19"/>
        <v>IRQ14</v>
      </c>
    </row>
    <row r="614" spans="1:7" ht="15" hidden="1" customHeight="1" x14ac:dyDescent="0.35">
      <c r="A614" s="83">
        <v>15</v>
      </c>
      <c r="B614" s="83" t="s">
        <v>273</v>
      </c>
      <c r="C614" s="84" t="s">
        <v>1047</v>
      </c>
      <c r="D614" s="84" t="s">
        <v>1358</v>
      </c>
      <c r="E614" s="83" t="s">
        <v>1338</v>
      </c>
      <c r="F614" s="83" t="str">
        <f t="shared" si="18"/>
        <v>IRQ YAHYA - 15</v>
      </c>
      <c r="G614" s="83" t="str">
        <f t="shared" si="19"/>
        <v>IRQ15</v>
      </c>
    </row>
    <row r="615" spans="1:7" ht="15" hidden="1" customHeight="1" x14ac:dyDescent="0.35">
      <c r="A615" s="83">
        <v>16</v>
      </c>
      <c r="B615" s="83" t="s">
        <v>282</v>
      </c>
      <c r="C615" s="84" t="s">
        <v>543</v>
      </c>
      <c r="D615" s="84" t="s">
        <v>1359</v>
      </c>
      <c r="E615" s="83" t="s">
        <v>1338</v>
      </c>
      <c r="F615" s="83" t="str">
        <f t="shared" si="18"/>
        <v>IRQ ALAMMARI - 16</v>
      </c>
      <c r="G615" s="83" t="str">
        <f t="shared" si="19"/>
        <v>IRQ16</v>
      </c>
    </row>
    <row r="616" spans="1:7" ht="15" hidden="1" customHeight="1" x14ac:dyDescent="0.35">
      <c r="A616" s="83">
        <v>17</v>
      </c>
      <c r="B616" s="83" t="s">
        <v>285</v>
      </c>
      <c r="C616" s="84" t="s">
        <v>706</v>
      </c>
      <c r="D616" s="84" t="s">
        <v>1360</v>
      </c>
      <c r="E616" s="83" t="s">
        <v>1338</v>
      </c>
      <c r="F616" s="83" t="str">
        <f t="shared" si="18"/>
        <v>IRQ JASIM - 17</v>
      </c>
      <c r="G616" s="83" t="str">
        <f t="shared" si="19"/>
        <v>IRQ17</v>
      </c>
    </row>
    <row r="617" spans="1:7" ht="15" hidden="1" customHeight="1" x14ac:dyDescent="0.35">
      <c r="A617" s="83">
        <v>18</v>
      </c>
      <c r="B617" s="83" t="s">
        <v>285</v>
      </c>
      <c r="C617" s="84" t="s">
        <v>1361</v>
      </c>
      <c r="D617" s="84" t="s">
        <v>1362</v>
      </c>
      <c r="E617" s="83" t="s">
        <v>1338</v>
      </c>
      <c r="F617" s="83" t="str">
        <f t="shared" si="18"/>
        <v>IRQ HUSSEIN - 18</v>
      </c>
      <c r="G617" s="83" t="str">
        <f t="shared" si="19"/>
        <v>IRQ18</v>
      </c>
    </row>
    <row r="618" spans="1:7" ht="15" hidden="1" customHeight="1" x14ac:dyDescent="0.35">
      <c r="A618" s="83">
        <v>19</v>
      </c>
      <c r="B618" s="83" t="s">
        <v>282</v>
      </c>
      <c r="C618" s="84" t="s">
        <v>427</v>
      </c>
      <c r="D618" s="84" t="s">
        <v>1363</v>
      </c>
      <c r="E618" s="83" t="s">
        <v>1338</v>
      </c>
      <c r="F618" s="83" t="str">
        <f t="shared" si="18"/>
        <v>IRQ YAKOB - 19</v>
      </c>
      <c r="G618" s="83" t="str">
        <f t="shared" si="19"/>
        <v>IRQ19</v>
      </c>
    </row>
    <row r="619" spans="1:7" ht="15" hidden="1" customHeight="1" x14ac:dyDescent="0.35">
      <c r="A619" s="83">
        <v>20</v>
      </c>
      <c r="B619" s="83" t="s">
        <v>282</v>
      </c>
      <c r="C619" s="84" t="s">
        <v>1364</v>
      </c>
      <c r="D619" s="84" t="s">
        <v>1365</v>
      </c>
      <c r="E619" s="83" t="s">
        <v>1338</v>
      </c>
      <c r="F619" s="83" t="str">
        <f t="shared" si="18"/>
        <v>IRQ SHER - 20</v>
      </c>
      <c r="G619" s="83" t="str">
        <f t="shared" si="19"/>
        <v>IRQ20</v>
      </c>
    </row>
    <row r="620" spans="1:7" ht="15" hidden="1" customHeight="1" x14ac:dyDescent="0.35">
      <c r="A620" s="83">
        <v>21</v>
      </c>
      <c r="B620" s="83" t="s">
        <v>285</v>
      </c>
      <c r="C620" s="84" t="s">
        <v>433</v>
      </c>
      <c r="D620" s="84" t="s">
        <v>1366</v>
      </c>
      <c r="E620" s="83" t="s">
        <v>1338</v>
      </c>
      <c r="F620" s="83" t="str">
        <f t="shared" si="18"/>
        <v>IRQ FARJI - 21</v>
      </c>
      <c r="G620" s="83" t="str">
        <f t="shared" si="19"/>
        <v>IRQ21</v>
      </c>
    </row>
    <row r="621" spans="1:7" ht="15" hidden="1" customHeight="1" x14ac:dyDescent="0.35">
      <c r="A621" s="83">
        <v>22</v>
      </c>
      <c r="B621" s="83" t="s">
        <v>269</v>
      </c>
      <c r="C621" s="84" t="s">
        <v>1047</v>
      </c>
      <c r="D621" s="84" t="s">
        <v>1367</v>
      </c>
      <c r="E621" s="83" t="s">
        <v>1338</v>
      </c>
      <c r="F621" s="83" t="str">
        <f t="shared" si="18"/>
        <v>IRQ (GK) BASIL - 22</v>
      </c>
      <c r="G621" s="83" t="str">
        <f t="shared" si="19"/>
        <v>IRQ22</v>
      </c>
    </row>
    <row r="622" spans="1:7" ht="15" hidden="1" customHeight="1" x14ac:dyDescent="0.35">
      <c r="A622" s="83">
        <v>23</v>
      </c>
      <c r="B622" s="83" t="s">
        <v>273</v>
      </c>
      <c r="C622" s="84" t="s">
        <v>1368</v>
      </c>
      <c r="D622" s="84" t="s">
        <v>1369</v>
      </c>
      <c r="E622" s="83" t="s">
        <v>1338</v>
      </c>
      <c r="F622" s="83" t="str">
        <f t="shared" si="18"/>
        <v>IRQ DOSKI - 23</v>
      </c>
      <c r="G622" s="83" t="str">
        <f t="shared" si="19"/>
        <v>IRQ23</v>
      </c>
    </row>
    <row r="623" spans="1:7" ht="15" hidden="1" customHeight="1" x14ac:dyDescent="0.35">
      <c r="A623" s="83">
        <v>24</v>
      </c>
      <c r="B623" s="83" t="s">
        <v>282</v>
      </c>
      <c r="C623" s="84" t="s">
        <v>1343</v>
      </c>
      <c r="D623" s="84" t="s">
        <v>1370</v>
      </c>
      <c r="E623" s="83" t="s">
        <v>1338</v>
      </c>
      <c r="F623" s="83" t="str">
        <f t="shared" si="18"/>
        <v>IRQ ISMAEL - 24</v>
      </c>
      <c r="G623" s="83" t="str">
        <f t="shared" si="19"/>
        <v>IRQ24</v>
      </c>
    </row>
    <row r="624" spans="1:7" ht="15" hidden="1" customHeight="1" x14ac:dyDescent="0.35">
      <c r="A624" s="83">
        <v>25</v>
      </c>
      <c r="B624" s="83" t="s">
        <v>273</v>
      </c>
      <c r="C624" s="84" t="s">
        <v>1371</v>
      </c>
      <c r="D624" s="84" t="s">
        <v>1372</v>
      </c>
      <c r="E624" s="83" t="s">
        <v>1338</v>
      </c>
      <c r="F624" s="83" t="str">
        <f t="shared" si="18"/>
        <v>IRQ SAADOON - 25</v>
      </c>
      <c r="G624" s="83" t="str">
        <f t="shared" si="19"/>
        <v>IRQ25</v>
      </c>
    </row>
    <row r="625" spans="1:7" ht="15" hidden="1" customHeight="1" x14ac:dyDescent="0.35">
      <c r="A625" s="83">
        <v>26</v>
      </c>
      <c r="B625" s="83" t="s">
        <v>273</v>
      </c>
      <c r="C625" s="84" t="s">
        <v>1373</v>
      </c>
      <c r="D625" s="84" t="s">
        <v>1374</v>
      </c>
      <c r="E625" s="83" t="s">
        <v>1338</v>
      </c>
      <c r="F625" s="83" t="str">
        <f t="shared" si="18"/>
        <v>IRQ PUTROS - 26</v>
      </c>
      <c r="G625" s="83" t="str">
        <f t="shared" si="19"/>
        <v>IRQ26</v>
      </c>
    </row>
    <row r="626" spans="1:7" ht="15" hidden="1" customHeight="1" x14ac:dyDescent="0.35">
      <c r="A626" s="85">
        <v>1</v>
      </c>
      <c r="B626" s="85" t="s">
        <v>269</v>
      </c>
      <c r="C626" s="86" t="s">
        <v>1375</v>
      </c>
      <c r="D626" s="86" t="s">
        <v>1376</v>
      </c>
      <c r="E626" s="85" t="s">
        <v>1377</v>
      </c>
      <c r="F626" s="85" t="str">
        <f t="shared" si="18"/>
        <v>JPN (GK) SUZUKI - 1</v>
      </c>
      <c r="G626" s="85" t="str">
        <f t="shared" si="19"/>
        <v>JPN1</v>
      </c>
    </row>
    <row r="627" spans="1:7" ht="15" hidden="1" customHeight="1" x14ac:dyDescent="0.35">
      <c r="A627" s="85">
        <v>2</v>
      </c>
      <c r="B627" s="85" t="s">
        <v>273</v>
      </c>
      <c r="C627" s="86" t="s">
        <v>1378</v>
      </c>
      <c r="D627" s="86" t="s">
        <v>1379</v>
      </c>
      <c r="E627" s="85" t="s">
        <v>1377</v>
      </c>
      <c r="F627" s="85" t="str">
        <f t="shared" si="18"/>
        <v>JPN SUGAWARA - 2</v>
      </c>
      <c r="G627" s="85" t="str">
        <f t="shared" si="19"/>
        <v>JPN2</v>
      </c>
    </row>
    <row r="628" spans="1:7" ht="15" hidden="1" customHeight="1" x14ac:dyDescent="0.35">
      <c r="A628" s="85">
        <v>3</v>
      </c>
      <c r="B628" s="85" t="s">
        <v>273</v>
      </c>
      <c r="C628" s="86" t="s">
        <v>1380</v>
      </c>
      <c r="D628" s="86" t="s">
        <v>1381</v>
      </c>
      <c r="E628" s="85" t="s">
        <v>1377</v>
      </c>
      <c r="F628" s="85" t="str">
        <f t="shared" si="18"/>
        <v>JPN TANIGUCHI - 3</v>
      </c>
      <c r="G628" s="85" t="str">
        <f t="shared" si="19"/>
        <v>JPN3</v>
      </c>
    </row>
    <row r="629" spans="1:7" ht="15" hidden="1" customHeight="1" x14ac:dyDescent="0.35">
      <c r="A629" s="85">
        <v>4</v>
      </c>
      <c r="B629" s="85" t="s">
        <v>273</v>
      </c>
      <c r="C629" s="86" t="s">
        <v>1382</v>
      </c>
      <c r="D629" s="86" t="s">
        <v>1383</v>
      </c>
      <c r="E629" s="85" t="s">
        <v>1377</v>
      </c>
      <c r="F629" s="85" t="str">
        <f t="shared" si="18"/>
        <v>JPN ITAKURA - 4</v>
      </c>
      <c r="G629" s="85" t="str">
        <f t="shared" si="19"/>
        <v>JPN4</v>
      </c>
    </row>
    <row r="630" spans="1:7" ht="15" hidden="1" customHeight="1" x14ac:dyDescent="0.35">
      <c r="A630" s="85">
        <v>5</v>
      </c>
      <c r="B630" s="85" t="s">
        <v>273</v>
      </c>
      <c r="C630" s="86" t="s">
        <v>1384</v>
      </c>
      <c r="D630" s="86" t="s">
        <v>1385</v>
      </c>
      <c r="E630" s="85" t="s">
        <v>1377</v>
      </c>
      <c r="F630" s="85" t="str">
        <f t="shared" si="18"/>
        <v>JPN NAGATOMO - 5</v>
      </c>
      <c r="G630" s="85" t="str">
        <f t="shared" si="19"/>
        <v>JPN5</v>
      </c>
    </row>
    <row r="631" spans="1:7" ht="15" hidden="1" customHeight="1" x14ac:dyDescent="0.35">
      <c r="A631" s="85">
        <v>6</v>
      </c>
      <c r="B631" s="85" t="s">
        <v>282</v>
      </c>
      <c r="C631" s="86" t="s">
        <v>1386</v>
      </c>
      <c r="D631" s="86" t="s">
        <v>1387</v>
      </c>
      <c r="E631" s="85" t="s">
        <v>1377</v>
      </c>
      <c r="F631" s="85" t="str">
        <f t="shared" si="18"/>
        <v>JPN ENDO - 6</v>
      </c>
      <c r="G631" s="85" t="str">
        <f t="shared" si="19"/>
        <v>JPN6</v>
      </c>
    </row>
    <row r="632" spans="1:7" ht="15" hidden="1" customHeight="1" x14ac:dyDescent="0.35">
      <c r="A632" s="85">
        <v>7</v>
      </c>
      <c r="B632" s="85" t="s">
        <v>282</v>
      </c>
      <c r="C632" s="86" t="s">
        <v>1388</v>
      </c>
      <c r="D632" s="86" t="s">
        <v>1389</v>
      </c>
      <c r="E632" s="85" t="s">
        <v>1377</v>
      </c>
      <c r="F632" s="85" t="str">
        <f t="shared" si="18"/>
        <v>JPN TANAKA - 7</v>
      </c>
      <c r="G632" s="85" t="str">
        <f t="shared" si="19"/>
        <v>JPN7</v>
      </c>
    </row>
    <row r="633" spans="1:7" ht="15" hidden="1" customHeight="1" x14ac:dyDescent="0.35">
      <c r="A633" s="85">
        <v>8</v>
      </c>
      <c r="B633" s="85" t="s">
        <v>282</v>
      </c>
      <c r="C633" s="86" t="s">
        <v>1390</v>
      </c>
      <c r="D633" s="86" t="s">
        <v>1391</v>
      </c>
      <c r="E633" s="85" t="s">
        <v>1377</v>
      </c>
      <c r="F633" s="85" t="str">
        <f t="shared" si="18"/>
        <v>JPN KUBO - 8</v>
      </c>
      <c r="G633" s="85" t="str">
        <f t="shared" si="19"/>
        <v>JPN8</v>
      </c>
    </row>
    <row r="634" spans="1:7" ht="15" hidden="1" customHeight="1" x14ac:dyDescent="0.35">
      <c r="A634" s="85">
        <v>9</v>
      </c>
      <c r="B634" s="85" t="s">
        <v>285</v>
      </c>
      <c r="C634" s="86" t="s">
        <v>1392</v>
      </c>
      <c r="D634" s="86" t="s">
        <v>1393</v>
      </c>
      <c r="E634" s="85" t="s">
        <v>1377</v>
      </c>
      <c r="F634" s="85" t="str">
        <f t="shared" si="18"/>
        <v>JPN GOTO - 9</v>
      </c>
      <c r="G634" s="85" t="str">
        <f t="shared" si="19"/>
        <v>JPN9</v>
      </c>
    </row>
    <row r="635" spans="1:7" ht="15" hidden="1" customHeight="1" x14ac:dyDescent="0.35">
      <c r="A635" s="85">
        <v>10</v>
      </c>
      <c r="B635" s="85" t="s">
        <v>282</v>
      </c>
      <c r="C635" s="86" t="s">
        <v>1394</v>
      </c>
      <c r="D635" s="86" t="s">
        <v>1395</v>
      </c>
      <c r="E635" s="85" t="s">
        <v>1377</v>
      </c>
      <c r="F635" s="85" t="str">
        <f t="shared" si="18"/>
        <v>JPN DOAN - 10</v>
      </c>
      <c r="G635" s="85" t="str">
        <f t="shared" si="19"/>
        <v>JPN10</v>
      </c>
    </row>
    <row r="636" spans="1:7" ht="15" hidden="1" customHeight="1" x14ac:dyDescent="0.35">
      <c r="A636" s="85">
        <v>11</v>
      </c>
      <c r="B636" s="85" t="s">
        <v>282</v>
      </c>
      <c r="C636" s="86" t="s">
        <v>1396</v>
      </c>
      <c r="D636" s="86" t="s">
        <v>1397</v>
      </c>
      <c r="E636" s="85" t="s">
        <v>1377</v>
      </c>
      <c r="F636" s="85" t="str">
        <f t="shared" si="18"/>
        <v>JPN MAEDA - 11</v>
      </c>
      <c r="G636" s="85" t="str">
        <f t="shared" si="19"/>
        <v>JPN11</v>
      </c>
    </row>
    <row r="637" spans="1:7" ht="15" hidden="1" customHeight="1" x14ac:dyDescent="0.35">
      <c r="A637" s="85">
        <v>12</v>
      </c>
      <c r="B637" s="85" t="s">
        <v>269</v>
      </c>
      <c r="C637" s="86" t="s">
        <v>1392</v>
      </c>
      <c r="D637" s="86" t="s">
        <v>1398</v>
      </c>
      <c r="E637" s="85" t="s">
        <v>1377</v>
      </c>
      <c r="F637" s="85" t="str">
        <f t="shared" si="18"/>
        <v>JPN (GK) OSAKO - 12</v>
      </c>
      <c r="G637" s="85" t="str">
        <f t="shared" si="19"/>
        <v>JPN12</v>
      </c>
    </row>
    <row r="638" spans="1:7" ht="15" hidden="1" customHeight="1" x14ac:dyDescent="0.35">
      <c r="A638" s="85">
        <v>13</v>
      </c>
      <c r="B638" s="85" t="s">
        <v>282</v>
      </c>
      <c r="C638" s="86" t="s">
        <v>1399</v>
      </c>
      <c r="D638" s="86" t="s">
        <v>1400</v>
      </c>
      <c r="E638" s="85" t="s">
        <v>1377</v>
      </c>
      <c r="F638" s="85" t="str">
        <f t="shared" si="18"/>
        <v>JPN NAKAMURA - 13</v>
      </c>
      <c r="G638" s="85" t="str">
        <f t="shared" si="19"/>
        <v>JPN13</v>
      </c>
    </row>
    <row r="639" spans="1:7" ht="15" hidden="1" customHeight="1" x14ac:dyDescent="0.35">
      <c r="A639" s="85">
        <v>14</v>
      </c>
      <c r="B639" s="85" t="s">
        <v>282</v>
      </c>
      <c r="C639" s="86" t="s">
        <v>1401</v>
      </c>
      <c r="D639" s="86" t="s">
        <v>1402</v>
      </c>
      <c r="E639" s="85" t="s">
        <v>1377</v>
      </c>
      <c r="F639" s="85" t="str">
        <f t="shared" si="18"/>
        <v>JPN ITO - 14</v>
      </c>
      <c r="G639" s="85" t="str">
        <f t="shared" si="19"/>
        <v>JPN14</v>
      </c>
    </row>
    <row r="640" spans="1:7" ht="15" hidden="1" customHeight="1" x14ac:dyDescent="0.35">
      <c r="A640" s="85">
        <v>15</v>
      </c>
      <c r="B640" s="85" t="s">
        <v>282</v>
      </c>
      <c r="C640" s="86" t="s">
        <v>1403</v>
      </c>
      <c r="D640" s="86" t="s">
        <v>1404</v>
      </c>
      <c r="E640" s="85" t="s">
        <v>1377</v>
      </c>
      <c r="F640" s="85" t="str">
        <f t="shared" si="18"/>
        <v>JPN KAMADA - 15</v>
      </c>
      <c r="G640" s="85" t="str">
        <f t="shared" si="19"/>
        <v>JPN15</v>
      </c>
    </row>
    <row r="641" spans="1:7" ht="15" hidden="1" customHeight="1" x14ac:dyDescent="0.35">
      <c r="A641" s="85">
        <v>16</v>
      </c>
      <c r="B641" s="85" t="s">
        <v>273</v>
      </c>
      <c r="C641" s="86" t="s">
        <v>1405</v>
      </c>
      <c r="D641" s="86" t="s">
        <v>1406</v>
      </c>
      <c r="E641" s="85" t="s">
        <v>1377</v>
      </c>
      <c r="F641" s="85" t="str">
        <f t="shared" si="18"/>
        <v>JPN WATANABE - 16</v>
      </c>
      <c r="G641" s="85" t="str">
        <f t="shared" si="19"/>
        <v>JPN16</v>
      </c>
    </row>
    <row r="642" spans="1:7" ht="15" hidden="1" customHeight="1" x14ac:dyDescent="0.35">
      <c r="A642" s="85">
        <v>17</v>
      </c>
      <c r="B642" s="85" t="s">
        <v>282</v>
      </c>
      <c r="C642" s="86" t="s">
        <v>1407</v>
      </c>
      <c r="D642" s="86" t="s">
        <v>1376</v>
      </c>
      <c r="E642" s="85" t="s">
        <v>1377</v>
      </c>
      <c r="F642" s="85" t="str">
        <f t="shared" si="18"/>
        <v>JPN SUZUKI - 17</v>
      </c>
      <c r="G642" s="85" t="str">
        <f t="shared" si="19"/>
        <v>JPN17</v>
      </c>
    </row>
    <row r="643" spans="1:7" ht="15" hidden="1" customHeight="1" x14ac:dyDescent="0.35">
      <c r="A643" s="85">
        <v>18</v>
      </c>
      <c r="B643" s="85" t="s">
        <v>285</v>
      </c>
      <c r="C643" s="86" t="s">
        <v>1408</v>
      </c>
      <c r="D643" s="86" t="s">
        <v>1409</v>
      </c>
      <c r="E643" s="85" t="s">
        <v>1377</v>
      </c>
      <c r="F643" s="85" t="str">
        <f t="shared" ref="F643:F706" si="20">IF(B643="GK", _xlfn.CONCAT(E643, " ","(",B643, ") ",D643, " - ", A643),  _xlfn.CONCAT(E643, " ",D643, " - ", A643))</f>
        <v>JPN UEDA - 18</v>
      </c>
      <c r="G643" s="85" t="str">
        <f t="shared" ref="G643:G706" si="21">_xlfn.CONCAT(E643,A643)</f>
        <v>JPN18</v>
      </c>
    </row>
    <row r="644" spans="1:7" ht="15" hidden="1" customHeight="1" x14ac:dyDescent="0.35">
      <c r="A644" s="85">
        <v>19</v>
      </c>
      <c r="B644" s="85" t="s">
        <v>285</v>
      </c>
      <c r="C644" s="86" t="s">
        <v>1410</v>
      </c>
      <c r="D644" s="86" t="s">
        <v>1411</v>
      </c>
      <c r="E644" s="85" t="s">
        <v>1377</v>
      </c>
      <c r="F644" s="85" t="str">
        <f t="shared" si="20"/>
        <v>JPN OGAWA - 19</v>
      </c>
      <c r="G644" s="85" t="str">
        <f t="shared" si="21"/>
        <v>JPN19</v>
      </c>
    </row>
    <row r="645" spans="1:7" ht="15" hidden="1" customHeight="1" x14ac:dyDescent="0.35">
      <c r="A645" s="85">
        <v>20</v>
      </c>
      <c r="B645" s="85" t="s">
        <v>273</v>
      </c>
      <c r="C645" s="86" t="s">
        <v>1412</v>
      </c>
      <c r="D645" s="86" t="s">
        <v>1413</v>
      </c>
      <c r="E645" s="85" t="s">
        <v>1377</v>
      </c>
      <c r="F645" s="85" t="str">
        <f t="shared" si="20"/>
        <v>JPN SEKO - 20</v>
      </c>
      <c r="G645" s="85" t="str">
        <f t="shared" si="21"/>
        <v>JPN20</v>
      </c>
    </row>
    <row r="646" spans="1:7" ht="15" hidden="1" customHeight="1" x14ac:dyDescent="0.35">
      <c r="A646" s="85">
        <v>21</v>
      </c>
      <c r="B646" s="85" t="s">
        <v>273</v>
      </c>
      <c r="C646" s="86" t="s">
        <v>1414</v>
      </c>
      <c r="D646" s="86" t="s">
        <v>1402</v>
      </c>
      <c r="E646" s="85" t="s">
        <v>1377</v>
      </c>
      <c r="F646" s="85" t="str">
        <f t="shared" si="20"/>
        <v>JPN ITO - 21</v>
      </c>
      <c r="G646" s="85" t="str">
        <f t="shared" si="21"/>
        <v>JPN21</v>
      </c>
    </row>
    <row r="647" spans="1:7" ht="15" hidden="1" customHeight="1" x14ac:dyDescent="0.35">
      <c r="A647" s="85">
        <v>22</v>
      </c>
      <c r="B647" s="85" t="s">
        <v>273</v>
      </c>
      <c r="C647" s="86" t="s">
        <v>1415</v>
      </c>
      <c r="D647" s="86" t="s">
        <v>1416</v>
      </c>
      <c r="E647" s="85" t="s">
        <v>1377</v>
      </c>
      <c r="F647" s="85" t="str">
        <f t="shared" si="20"/>
        <v>JPN TOMIYASU - 22</v>
      </c>
      <c r="G647" s="85" t="str">
        <f t="shared" si="21"/>
        <v>JPN22</v>
      </c>
    </row>
    <row r="648" spans="1:7" ht="15" hidden="1" customHeight="1" x14ac:dyDescent="0.35">
      <c r="A648" s="85">
        <v>23</v>
      </c>
      <c r="B648" s="85" t="s">
        <v>269</v>
      </c>
      <c r="C648" s="86" t="s">
        <v>1417</v>
      </c>
      <c r="D648" s="86" t="s">
        <v>1418</v>
      </c>
      <c r="E648" s="85" t="s">
        <v>1377</v>
      </c>
      <c r="F648" s="85" t="str">
        <f t="shared" si="20"/>
        <v>JPN (GK) HAYAKAWA - 23</v>
      </c>
      <c r="G648" s="85" t="str">
        <f t="shared" si="21"/>
        <v>JPN23</v>
      </c>
    </row>
    <row r="649" spans="1:7" ht="15" hidden="1" customHeight="1" x14ac:dyDescent="0.35">
      <c r="A649" s="85">
        <v>24</v>
      </c>
      <c r="B649" s="85" t="s">
        <v>282</v>
      </c>
      <c r="C649" s="86" t="s">
        <v>1419</v>
      </c>
      <c r="D649" s="86" t="s">
        <v>1420</v>
      </c>
      <c r="E649" s="85" t="s">
        <v>1377</v>
      </c>
      <c r="F649" s="85" t="str">
        <f t="shared" si="20"/>
        <v>JPN SANO - 24</v>
      </c>
      <c r="G649" s="85" t="str">
        <f t="shared" si="21"/>
        <v>JPN24</v>
      </c>
    </row>
    <row r="650" spans="1:7" ht="15" hidden="1" customHeight="1" x14ac:dyDescent="0.35">
      <c r="A650" s="85">
        <v>25</v>
      </c>
      <c r="B650" s="85" t="s">
        <v>273</v>
      </c>
      <c r="C650" s="86" t="s">
        <v>1421</v>
      </c>
      <c r="D650" s="86" t="s">
        <v>1376</v>
      </c>
      <c r="E650" s="85" t="s">
        <v>1377</v>
      </c>
      <c r="F650" s="85" t="str">
        <f t="shared" si="20"/>
        <v>JPN SUZUKI - 25</v>
      </c>
      <c r="G650" s="85" t="str">
        <f t="shared" si="21"/>
        <v>JPN25</v>
      </c>
    </row>
    <row r="651" spans="1:7" ht="15" hidden="1" customHeight="1" x14ac:dyDescent="0.35">
      <c r="A651" s="85">
        <v>26</v>
      </c>
      <c r="B651" s="85" t="s">
        <v>285</v>
      </c>
      <c r="C651" s="86" t="s">
        <v>1422</v>
      </c>
      <c r="D651" s="86" t="s">
        <v>1423</v>
      </c>
      <c r="E651" s="85" t="s">
        <v>1377</v>
      </c>
      <c r="F651" s="85" t="str">
        <f t="shared" si="20"/>
        <v>JPN SHIOGAI - 26</v>
      </c>
      <c r="G651" s="85" t="str">
        <f t="shared" si="21"/>
        <v>JPN26</v>
      </c>
    </row>
    <row r="652" spans="1:7" ht="15" hidden="1" customHeight="1" x14ac:dyDescent="0.35">
      <c r="A652" s="87">
        <v>1</v>
      </c>
      <c r="B652" s="87" t="s">
        <v>269</v>
      </c>
      <c r="C652" s="88" t="s">
        <v>1424</v>
      </c>
      <c r="D652" s="88" t="s">
        <v>1425</v>
      </c>
      <c r="E652" s="87" t="s">
        <v>1426</v>
      </c>
      <c r="F652" s="87" t="str">
        <f t="shared" si="20"/>
        <v>JOR (GK) ABULAILA - 1</v>
      </c>
      <c r="G652" s="87" t="str">
        <f t="shared" si="21"/>
        <v>JOR1</v>
      </c>
    </row>
    <row r="653" spans="1:7" ht="15" hidden="1" customHeight="1" x14ac:dyDescent="0.35">
      <c r="A653" s="87">
        <v>2</v>
      </c>
      <c r="B653" s="87" t="s">
        <v>273</v>
      </c>
      <c r="C653" s="88" t="s">
        <v>1305</v>
      </c>
      <c r="D653" s="88" t="s">
        <v>1427</v>
      </c>
      <c r="E653" s="87" t="s">
        <v>1426</v>
      </c>
      <c r="F653" s="87" t="str">
        <f t="shared" si="20"/>
        <v>JOR ABUHASHEESH - 2</v>
      </c>
      <c r="G653" s="87" t="str">
        <f t="shared" si="21"/>
        <v>JOR2</v>
      </c>
    </row>
    <row r="654" spans="1:7" ht="15" hidden="1" customHeight="1" x14ac:dyDescent="0.35">
      <c r="A654" s="87">
        <v>3</v>
      </c>
      <c r="B654" s="87" t="s">
        <v>273</v>
      </c>
      <c r="C654" s="88" t="s">
        <v>1428</v>
      </c>
      <c r="D654" s="88" t="s">
        <v>1429</v>
      </c>
      <c r="E654" s="87" t="s">
        <v>1426</v>
      </c>
      <c r="F654" s="87" t="str">
        <f t="shared" si="20"/>
        <v>JOR NASIB - 3</v>
      </c>
      <c r="G654" s="87" t="str">
        <f t="shared" si="21"/>
        <v>JOR3</v>
      </c>
    </row>
    <row r="655" spans="1:7" ht="15" hidden="1" customHeight="1" x14ac:dyDescent="0.35">
      <c r="A655" s="87">
        <v>4</v>
      </c>
      <c r="B655" s="87" t="s">
        <v>273</v>
      </c>
      <c r="C655" s="88" t="s">
        <v>1430</v>
      </c>
      <c r="D655" s="88" t="s">
        <v>1431</v>
      </c>
      <c r="E655" s="87" t="s">
        <v>1426</v>
      </c>
      <c r="F655" s="87" t="str">
        <f t="shared" si="20"/>
        <v>JOR ABUDAHAB - 4</v>
      </c>
      <c r="G655" s="87" t="str">
        <f t="shared" si="21"/>
        <v>JOR4</v>
      </c>
    </row>
    <row r="656" spans="1:7" ht="15" hidden="1" customHeight="1" x14ac:dyDescent="0.35">
      <c r="A656" s="87">
        <v>5</v>
      </c>
      <c r="B656" s="87" t="s">
        <v>273</v>
      </c>
      <c r="C656" s="88" t="s">
        <v>1432</v>
      </c>
      <c r="D656" s="88" t="s">
        <v>1433</v>
      </c>
      <c r="E656" s="87" t="s">
        <v>1426</v>
      </c>
      <c r="F656" s="87" t="str">
        <f t="shared" si="20"/>
        <v>JOR ALARAB - 5</v>
      </c>
      <c r="G656" s="87" t="str">
        <f t="shared" si="21"/>
        <v>JOR5</v>
      </c>
    </row>
    <row r="657" spans="1:7" ht="15" hidden="1" customHeight="1" x14ac:dyDescent="0.35">
      <c r="A657" s="87">
        <v>6</v>
      </c>
      <c r="B657" s="87" t="s">
        <v>282</v>
      </c>
      <c r="C657" s="88" t="s">
        <v>1434</v>
      </c>
      <c r="D657" s="88" t="s">
        <v>1435</v>
      </c>
      <c r="E657" s="87" t="s">
        <v>1426</v>
      </c>
      <c r="F657" s="87" t="str">
        <f t="shared" si="20"/>
        <v>JOR JAMOUS - 6</v>
      </c>
      <c r="G657" s="87" t="str">
        <f t="shared" si="21"/>
        <v>JOR6</v>
      </c>
    </row>
    <row r="658" spans="1:7" ht="15" hidden="1" customHeight="1" x14ac:dyDescent="0.35">
      <c r="A658" s="87">
        <v>7</v>
      </c>
      <c r="B658" s="87" t="s">
        <v>285</v>
      </c>
      <c r="C658" s="88" t="s">
        <v>1305</v>
      </c>
      <c r="D658" s="88" t="s">
        <v>1436</v>
      </c>
      <c r="E658" s="87" t="s">
        <v>1426</v>
      </c>
      <c r="F658" s="87" t="str">
        <f t="shared" si="20"/>
        <v>JOR ABUZRAIQ - 7</v>
      </c>
      <c r="G658" s="87" t="str">
        <f t="shared" si="21"/>
        <v>JOR7</v>
      </c>
    </row>
    <row r="659" spans="1:7" ht="15" hidden="1" customHeight="1" x14ac:dyDescent="0.35">
      <c r="A659" s="87">
        <v>8</v>
      </c>
      <c r="B659" s="87" t="s">
        <v>282</v>
      </c>
      <c r="C659" s="88" t="s">
        <v>1437</v>
      </c>
      <c r="D659" s="88" t="s">
        <v>1438</v>
      </c>
      <c r="E659" s="87" t="s">
        <v>1426</v>
      </c>
      <c r="F659" s="87" t="str">
        <f t="shared" si="20"/>
        <v>JOR ALRAWABDEH - 8</v>
      </c>
      <c r="G659" s="87" t="str">
        <f t="shared" si="21"/>
        <v>JOR8</v>
      </c>
    </row>
    <row r="660" spans="1:7" ht="15" hidden="1" customHeight="1" x14ac:dyDescent="0.35">
      <c r="A660" s="87">
        <v>9</v>
      </c>
      <c r="B660" s="87" t="s">
        <v>285</v>
      </c>
      <c r="C660" s="88" t="s">
        <v>706</v>
      </c>
      <c r="D660" s="88" t="s">
        <v>1439</v>
      </c>
      <c r="E660" s="87" t="s">
        <v>1426</v>
      </c>
      <c r="F660" s="87" t="str">
        <f t="shared" si="20"/>
        <v>JOR OLWAN - 9</v>
      </c>
      <c r="G660" s="87" t="str">
        <f t="shared" si="21"/>
        <v>JOR9</v>
      </c>
    </row>
    <row r="661" spans="1:7" ht="15" hidden="1" customHeight="1" x14ac:dyDescent="0.35">
      <c r="A661" s="87">
        <v>10</v>
      </c>
      <c r="B661" s="87" t="s">
        <v>285</v>
      </c>
      <c r="C661" s="88" t="s">
        <v>1440</v>
      </c>
      <c r="D661" s="88" t="s">
        <v>1441</v>
      </c>
      <c r="E661" s="87" t="s">
        <v>1426</v>
      </c>
      <c r="F661" s="87" t="str">
        <f t="shared" si="20"/>
        <v>JOR ALTAMARI - 10</v>
      </c>
      <c r="G661" s="87" t="str">
        <f t="shared" si="21"/>
        <v>JOR10</v>
      </c>
    </row>
    <row r="662" spans="1:7" ht="15" hidden="1" customHeight="1" x14ac:dyDescent="0.35">
      <c r="A662" s="87">
        <v>11</v>
      </c>
      <c r="B662" s="87" t="s">
        <v>285</v>
      </c>
      <c r="C662" s="88" t="s">
        <v>1442</v>
      </c>
      <c r="D662" s="88" t="s">
        <v>1443</v>
      </c>
      <c r="E662" s="87" t="s">
        <v>1426</v>
      </c>
      <c r="F662" s="87" t="str">
        <f t="shared" si="20"/>
        <v>JOR FAKHOURY - 11</v>
      </c>
      <c r="G662" s="87" t="str">
        <f t="shared" si="21"/>
        <v>JOR11</v>
      </c>
    </row>
    <row r="663" spans="1:7" ht="15" hidden="1" customHeight="1" x14ac:dyDescent="0.35">
      <c r="A663" s="87">
        <v>12</v>
      </c>
      <c r="B663" s="87" t="s">
        <v>269</v>
      </c>
      <c r="C663" s="88" t="s">
        <v>1444</v>
      </c>
      <c r="D663" s="88" t="s">
        <v>1445</v>
      </c>
      <c r="E663" s="87" t="s">
        <v>1426</v>
      </c>
      <c r="F663" s="87" t="str">
        <f t="shared" si="20"/>
        <v>JOR (GK) BANIATEYAH - 12</v>
      </c>
      <c r="G663" s="87" t="str">
        <f t="shared" si="21"/>
        <v>JOR12</v>
      </c>
    </row>
    <row r="664" spans="1:7" ht="15" hidden="1" customHeight="1" x14ac:dyDescent="0.35">
      <c r="A664" s="87">
        <v>13</v>
      </c>
      <c r="B664" s="87" t="s">
        <v>285</v>
      </c>
      <c r="C664" s="88" t="s">
        <v>1036</v>
      </c>
      <c r="D664" s="88" t="s">
        <v>1446</v>
      </c>
      <c r="E664" s="87" t="s">
        <v>1426</v>
      </c>
      <c r="F664" s="87" t="str">
        <f t="shared" si="20"/>
        <v>JOR ALMARDI - 13</v>
      </c>
      <c r="G664" s="87" t="str">
        <f t="shared" si="21"/>
        <v>JOR13</v>
      </c>
    </row>
    <row r="665" spans="1:7" ht="15" hidden="1" customHeight="1" x14ac:dyDescent="0.35">
      <c r="A665" s="87">
        <v>14</v>
      </c>
      <c r="B665" s="87" t="s">
        <v>282</v>
      </c>
      <c r="C665" s="88" t="s">
        <v>1447</v>
      </c>
      <c r="D665" s="88" t="s">
        <v>1448</v>
      </c>
      <c r="E665" s="87" t="s">
        <v>1426</v>
      </c>
      <c r="F665" s="87" t="str">
        <f t="shared" si="20"/>
        <v>JOR AYED - 14</v>
      </c>
      <c r="G665" s="87" t="str">
        <f t="shared" si="21"/>
        <v>JOR14</v>
      </c>
    </row>
    <row r="666" spans="1:7" ht="15" hidden="1" customHeight="1" x14ac:dyDescent="0.35">
      <c r="A666" s="87">
        <v>15</v>
      </c>
      <c r="B666" s="87" t="s">
        <v>282</v>
      </c>
      <c r="C666" s="88" t="s">
        <v>316</v>
      </c>
      <c r="D666" s="88" t="s">
        <v>1449</v>
      </c>
      <c r="E666" s="87" t="s">
        <v>1426</v>
      </c>
      <c r="F666" s="87" t="str">
        <f t="shared" si="20"/>
        <v>JOR SADEH - 15</v>
      </c>
      <c r="G666" s="87" t="str">
        <f t="shared" si="21"/>
        <v>JOR15</v>
      </c>
    </row>
    <row r="667" spans="1:7" ht="15" hidden="1" customHeight="1" x14ac:dyDescent="0.35">
      <c r="A667" s="87">
        <v>16</v>
      </c>
      <c r="B667" s="87" t="s">
        <v>273</v>
      </c>
      <c r="C667" s="88" t="s">
        <v>1305</v>
      </c>
      <c r="D667" s="88" t="s">
        <v>1450</v>
      </c>
      <c r="E667" s="87" t="s">
        <v>1426</v>
      </c>
      <c r="F667" s="87" t="str">
        <f t="shared" si="20"/>
        <v>JOR ABUALNADI - 16</v>
      </c>
      <c r="G667" s="87" t="str">
        <f t="shared" si="21"/>
        <v>JOR16</v>
      </c>
    </row>
    <row r="668" spans="1:7" ht="15" hidden="1" customHeight="1" x14ac:dyDescent="0.35">
      <c r="A668" s="87">
        <v>17</v>
      </c>
      <c r="B668" s="87" t="s">
        <v>273</v>
      </c>
      <c r="C668" s="88" t="s">
        <v>1451</v>
      </c>
      <c r="D668" s="88" t="s">
        <v>1452</v>
      </c>
      <c r="E668" s="87" t="s">
        <v>1426</v>
      </c>
      <c r="F668" s="87" t="str">
        <f t="shared" si="20"/>
        <v>JOR OBAID - 17</v>
      </c>
      <c r="G668" s="87" t="str">
        <f t="shared" si="21"/>
        <v>JOR17</v>
      </c>
    </row>
    <row r="669" spans="1:7" ht="15" hidden="1" customHeight="1" x14ac:dyDescent="0.35">
      <c r="A669" s="87">
        <v>18</v>
      </c>
      <c r="B669" s="87" t="s">
        <v>285</v>
      </c>
      <c r="C669" s="88" t="s">
        <v>316</v>
      </c>
      <c r="D669" s="88" t="s">
        <v>1453</v>
      </c>
      <c r="E669" s="87" t="s">
        <v>1426</v>
      </c>
      <c r="F669" s="87" t="str">
        <f t="shared" si="20"/>
        <v>JOR SABRA - 18</v>
      </c>
      <c r="G669" s="87" t="str">
        <f t="shared" si="21"/>
        <v>JOR18</v>
      </c>
    </row>
    <row r="670" spans="1:7" ht="15" hidden="1" customHeight="1" x14ac:dyDescent="0.35">
      <c r="A670" s="87">
        <v>19</v>
      </c>
      <c r="B670" s="87" t="s">
        <v>273</v>
      </c>
      <c r="C670" s="88" t="s">
        <v>1454</v>
      </c>
      <c r="D670" s="88" t="s">
        <v>1455</v>
      </c>
      <c r="E670" s="87" t="s">
        <v>1426</v>
      </c>
      <c r="F670" s="87" t="str">
        <f t="shared" si="20"/>
        <v>JOR ALROSAN - 19</v>
      </c>
      <c r="G670" s="87" t="str">
        <f t="shared" si="21"/>
        <v>JOR19</v>
      </c>
    </row>
    <row r="671" spans="1:7" ht="15" hidden="1" customHeight="1" x14ac:dyDescent="0.35">
      <c r="A671" s="87">
        <v>20</v>
      </c>
      <c r="B671" s="87" t="s">
        <v>282</v>
      </c>
      <c r="C671" s="88" t="s">
        <v>1456</v>
      </c>
      <c r="D671" s="88" t="s">
        <v>1457</v>
      </c>
      <c r="E671" s="87" t="s">
        <v>1426</v>
      </c>
      <c r="F671" s="87" t="str">
        <f t="shared" si="20"/>
        <v>JOR ABUTAHA - 20</v>
      </c>
      <c r="G671" s="87" t="str">
        <f t="shared" si="21"/>
        <v>JOR20</v>
      </c>
    </row>
    <row r="672" spans="1:7" ht="15" hidden="1" customHeight="1" x14ac:dyDescent="0.35">
      <c r="A672" s="87">
        <v>21</v>
      </c>
      <c r="B672" s="87" t="s">
        <v>282</v>
      </c>
      <c r="C672" s="88" t="s">
        <v>1458</v>
      </c>
      <c r="D672" s="88" t="s">
        <v>1459</v>
      </c>
      <c r="E672" s="87" t="s">
        <v>1426</v>
      </c>
      <c r="F672" s="87" t="str">
        <f t="shared" si="20"/>
        <v>JOR ALRASHDAN - 21</v>
      </c>
      <c r="G672" s="87" t="str">
        <f t="shared" si="21"/>
        <v>JOR21</v>
      </c>
    </row>
    <row r="673" spans="1:7" ht="15" hidden="1" customHeight="1" x14ac:dyDescent="0.35">
      <c r="A673" s="87">
        <v>22</v>
      </c>
      <c r="B673" s="87" t="s">
        <v>269</v>
      </c>
      <c r="C673" s="88" t="s">
        <v>1428</v>
      </c>
      <c r="D673" s="88" t="s">
        <v>1460</v>
      </c>
      <c r="E673" s="87" t="s">
        <v>1426</v>
      </c>
      <c r="F673" s="87" t="str">
        <f t="shared" si="20"/>
        <v>JOR (GK) ALFAKHORI - 22</v>
      </c>
      <c r="G673" s="87" t="str">
        <f t="shared" si="21"/>
        <v>JOR22</v>
      </c>
    </row>
    <row r="674" spans="1:7" ht="15" hidden="1" customHeight="1" x14ac:dyDescent="0.35">
      <c r="A674" s="87">
        <v>23</v>
      </c>
      <c r="B674" s="87" t="s">
        <v>273</v>
      </c>
      <c r="C674" s="88" t="s">
        <v>1296</v>
      </c>
      <c r="D674" s="88" t="s">
        <v>1461</v>
      </c>
      <c r="E674" s="87" t="s">
        <v>1426</v>
      </c>
      <c r="F674" s="87" t="str">
        <f t="shared" si="20"/>
        <v>JOR HADDAD - 23</v>
      </c>
      <c r="G674" s="87" t="str">
        <f t="shared" si="21"/>
        <v>JOR23</v>
      </c>
    </row>
    <row r="675" spans="1:7" ht="15" hidden="1" customHeight="1" x14ac:dyDescent="0.35">
      <c r="A675" s="87">
        <v>24</v>
      </c>
      <c r="B675" s="87" t="s">
        <v>285</v>
      </c>
      <c r="C675" s="88" t="s">
        <v>706</v>
      </c>
      <c r="D675" s="88" t="s">
        <v>1462</v>
      </c>
      <c r="E675" s="87" t="s">
        <v>1426</v>
      </c>
      <c r="F675" s="87" t="str">
        <f t="shared" si="20"/>
        <v>JOR AZAIZEH - 24</v>
      </c>
      <c r="G675" s="87" t="str">
        <f t="shared" si="21"/>
        <v>JOR24</v>
      </c>
    </row>
    <row r="676" spans="1:7" ht="15" hidden="1" customHeight="1" x14ac:dyDescent="0.35">
      <c r="A676" s="87">
        <v>25</v>
      </c>
      <c r="B676" s="87" t="s">
        <v>282</v>
      </c>
      <c r="C676" s="88" t="s">
        <v>1305</v>
      </c>
      <c r="D676" s="88" t="s">
        <v>1463</v>
      </c>
      <c r="E676" s="87" t="s">
        <v>1426</v>
      </c>
      <c r="F676" s="87" t="str">
        <f t="shared" si="20"/>
        <v>JOR ALDAOUD - 25</v>
      </c>
      <c r="G676" s="87" t="str">
        <f t="shared" si="21"/>
        <v>JOR25</v>
      </c>
    </row>
    <row r="677" spans="1:7" ht="15" hidden="1" customHeight="1" x14ac:dyDescent="0.35">
      <c r="A677" s="87">
        <v>26</v>
      </c>
      <c r="B677" s="87" t="s">
        <v>273</v>
      </c>
      <c r="C677" s="88" t="s">
        <v>1464</v>
      </c>
      <c r="D677" s="88" t="s">
        <v>1465</v>
      </c>
      <c r="E677" s="87" t="s">
        <v>1426</v>
      </c>
      <c r="F677" s="87" t="str">
        <f t="shared" si="20"/>
        <v>JOR BADAWI - 26</v>
      </c>
      <c r="G677" s="87" t="str">
        <f t="shared" si="21"/>
        <v>JOR26</v>
      </c>
    </row>
    <row r="678" spans="1:7" ht="15" hidden="1" customHeight="1" x14ac:dyDescent="0.35">
      <c r="A678" s="89">
        <v>1</v>
      </c>
      <c r="B678" s="89" t="s">
        <v>269</v>
      </c>
      <c r="C678" s="90" t="s">
        <v>1466</v>
      </c>
      <c r="D678" s="90" t="s">
        <v>1467</v>
      </c>
      <c r="E678" s="89" t="s">
        <v>1468</v>
      </c>
      <c r="F678" s="89" t="str">
        <f t="shared" si="20"/>
        <v>KOR (GK) KIM - 1</v>
      </c>
      <c r="G678" s="89" t="str">
        <f t="shared" si="21"/>
        <v>KOR1</v>
      </c>
    </row>
    <row r="679" spans="1:7" ht="15" hidden="1" customHeight="1" x14ac:dyDescent="0.35">
      <c r="A679" s="89">
        <v>2</v>
      </c>
      <c r="B679" s="89" t="s">
        <v>273</v>
      </c>
      <c r="C679" s="90" t="s">
        <v>1469</v>
      </c>
      <c r="D679" s="90" t="s">
        <v>1470</v>
      </c>
      <c r="E679" s="89" t="s">
        <v>1468</v>
      </c>
      <c r="F679" s="89" t="str">
        <f t="shared" si="20"/>
        <v>KOR LEE - 2</v>
      </c>
      <c r="G679" s="89" t="str">
        <f t="shared" si="21"/>
        <v>KOR2</v>
      </c>
    </row>
    <row r="680" spans="1:7" ht="15" hidden="1" customHeight="1" x14ac:dyDescent="0.35">
      <c r="A680" s="89">
        <v>3</v>
      </c>
      <c r="B680" s="89" t="s">
        <v>282</v>
      </c>
      <c r="C680" s="90" t="s">
        <v>1471</v>
      </c>
      <c r="D680" s="90" t="s">
        <v>1470</v>
      </c>
      <c r="E680" s="89" t="s">
        <v>1468</v>
      </c>
      <c r="F680" s="89" t="str">
        <f t="shared" si="20"/>
        <v>KOR LEE - 3</v>
      </c>
      <c r="G680" s="89" t="str">
        <f t="shared" si="21"/>
        <v>KOR3</v>
      </c>
    </row>
    <row r="681" spans="1:7" ht="15" hidden="1" customHeight="1" x14ac:dyDescent="0.35">
      <c r="A681" s="89">
        <v>4</v>
      </c>
      <c r="B681" s="89" t="s">
        <v>273</v>
      </c>
      <c r="C681" s="90" t="s">
        <v>1472</v>
      </c>
      <c r="D681" s="90" t="s">
        <v>1467</v>
      </c>
      <c r="E681" s="89" t="s">
        <v>1468</v>
      </c>
      <c r="F681" s="89" t="str">
        <f t="shared" si="20"/>
        <v>KOR KIM - 4</v>
      </c>
      <c r="G681" s="89" t="str">
        <f t="shared" si="21"/>
        <v>KOR4</v>
      </c>
    </row>
    <row r="682" spans="1:7" ht="15" hidden="1" customHeight="1" x14ac:dyDescent="0.35">
      <c r="A682" s="89">
        <v>5</v>
      </c>
      <c r="B682" s="89" t="s">
        <v>273</v>
      </c>
      <c r="C682" s="90" t="s">
        <v>1473</v>
      </c>
      <c r="D682" s="90" t="s">
        <v>1467</v>
      </c>
      <c r="E682" s="89" t="s">
        <v>1468</v>
      </c>
      <c r="F682" s="89" t="str">
        <f t="shared" si="20"/>
        <v>KOR KIM - 5</v>
      </c>
      <c r="G682" s="89" t="str">
        <f t="shared" si="21"/>
        <v>KOR5</v>
      </c>
    </row>
    <row r="683" spans="1:7" ht="15" hidden="1" customHeight="1" x14ac:dyDescent="0.35">
      <c r="A683" s="89">
        <v>6</v>
      </c>
      <c r="B683" s="89" t="s">
        <v>282</v>
      </c>
      <c r="C683" s="90" t="s">
        <v>1474</v>
      </c>
      <c r="D683" s="90" t="s">
        <v>1475</v>
      </c>
      <c r="E683" s="89" t="s">
        <v>1468</v>
      </c>
      <c r="F683" s="89" t="str">
        <f t="shared" si="20"/>
        <v>KOR HWANG - 6</v>
      </c>
      <c r="G683" s="89" t="str">
        <f t="shared" si="21"/>
        <v>KOR6</v>
      </c>
    </row>
    <row r="684" spans="1:7" ht="15" hidden="1" customHeight="1" x14ac:dyDescent="0.35">
      <c r="A684" s="89">
        <v>7</v>
      </c>
      <c r="B684" s="89" t="s">
        <v>285</v>
      </c>
      <c r="C684" s="90" t="s">
        <v>1476</v>
      </c>
      <c r="D684" s="90" t="s">
        <v>1477</v>
      </c>
      <c r="E684" s="89" t="s">
        <v>1468</v>
      </c>
      <c r="F684" s="89" t="str">
        <f t="shared" si="20"/>
        <v>KOR SON - 7</v>
      </c>
      <c r="G684" s="89" t="str">
        <f t="shared" si="21"/>
        <v>KOR7</v>
      </c>
    </row>
    <row r="685" spans="1:7" ht="15" hidden="1" customHeight="1" x14ac:dyDescent="0.35">
      <c r="A685" s="89">
        <v>8</v>
      </c>
      <c r="B685" s="89" t="s">
        <v>282</v>
      </c>
      <c r="C685" s="90" t="s">
        <v>1478</v>
      </c>
      <c r="D685" s="90" t="s">
        <v>1479</v>
      </c>
      <c r="E685" s="89" t="s">
        <v>1468</v>
      </c>
      <c r="F685" s="89" t="str">
        <f t="shared" si="20"/>
        <v>KOR PAIK - 8</v>
      </c>
      <c r="G685" s="89" t="str">
        <f t="shared" si="21"/>
        <v>KOR8</v>
      </c>
    </row>
    <row r="686" spans="1:7" ht="15" hidden="1" customHeight="1" x14ac:dyDescent="0.35">
      <c r="A686" s="89">
        <v>9</v>
      </c>
      <c r="B686" s="89" t="s">
        <v>285</v>
      </c>
      <c r="C686" s="90" t="s">
        <v>1480</v>
      </c>
      <c r="D686" s="90" t="s">
        <v>1481</v>
      </c>
      <c r="E686" s="89" t="s">
        <v>1468</v>
      </c>
      <c r="F686" s="89" t="str">
        <f t="shared" si="20"/>
        <v>KOR CHO - 9</v>
      </c>
      <c r="G686" s="89" t="str">
        <f t="shared" si="21"/>
        <v>KOR9</v>
      </c>
    </row>
    <row r="687" spans="1:7" ht="15" hidden="1" customHeight="1" x14ac:dyDescent="0.35">
      <c r="A687" s="89">
        <v>10</v>
      </c>
      <c r="B687" s="89" t="s">
        <v>282</v>
      </c>
      <c r="C687" s="90" t="s">
        <v>1482</v>
      </c>
      <c r="D687" s="90" t="s">
        <v>1470</v>
      </c>
      <c r="E687" s="89" t="s">
        <v>1468</v>
      </c>
      <c r="F687" s="89" t="str">
        <f t="shared" si="20"/>
        <v>KOR LEE - 10</v>
      </c>
      <c r="G687" s="89" t="str">
        <f t="shared" si="21"/>
        <v>KOR10</v>
      </c>
    </row>
    <row r="688" spans="1:7" ht="15" hidden="1" customHeight="1" x14ac:dyDescent="0.35">
      <c r="A688" s="89">
        <v>11</v>
      </c>
      <c r="B688" s="89" t="s">
        <v>282</v>
      </c>
      <c r="C688" s="90" t="s">
        <v>1483</v>
      </c>
      <c r="D688" s="90" t="s">
        <v>1475</v>
      </c>
      <c r="E688" s="89" t="s">
        <v>1468</v>
      </c>
      <c r="F688" s="89" t="str">
        <f t="shared" si="20"/>
        <v>KOR HWANG - 11</v>
      </c>
      <c r="G688" s="89" t="str">
        <f t="shared" si="21"/>
        <v>KOR11</v>
      </c>
    </row>
    <row r="689" spans="1:7" ht="15" hidden="1" customHeight="1" x14ac:dyDescent="0.35">
      <c r="A689" s="89">
        <v>12</v>
      </c>
      <c r="B689" s="89" t="s">
        <v>269</v>
      </c>
      <c r="C689" s="90" t="s">
        <v>1484</v>
      </c>
      <c r="D689" s="90" t="s">
        <v>1485</v>
      </c>
      <c r="E689" s="89" t="s">
        <v>1468</v>
      </c>
      <c r="F689" s="89" t="str">
        <f t="shared" si="20"/>
        <v>KOR (GK) SONG - 12</v>
      </c>
      <c r="G689" s="89" t="str">
        <f t="shared" si="21"/>
        <v>KOR12</v>
      </c>
    </row>
    <row r="690" spans="1:7" ht="15" hidden="1" customHeight="1" x14ac:dyDescent="0.35">
      <c r="A690" s="89">
        <v>13</v>
      </c>
      <c r="B690" s="89" t="s">
        <v>273</v>
      </c>
      <c r="C690" s="90" t="s">
        <v>1486</v>
      </c>
      <c r="D690" s="90" t="s">
        <v>1470</v>
      </c>
      <c r="E690" s="89" t="s">
        <v>1468</v>
      </c>
      <c r="F690" s="89" t="str">
        <f t="shared" si="20"/>
        <v>KOR LEE - 13</v>
      </c>
      <c r="G690" s="89" t="str">
        <f t="shared" si="21"/>
        <v>KOR13</v>
      </c>
    </row>
    <row r="691" spans="1:7" ht="15" hidden="1" customHeight="1" x14ac:dyDescent="0.35">
      <c r="A691" s="89">
        <v>14</v>
      </c>
      <c r="B691" s="89" t="s">
        <v>273</v>
      </c>
      <c r="C691" s="90" t="s">
        <v>1487</v>
      </c>
      <c r="D691" s="90" t="s">
        <v>1481</v>
      </c>
      <c r="E691" s="89" t="s">
        <v>1468</v>
      </c>
      <c r="F691" s="89" t="str">
        <f t="shared" si="20"/>
        <v>KOR CHO - 14</v>
      </c>
      <c r="G691" s="89" t="str">
        <f t="shared" si="21"/>
        <v>KOR14</v>
      </c>
    </row>
    <row r="692" spans="1:7" ht="15" hidden="1" customHeight="1" x14ac:dyDescent="0.35">
      <c r="A692" s="89">
        <v>15</v>
      </c>
      <c r="B692" s="89" t="s">
        <v>273</v>
      </c>
      <c r="C692" s="90" t="s">
        <v>1488</v>
      </c>
      <c r="D692" s="90" t="s">
        <v>1467</v>
      </c>
      <c r="E692" s="89" t="s">
        <v>1468</v>
      </c>
      <c r="F692" s="89" t="str">
        <f t="shared" si="20"/>
        <v>KOR KIM - 15</v>
      </c>
      <c r="G692" s="89" t="str">
        <f t="shared" si="21"/>
        <v>KOR15</v>
      </c>
    </row>
    <row r="693" spans="1:7" ht="15" hidden="1" customHeight="1" x14ac:dyDescent="0.35">
      <c r="A693" s="89">
        <v>16</v>
      </c>
      <c r="B693" s="89" t="s">
        <v>273</v>
      </c>
      <c r="C693" s="90" t="s">
        <v>1489</v>
      </c>
      <c r="D693" s="90" t="s">
        <v>1490</v>
      </c>
      <c r="E693" s="89" t="s">
        <v>1468</v>
      </c>
      <c r="F693" s="89" t="str">
        <f t="shared" si="20"/>
        <v>KOR PARK - 16</v>
      </c>
      <c r="G693" s="89" t="str">
        <f t="shared" si="21"/>
        <v>KOR16</v>
      </c>
    </row>
    <row r="694" spans="1:7" ht="15" hidden="1" customHeight="1" x14ac:dyDescent="0.35">
      <c r="A694" s="89">
        <v>17</v>
      </c>
      <c r="B694" s="89" t="s">
        <v>282</v>
      </c>
      <c r="C694" s="90" t="s">
        <v>1491</v>
      </c>
      <c r="D694" s="90" t="s">
        <v>1492</v>
      </c>
      <c r="E694" s="89" t="s">
        <v>1468</v>
      </c>
      <c r="F694" s="89" t="str">
        <f t="shared" si="20"/>
        <v>KOR BAE - 17</v>
      </c>
      <c r="G694" s="89" t="str">
        <f t="shared" si="21"/>
        <v>KOR17</v>
      </c>
    </row>
    <row r="695" spans="1:7" ht="15" hidden="1" customHeight="1" x14ac:dyDescent="0.35">
      <c r="A695" s="89">
        <v>18</v>
      </c>
      <c r="B695" s="89" t="s">
        <v>285</v>
      </c>
      <c r="C695" s="90" t="s">
        <v>1493</v>
      </c>
      <c r="D695" s="90" t="s">
        <v>1494</v>
      </c>
      <c r="E695" s="89" t="s">
        <v>1468</v>
      </c>
      <c r="F695" s="89" t="str">
        <f t="shared" si="20"/>
        <v>KOR OH - 18</v>
      </c>
      <c r="G695" s="89" t="str">
        <f t="shared" si="21"/>
        <v>KOR18</v>
      </c>
    </row>
    <row r="696" spans="1:7" ht="15" hidden="1" customHeight="1" x14ac:dyDescent="0.35">
      <c r="A696" s="89">
        <v>19</v>
      </c>
      <c r="B696" s="89" t="s">
        <v>282</v>
      </c>
      <c r="C696" s="90" t="s">
        <v>1495</v>
      </c>
      <c r="D696" s="90" t="s">
        <v>1470</v>
      </c>
      <c r="E696" s="89" t="s">
        <v>1468</v>
      </c>
      <c r="F696" s="89" t="str">
        <f t="shared" si="20"/>
        <v>KOR LEE - 19</v>
      </c>
      <c r="G696" s="89" t="str">
        <f t="shared" si="21"/>
        <v>KOR19</v>
      </c>
    </row>
    <row r="697" spans="1:7" ht="15" hidden="1" customHeight="1" x14ac:dyDescent="0.35">
      <c r="A697" s="89">
        <v>20</v>
      </c>
      <c r="B697" s="89" t="s">
        <v>282</v>
      </c>
      <c r="C697" s="90" t="s">
        <v>1496</v>
      </c>
      <c r="D697" s="90" t="s">
        <v>1497</v>
      </c>
      <c r="E697" s="89" t="s">
        <v>1468</v>
      </c>
      <c r="F697" s="89" t="str">
        <f t="shared" si="20"/>
        <v>KOR YANG - 20</v>
      </c>
      <c r="G697" s="89" t="str">
        <f t="shared" si="21"/>
        <v>KOR20</v>
      </c>
    </row>
    <row r="698" spans="1:7" ht="15" hidden="1" customHeight="1" x14ac:dyDescent="0.35">
      <c r="A698" s="89">
        <v>21</v>
      </c>
      <c r="B698" s="89" t="s">
        <v>269</v>
      </c>
      <c r="C698" s="90" t="s">
        <v>1498</v>
      </c>
      <c r="D698" s="90" t="s">
        <v>1499</v>
      </c>
      <c r="E698" s="89" t="s">
        <v>1468</v>
      </c>
      <c r="F698" s="89" t="str">
        <f t="shared" si="20"/>
        <v>KOR (GK) JO - 21</v>
      </c>
      <c r="G698" s="89" t="str">
        <f t="shared" si="21"/>
        <v>KOR21</v>
      </c>
    </row>
    <row r="699" spans="1:7" ht="15" hidden="1" customHeight="1" x14ac:dyDescent="0.35">
      <c r="A699" s="89">
        <v>22</v>
      </c>
      <c r="B699" s="89" t="s">
        <v>273</v>
      </c>
      <c r="C699" s="90" t="s">
        <v>1500</v>
      </c>
      <c r="D699" s="90" t="s">
        <v>1501</v>
      </c>
      <c r="E699" s="89" t="s">
        <v>1468</v>
      </c>
      <c r="F699" s="89" t="str">
        <f t="shared" si="20"/>
        <v>KOR SEOL - 22</v>
      </c>
      <c r="G699" s="89" t="str">
        <f t="shared" si="21"/>
        <v>KOR22</v>
      </c>
    </row>
    <row r="700" spans="1:7" ht="15" hidden="1" customHeight="1" x14ac:dyDescent="0.35">
      <c r="A700" s="89">
        <v>23</v>
      </c>
      <c r="B700" s="89" t="s">
        <v>273</v>
      </c>
      <c r="C700" s="90" t="s">
        <v>1502</v>
      </c>
      <c r="D700" s="90" t="s">
        <v>1503</v>
      </c>
      <c r="E700" s="89" t="s">
        <v>1468</v>
      </c>
      <c r="F700" s="89" t="str">
        <f t="shared" si="20"/>
        <v>KOR CASTROP - 23</v>
      </c>
      <c r="G700" s="89" t="str">
        <f t="shared" si="21"/>
        <v>KOR23</v>
      </c>
    </row>
    <row r="701" spans="1:7" ht="15" hidden="1" customHeight="1" x14ac:dyDescent="0.35">
      <c r="A701" s="89">
        <v>24</v>
      </c>
      <c r="B701" s="89" t="s">
        <v>282</v>
      </c>
      <c r="C701" s="90" t="s">
        <v>1504</v>
      </c>
      <c r="D701" s="90" t="s">
        <v>1467</v>
      </c>
      <c r="E701" s="89" t="s">
        <v>1468</v>
      </c>
      <c r="F701" s="89" t="str">
        <f t="shared" si="20"/>
        <v>KOR KIM - 24</v>
      </c>
      <c r="G701" s="89" t="str">
        <f t="shared" si="21"/>
        <v>KOR24</v>
      </c>
    </row>
    <row r="702" spans="1:7" ht="15" hidden="1" customHeight="1" x14ac:dyDescent="0.35">
      <c r="A702" s="89">
        <v>25</v>
      </c>
      <c r="B702" s="89" t="s">
        <v>282</v>
      </c>
      <c r="C702" s="90" t="s">
        <v>1505</v>
      </c>
      <c r="D702" s="90" t="s">
        <v>1506</v>
      </c>
      <c r="E702" s="89" t="s">
        <v>1468</v>
      </c>
      <c r="F702" s="89" t="str">
        <f t="shared" si="20"/>
        <v>KOR EOM - 25</v>
      </c>
      <c r="G702" s="89" t="str">
        <f t="shared" si="21"/>
        <v>KOR25</v>
      </c>
    </row>
    <row r="703" spans="1:7" ht="15" hidden="1" customHeight="1" x14ac:dyDescent="0.35">
      <c r="A703" s="89">
        <v>26</v>
      </c>
      <c r="B703" s="89" t="s">
        <v>282</v>
      </c>
      <c r="C703" s="90" t="s">
        <v>1507</v>
      </c>
      <c r="D703" s="90" t="s">
        <v>1470</v>
      </c>
      <c r="E703" s="89" t="s">
        <v>1468</v>
      </c>
      <c r="F703" s="89" t="str">
        <f t="shared" si="20"/>
        <v>KOR LEE - 26</v>
      </c>
      <c r="G703" s="89" t="str">
        <f t="shared" si="21"/>
        <v>KOR26</v>
      </c>
    </row>
    <row r="704" spans="1:7" ht="15" hidden="1" customHeight="1" x14ac:dyDescent="0.35">
      <c r="A704" s="91">
        <v>1</v>
      </c>
      <c r="B704" s="91" t="s">
        <v>269</v>
      </c>
      <c r="C704" s="92" t="s">
        <v>1508</v>
      </c>
      <c r="D704" s="92" t="s">
        <v>1509</v>
      </c>
      <c r="E704" s="91" t="s">
        <v>1510</v>
      </c>
      <c r="F704" s="91" t="str">
        <f t="shared" si="20"/>
        <v>MEX (GK) RANGEL - 1</v>
      </c>
      <c r="G704" s="91" t="str">
        <f t="shared" si="21"/>
        <v>MEX1</v>
      </c>
    </row>
    <row r="705" spans="1:7" ht="15" hidden="1" customHeight="1" x14ac:dyDescent="0.35">
      <c r="A705" s="91">
        <v>2</v>
      </c>
      <c r="B705" s="91" t="s">
        <v>273</v>
      </c>
      <c r="C705" s="92" t="s">
        <v>730</v>
      </c>
      <c r="D705" s="92" t="s">
        <v>756</v>
      </c>
      <c r="E705" s="91" t="s">
        <v>1510</v>
      </c>
      <c r="F705" s="91" t="str">
        <f t="shared" si="20"/>
        <v>MEX SANCHEZ - 2</v>
      </c>
      <c r="G705" s="91" t="str">
        <f t="shared" si="21"/>
        <v>MEX2</v>
      </c>
    </row>
    <row r="706" spans="1:7" ht="15" hidden="1" customHeight="1" x14ac:dyDescent="0.35">
      <c r="A706" s="91">
        <v>3</v>
      </c>
      <c r="B706" s="91" t="s">
        <v>273</v>
      </c>
      <c r="C706" s="92" t="s">
        <v>1511</v>
      </c>
      <c r="D706" s="92" t="s">
        <v>1512</v>
      </c>
      <c r="E706" s="91" t="s">
        <v>1510</v>
      </c>
      <c r="F706" s="91" t="str">
        <f t="shared" si="20"/>
        <v>MEX MONTES - 3</v>
      </c>
      <c r="G706" s="91" t="str">
        <f t="shared" si="21"/>
        <v>MEX3</v>
      </c>
    </row>
    <row r="707" spans="1:7" ht="15" hidden="1" customHeight="1" x14ac:dyDescent="0.35">
      <c r="A707" s="91">
        <v>4</v>
      </c>
      <c r="B707" s="91" t="s">
        <v>273</v>
      </c>
      <c r="C707" s="92" t="s">
        <v>1513</v>
      </c>
      <c r="D707" s="92" t="s">
        <v>343</v>
      </c>
      <c r="E707" s="91" t="s">
        <v>1510</v>
      </c>
      <c r="F707" s="91" t="str">
        <f t="shared" ref="F707:F770" si="22">IF(B707="GK", _xlfn.CONCAT(E707, " ","(",B707, ") ",D707, " - ", A707),  _xlfn.CONCAT(E707, " ",D707, " - ", A707))</f>
        <v>MEX ALVAREZ - 4</v>
      </c>
      <c r="G707" s="91" t="str">
        <f t="shared" ref="G707:G770" si="23">_xlfn.CONCAT(E707,A707)</f>
        <v>MEX4</v>
      </c>
    </row>
    <row r="708" spans="1:7" ht="15" hidden="1" customHeight="1" x14ac:dyDescent="0.35">
      <c r="A708" s="91">
        <v>5</v>
      </c>
      <c r="B708" s="91" t="s">
        <v>273</v>
      </c>
      <c r="C708" s="92" t="s">
        <v>744</v>
      </c>
      <c r="D708" s="92" t="s">
        <v>1514</v>
      </c>
      <c r="E708" s="91" t="s">
        <v>1510</v>
      </c>
      <c r="F708" s="91" t="str">
        <f t="shared" si="22"/>
        <v>MEX VASQUEZ - 5</v>
      </c>
      <c r="G708" s="91" t="str">
        <f t="shared" si="23"/>
        <v>MEX5</v>
      </c>
    </row>
    <row r="709" spans="1:7" ht="15" hidden="1" customHeight="1" x14ac:dyDescent="0.35">
      <c r="A709" s="91">
        <v>6</v>
      </c>
      <c r="B709" s="91" t="s">
        <v>282</v>
      </c>
      <c r="C709" s="92" t="s">
        <v>1515</v>
      </c>
      <c r="D709" s="92" t="s">
        <v>1516</v>
      </c>
      <c r="E709" s="91" t="s">
        <v>1510</v>
      </c>
      <c r="F709" s="91" t="str">
        <f t="shared" si="22"/>
        <v>MEX LIRA - 6</v>
      </c>
      <c r="G709" s="91" t="str">
        <f t="shared" si="23"/>
        <v>MEX6</v>
      </c>
    </row>
    <row r="710" spans="1:7" ht="15" hidden="1" customHeight="1" x14ac:dyDescent="0.35">
      <c r="A710" s="91">
        <v>7</v>
      </c>
      <c r="B710" s="91" t="s">
        <v>282</v>
      </c>
      <c r="C710" s="92" t="s">
        <v>728</v>
      </c>
      <c r="D710" s="92" t="s">
        <v>1517</v>
      </c>
      <c r="E710" s="91" t="s">
        <v>1510</v>
      </c>
      <c r="F710" s="91" t="str">
        <f t="shared" si="22"/>
        <v>MEX ROMO - 7</v>
      </c>
      <c r="G710" s="91" t="str">
        <f t="shared" si="23"/>
        <v>MEX7</v>
      </c>
    </row>
    <row r="711" spans="1:7" ht="15" hidden="1" customHeight="1" x14ac:dyDescent="0.35">
      <c r="A711" s="91">
        <v>8</v>
      </c>
      <c r="B711" s="91" t="s">
        <v>282</v>
      </c>
      <c r="C711" s="92" t="s">
        <v>757</v>
      </c>
      <c r="D711" s="92" t="s">
        <v>1518</v>
      </c>
      <c r="E711" s="91" t="s">
        <v>1510</v>
      </c>
      <c r="F711" s="91" t="str">
        <f t="shared" si="22"/>
        <v>MEX FIDALGO - 8</v>
      </c>
      <c r="G711" s="91" t="str">
        <f t="shared" si="23"/>
        <v>MEX8</v>
      </c>
    </row>
    <row r="712" spans="1:7" ht="15" hidden="1" customHeight="1" x14ac:dyDescent="0.35">
      <c r="A712" s="91">
        <v>9</v>
      </c>
      <c r="B712" s="91" t="s">
        <v>285</v>
      </c>
      <c r="C712" s="92" t="s">
        <v>1508</v>
      </c>
      <c r="D712" s="92" t="s">
        <v>1519</v>
      </c>
      <c r="E712" s="91" t="s">
        <v>1510</v>
      </c>
      <c r="F712" s="91" t="str">
        <f t="shared" si="22"/>
        <v>MEX JIMENEZ - 9</v>
      </c>
      <c r="G712" s="91" t="str">
        <f t="shared" si="23"/>
        <v>MEX9</v>
      </c>
    </row>
    <row r="713" spans="1:7" ht="15" hidden="1" customHeight="1" x14ac:dyDescent="0.35">
      <c r="A713" s="91">
        <v>10</v>
      </c>
      <c r="B713" s="91" t="s">
        <v>285</v>
      </c>
      <c r="C713" s="92" t="s">
        <v>362</v>
      </c>
      <c r="D713" s="92" t="s">
        <v>1520</v>
      </c>
      <c r="E713" s="91" t="s">
        <v>1510</v>
      </c>
      <c r="F713" s="91" t="str">
        <f t="shared" si="22"/>
        <v>MEX VEGA - 10</v>
      </c>
      <c r="G713" s="91" t="str">
        <f t="shared" si="23"/>
        <v>MEX10</v>
      </c>
    </row>
    <row r="714" spans="1:7" ht="15" hidden="1" customHeight="1" x14ac:dyDescent="0.35">
      <c r="A714" s="91">
        <v>11</v>
      </c>
      <c r="B714" s="91" t="s">
        <v>285</v>
      </c>
      <c r="C714" s="92" t="s">
        <v>723</v>
      </c>
      <c r="D714" s="92" t="s">
        <v>1521</v>
      </c>
      <c r="E714" s="91" t="s">
        <v>1510</v>
      </c>
      <c r="F714" s="91" t="str">
        <f t="shared" si="22"/>
        <v>MEX GIMENEZ - 11</v>
      </c>
      <c r="G714" s="91" t="str">
        <f t="shared" si="23"/>
        <v>MEX11</v>
      </c>
    </row>
    <row r="715" spans="1:7" ht="15" hidden="1" customHeight="1" x14ac:dyDescent="0.35">
      <c r="A715" s="91">
        <v>12</v>
      </c>
      <c r="B715" s="91" t="s">
        <v>269</v>
      </c>
      <c r="C715" s="92" t="s">
        <v>1522</v>
      </c>
      <c r="D715" s="92" t="s">
        <v>1523</v>
      </c>
      <c r="E715" s="91" t="s">
        <v>1510</v>
      </c>
      <c r="F715" s="91" t="str">
        <f t="shared" si="22"/>
        <v>MEX (GK) ACEVEDO - 12</v>
      </c>
      <c r="G715" s="91" t="str">
        <f t="shared" si="23"/>
        <v>MEX12</v>
      </c>
    </row>
    <row r="716" spans="1:7" ht="15" hidden="1" customHeight="1" x14ac:dyDescent="0.35">
      <c r="A716" s="91">
        <v>13</v>
      </c>
      <c r="B716" s="91" t="s">
        <v>269</v>
      </c>
      <c r="C716" s="92" t="s">
        <v>1524</v>
      </c>
      <c r="D716" s="92" t="s">
        <v>1525</v>
      </c>
      <c r="E716" s="91" t="s">
        <v>1510</v>
      </c>
      <c r="F716" s="91" t="str">
        <f t="shared" si="22"/>
        <v>MEX (GK) OCHOA - 13</v>
      </c>
      <c r="G716" s="91" t="str">
        <f t="shared" si="23"/>
        <v>MEX13</v>
      </c>
    </row>
    <row r="717" spans="1:7" ht="15" hidden="1" customHeight="1" x14ac:dyDescent="0.35">
      <c r="A717" s="91">
        <v>14</v>
      </c>
      <c r="B717" s="91" t="s">
        <v>285</v>
      </c>
      <c r="C717" s="92" t="s">
        <v>925</v>
      </c>
      <c r="D717" s="92" t="s">
        <v>355</v>
      </c>
      <c r="E717" s="91" t="s">
        <v>1510</v>
      </c>
      <c r="F717" s="91" t="str">
        <f t="shared" si="22"/>
        <v>MEX GONZALEZ - 14</v>
      </c>
      <c r="G717" s="91" t="str">
        <f t="shared" si="23"/>
        <v>MEX14</v>
      </c>
    </row>
    <row r="718" spans="1:7" ht="15" hidden="1" customHeight="1" x14ac:dyDescent="0.35">
      <c r="A718" s="91">
        <v>15</v>
      </c>
      <c r="B718" s="91" t="s">
        <v>273</v>
      </c>
      <c r="C718" s="92" t="s">
        <v>1526</v>
      </c>
      <c r="D718" s="92" t="s">
        <v>1527</v>
      </c>
      <c r="E718" s="91" t="s">
        <v>1510</v>
      </c>
      <c r="F718" s="91" t="str">
        <f t="shared" si="22"/>
        <v>MEX REYES - 15</v>
      </c>
      <c r="G718" s="91" t="str">
        <f t="shared" si="23"/>
        <v>MEX15</v>
      </c>
    </row>
    <row r="719" spans="1:7" ht="15" hidden="1" customHeight="1" x14ac:dyDescent="0.35">
      <c r="A719" s="91">
        <v>16</v>
      </c>
      <c r="B719" s="91" t="s">
        <v>285</v>
      </c>
      <c r="C719" s="92" t="s">
        <v>342</v>
      </c>
      <c r="D719" s="92" t="s">
        <v>1528</v>
      </c>
      <c r="E719" s="91" t="s">
        <v>1510</v>
      </c>
      <c r="F719" s="91" t="str">
        <f t="shared" si="22"/>
        <v>MEX QUINONES - 16</v>
      </c>
      <c r="G719" s="91" t="str">
        <f t="shared" si="23"/>
        <v>MEX16</v>
      </c>
    </row>
    <row r="720" spans="1:7" ht="15" hidden="1" customHeight="1" x14ac:dyDescent="0.35">
      <c r="A720" s="91">
        <v>17</v>
      </c>
      <c r="B720" s="91" t="s">
        <v>282</v>
      </c>
      <c r="C720" s="92" t="s">
        <v>1529</v>
      </c>
      <c r="D720" s="92" t="s">
        <v>1530</v>
      </c>
      <c r="E720" s="91" t="s">
        <v>1510</v>
      </c>
      <c r="F720" s="91" t="str">
        <f t="shared" si="22"/>
        <v>MEX PINEDA - 17</v>
      </c>
      <c r="G720" s="91" t="str">
        <f t="shared" si="23"/>
        <v>MEX17</v>
      </c>
    </row>
    <row r="721" spans="1:7" ht="15" hidden="1" customHeight="1" x14ac:dyDescent="0.35">
      <c r="A721" s="91">
        <v>18</v>
      </c>
      <c r="B721" s="91" t="s">
        <v>282</v>
      </c>
      <c r="C721" s="92" t="s">
        <v>1531</v>
      </c>
      <c r="D721" s="92" t="s">
        <v>736</v>
      </c>
      <c r="E721" s="91" t="s">
        <v>1510</v>
      </c>
      <c r="F721" s="91" t="str">
        <f t="shared" si="22"/>
        <v>MEX VARGAS - 18</v>
      </c>
      <c r="G721" s="91" t="str">
        <f t="shared" si="23"/>
        <v>MEX18</v>
      </c>
    </row>
    <row r="722" spans="1:7" ht="15" hidden="1" customHeight="1" x14ac:dyDescent="0.35">
      <c r="A722" s="91">
        <v>19</v>
      </c>
      <c r="B722" s="91" t="s">
        <v>282</v>
      </c>
      <c r="C722" s="92" t="s">
        <v>1532</v>
      </c>
      <c r="D722" s="92" t="s">
        <v>1533</v>
      </c>
      <c r="E722" s="91" t="s">
        <v>1510</v>
      </c>
      <c r="F722" s="91" t="str">
        <f t="shared" si="22"/>
        <v>MEX MORA - 19</v>
      </c>
      <c r="G722" s="91" t="str">
        <f t="shared" si="23"/>
        <v>MEX19</v>
      </c>
    </row>
    <row r="723" spans="1:7" ht="15" hidden="1" customHeight="1" x14ac:dyDescent="0.35">
      <c r="A723" s="91">
        <v>20</v>
      </c>
      <c r="B723" s="91" t="s">
        <v>273</v>
      </c>
      <c r="C723" s="92" t="s">
        <v>866</v>
      </c>
      <c r="D723" s="92" t="s">
        <v>1534</v>
      </c>
      <c r="E723" s="91" t="s">
        <v>1510</v>
      </c>
      <c r="F723" s="91" t="str">
        <f t="shared" si="22"/>
        <v>MEX CHAVEZ - 20</v>
      </c>
      <c r="G723" s="91" t="str">
        <f t="shared" si="23"/>
        <v>MEX20</v>
      </c>
    </row>
    <row r="724" spans="1:7" ht="15" hidden="1" customHeight="1" x14ac:dyDescent="0.35">
      <c r="A724" s="91">
        <v>21</v>
      </c>
      <c r="B724" s="91" t="s">
        <v>285</v>
      </c>
      <c r="C724" s="92" t="s">
        <v>1511</v>
      </c>
      <c r="D724" s="92" t="s">
        <v>1535</v>
      </c>
      <c r="E724" s="91" t="s">
        <v>1510</v>
      </c>
      <c r="F724" s="91" t="str">
        <f t="shared" si="22"/>
        <v>MEX HUERTA - 21</v>
      </c>
      <c r="G724" s="91" t="str">
        <f t="shared" si="23"/>
        <v>MEX21</v>
      </c>
    </row>
    <row r="725" spans="1:7" ht="15" hidden="1" customHeight="1" x14ac:dyDescent="0.35">
      <c r="A725" s="91">
        <v>22</v>
      </c>
      <c r="B725" s="91" t="s">
        <v>285</v>
      </c>
      <c r="C725" s="92" t="s">
        <v>1524</v>
      </c>
      <c r="D725" s="92" t="s">
        <v>337</v>
      </c>
      <c r="E725" s="91" t="s">
        <v>1510</v>
      </c>
      <c r="F725" s="91" t="str">
        <f t="shared" si="22"/>
        <v>MEX MARTINEZ - 22</v>
      </c>
      <c r="G725" s="91" t="str">
        <f t="shared" si="23"/>
        <v>MEX22</v>
      </c>
    </row>
    <row r="726" spans="1:7" ht="15" hidden="1" customHeight="1" x14ac:dyDescent="0.35">
      <c r="A726" s="91">
        <v>23</v>
      </c>
      <c r="B726" s="91" t="s">
        <v>273</v>
      </c>
      <c r="C726" s="92" t="s">
        <v>1536</v>
      </c>
      <c r="D726" s="92" t="s">
        <v>1537</v>
      </c>
      <c r="E726" s="91" t="s">
        <v>1510</v>
      </c>
      <c r="F726" s="91" t="str">
        <f t="shared" si="22"/>
        <v>MEX GALLARDO - 23</v>
      </c>
      <c r="G726" s="91" t="str">
        <f t="shared" si="23"/>
        <v>MEX23</v>
      </c>
    </row>
    <row r="727" spans="1:7" ht="15" hidden="1" customHeight="1" x14ac:dyDescent="0.35">
      <c r="A727" s="91">
        <v>24</v>
      </c>
      <c r="B727" s="91" t="s">
        <v>282</v>
      </c>
      <c r="C727" s="92" t="s">
        <v>728</v>
      </c>
      <c r="D727" s="92" t="s">
        <v>1534</v>
      </c>
      <c r="E727" s="91" t="s">
        <v>1510</v>
      </c>
      <c r="F727" s="91" t="str">
        <f t="shared" si="22"/>
        <v>MEX CHAVEZ - 24</v>
      </c>
      <c r="G727" s="91" t="str">
        <f t="shared" si="23"/>
        <v>MEX24</v>
      </c>
    </row>
    <row r="728" spans="1:7" ht="15" hidden="1" customHeight="1" x14ac:dyDescent="0.35">
      <c r="A728" s="91">
        <v>25</v>
      </c>
      <c r="B728" s="91" t="s">
        <v>285</v>
      </c>
      <c r="C728" s="92" t="s">
        <v>1538</v>
      </c>
      <c r="D728" s="92" t="s">
        <v>1539</v>
      </c>
      <c r="E728" s="91" t="s">
        <v>1510</v>
      </c>
      <c r="F728" s="91" t="str">
        <f t="shared" si="22"/>
        <v>MEX ALVARADO - 25</v>
      </c>
      <c r="G728" s="91" t="str">
        <f t="shared" si="23"/>
        <v>MEX25</v>
      </c>
    </row>
    <row r="729" spans="1:7" ht="15" hidden="1" customHeight="1" x14ac:dyDescent="0.35">
      <c r="A729" s="91">
        <v>26</v>
      </c>
      <c r="B729" s="91" t="s">
        <v>282</v>
      </c>
      <c r="C729" s="92" t="s">
        <v>777</v>
      </c>
      <c r="D729" s="92" t="s">
        <v>1540</v>
      </c>
      <c r="E729" s="91" t="s">
        <v>1510</v>
      </c>
      <c r="F729" s="91" t="str">
        <f t="shared" si="22"/>
        <v>MEX GUTIERREZ - 26</v>
      </c>
      <c r="G729" s="91" t="str">
        <f t="shared" si="23"/>
        <v>MEX26</v>
      </c>
    </row>
    <row r="730" spans="1:7" ht="15" hidden="1" customHeight="1" x14ac:dyDescent="0.35">
      <c r="A730" s="93">
        <v>1</v>
      </c>
      <c r="B730" s="93" t="s">
        <v>269</v>
      </c>
      <c r="C730" s="94" t="s">
        <v>320</v>
      </c>
      <c r="D730" s="94" t="s">
        <v>1541</v>
      </c>
      <c r="E730" s="93" t="s">
        <v>1542</v>
      </c>
      <c r="F730" s="93" t="str">
        <f t="shared" si="22"/>
        <v>MAR (GK) BOUNOU - 1</v>
      </c>
      <c r="G730" s="93" t="str">
        <f t="shared" si="23"/>
        <v>MAR1</v>
      </c>
    </row>
    <row r="731" spans="1:7" ht="15" hidden="1" customHeight="1" x14ac:dyDescent="0.35">
      <c r="A731" s="93">
        <v>2</v>
      </c>
      <c r="B731" s="93" t="s">
        <v>273</v>
      </c>
      <c r="C731" s="94" t="s">
        <v>276</v>
      </c>
      <c r="D731" s="94" t="s">
        <v>1543</v>
      </c>
      <c r="E731" s="93" t="s">
        <v>1542</v>
      </c>
      <c r="F731" s="93" t="str">
        <f t="shared" si="22"/>
        <v>MAR HAKIMI - 2</v>
      </c>
      <c r="G731" s="93" t="str">
        <f t="shared" si="23"/>
        <v>MAR2</v>
      </c>
    </row>
    <row r="732" spans="1:7" ht="15" hidden="1" customHeight="1" x14ac:dyDescent="0.35">
      <c r="A732" s="93">
        <v>3</v>
      </c>
      <c r="B732" s="93" t="s">
        <v>273</v>
      </c>
      <c r="C732" s="94" t="s">
        <v>1544</v>
      </c>
      <c r="D732" s="94" t="s">
        <v>1545</v>
      </c>
      <c r="E732" s="93" t="s">
        <v>1542</v>
      </c>
      <c r="F732" s="93" t="str">
        <f t="shared" si="22"/>
        <v>MAR MAZRAOUI - 3</v>
      </c>
      <c r="G732" s="93" t="str">
        <f t="shared" si="23"/>
        <v>MAR3</v>
      </c>
    </row>
    <row r="733" spans="1:7" ht="15" hidden="1" customHeight="1" x14ac:dyDescent="0.35">
      <c r="A733" s="93">
        <v>4</v>
      </c>
      <c r="B733" s="93" t="s">
        <v>282</v>
      </c>
      <c r="C733" s="94" t="s">
        <v>1546</v>
      </c>
      <c r="D733" s="94" t="s">
        <v>1547</v>
      </c>
      <c r="E733" s="93" t="s">
        <v>1542</v>
      </c>
      <c r="F733" s="93" t="str">
        <f t="shared" si="22"/>
        <v>MAR AMRABAT - 4</v>
      </c>
      <c r="G733" s="93" t="str">
        <f t="shared" si="23"/>
        <v>MAR4</v>
      </c>
    </row>
    <row r="734" spans="1:7" ht="15" hidden="1" customHeight="1" x14ac:dyDescent="0.35">
      <c r="A734" s="93">
        <v>5</v>
      </c>
      <c r="B734" s="93" t="s">
        <v>273</v>
      </c>
      <c r="C734" s="94" t="s">
        <v>1548</v>
      </c>
      <c r="D734" s="94" t="s">
        <v>1549</v>
      </c>
      <c r="E734" s="93" t="s">
        <v>1542</v>
      </c>
      <c r="F734" s="93" t="str">
        <f t="shared" si="22"/>
        <v>MAR AGUERD - 5</v>
      </c>
      <c r="G734" s="93" t="str">
        <f t="shared" si="23"/>
        <v>MAR5</v>
      </c>
    </row>
    <row r="735" spans="1:7" ht="15" hidden="1" customHeight="1" x14ac:dyDescent="0.35">
      <c r="A735" s="93">
        <v>6</v>
      </c>
      <c r="B735" s="93" t="s">
        <v>282</v>
      </c>
      <c r="C735" s="94" t="s">
        <v>1550</v>
      </c>
      <c r="D735" s="94" t="s">
        <v>1551</v>
      </c>
      <c r="E735" s="93" t="s">
        <v>1542</v>
      </c>
      <c r="F735" s="93" t="str">
        <f t="shared" si="22"/>
        <v>MAR BOUADDI - 6</v>
      </c>
      <c r="G735" s="93" t="str">
        <f t="shared" si="23"/>
        <v>MAR6</v>
      </c>
    </row>
    <row r="736" spans="1:7" ht="15" hidden="1" customHeight="1" x14ac:dyDescent="0.35">
      <c r="A736" s="93">
        <v>7</v>
      </c>
      <c r="B736" s="93" t="s">
        <v>282</v>
      </c>
      <c r="C736" s="94" t="s">
        <v>1552</v>
      </c>
      <c r="D736" s="94" t="s">
        <v>1553</v>
      </c>
      <c r="E736" s="93" t="s">
        <v>1542</v>
      </c>
      <c r="F736" s="93" t="str">
        <f t="shared" si="22"/>
        <v>MAR TALBI - 7</v>
      </c>
      <c r="G736" s="93" t="str">
        <f t="shared" si="23"/>
        <v>MAR7</v>
      </c>
    </row>
    <row r="737" spans="1:7" ht="15" hidden="1" customHeight="1" x14ac:dyDescent="0.35">
      <c r="A737" s="93">
        <v>8</v>
      </c>
      <c r="B737" s="93" t="s">
        <v>282</v>
      </c>
      <c r="C737" s="94" t="s">
        <v>1554</v>
      </c>
      <c r="D737" s="94" t="s">
        <v>1555</v>
      </c>
      <c r="E737" s="93" t="s">
        <v>1542</v>
      </c>
      <c r="F737" s="93" t="str">
        <f t="shared" si="22"/>
        <v>MAR OUNAHI - 8</v>
      </c>
      <c r="G737" s="93" t="str">
        <f t="shared" si="23"/>
        <v>MAR8</v>
      </c>
    </row>
    <row r="738" spans="1:7" ht="15" hidden="1" customHeight="1" x14ac:dyDescent="0.35">
      <c r="A738" s="93">
        <v>9</v>
      </c>
      <c r="B738" s="93" t="s">
        <v>285</v>
      </c>
      <c r="C738" s="94" t="s">
        <v>1556</v>
      </c>
      <c r="D738" s="94" t="s">
        <v>1557</v>
      </c>
      <c r="E738" s="93" t="s">
        <v>1542</v>
      </c>
      <c r="F738" s="93" t="str">
        <f t="shared" si="22"/>
        <v>MAR RAHIMI - 9</v>
      </c>
      <c r="G738" s="93" t="str">
        <f t="shared" si="23"/>
        <v>MAR9</v>
      </c>
    </row>
    <row r="739" spans="1:7" ht="15" hidden="1" customHeight="1" x14ac:dyDescent="0.35">
      <c r="A739" s="93">
        <v>10</v>
      </c>
      <c r="B739" s="93" t="s">
        <v>285</v>
      </c>
      <c r="C739" s="94" t="s">
        <v>1558</v>
      </c>
      <c r="D739" s="94" t="s">
        <v>729</v>
      </c>
      <c r="E739" s="93" t="s">
        <v>1542</v>
      </c>
      <c r="F739" s="93" t="str">
        <f t="shared" si="22"/>
        <v>MAR DIAZ - 10</v>
      </c>
      <c r="G739" s="93" t="str">
        <f t="shared" si="23"/>
        <v>MAR10</v>
      </c>
    </row>
    <row r="740" spans="1:7" ht="15" hidden="1" customHeight="1" x14ac:dyDescent="0.35">
      <c r="A740" s="93">
        <v>11</v>
      </c>
      <c r="B740" s="93" t="s">
        <v>282</v>
      </c>
      <c r="C740" s="94" t="s">
        <v>683</v>
      </c>
      <c r="D740" s="94" t="s">
        <v>1559</v>
      </c>
      <c r="E740" s="93" t="s">
        <v>1542</v>
      </c>
      <c r="F740" s="93" t="str">
        <f t="shared" si="22"/>
        <v>MAR SAIBARI - 11</v>
      </c>
      <c r="G740" s="93" t="str">
        <f t="shared" si="23"/>
        <v>MAR11</v>
      </c>
    </row>
    <row r="741" spans="1:7" ht="15" hidden="1" customHeight="1" x14ac:dyDescent="0.35">
      <c r="A741" s="93">
        <v>12</v>
      </c>
      <c r="B741" s="93" t="s">
        <v>269</v>
      </c>
      <c r="C741" s="94" t="s">
        <v>1560</v>
      </c>
      <c r="D741" s="94" t="s">
        <v>1561</v>
      </c>
      <c r="E741" s="93" t="s">
        <v>1542</v>
      </c>
      <c r="F741" s="93" t="str">
        <f t="shared" si="22"/>
        <v>MAR (GK) EL KAJOUI - 12</v>
      </c>
      <c r="G741" s="93" t="str">
        <f t="shared" si="23"/>
        <v>MAR12</v>
      </c>
    </row>
    <row r="742" spans="1:7" ht="15" hidden="1" customHeight="1" x14ac:dyDescent="0.35">
      <c r="A742" s="93">
        <v>13</v>
      </c>
      <c r="B742" s="93" t="s">
        <v>273</v>
      </c>
      <c r="C742" s="94" t="s">
        <v>1562</v>
      </c>
      <c r="D742" s="94" t="s">
        <v>1563</v>
      </c>
      <c r="E742" s="93" t="s">
        <v>1542</v>
      </c>
      <c r="F742" s="93" t="str">
        <f t="shared" si="22"/>
        <v>MAR EL OUAHDI - 13</v>
      </c>
      <c r="G742" s="93" t="str">
        <f t="shared" si="23"/>
        <v>MAR13</v>
      </c>
    </row>
    <row r="743" spans="1:7" ht="15" hidden="1" customHeight="1" x14ac:dyDescent="0.35">
      <c r="A743" s="93">
        <v>14</v>
      </c>
      <c r="B743" s="93" t="s">
        <v>273</v>
      </c>
      <c r="C743" s="94" t="s">
        <v>1564</v>
      </c>
      <c r="D743" s="94" t="s">
        <v>1565</v>
      </c>
      <c r="E743" s="93" t="s">
        <v>1542</v>
      </c>
      <c r="F743" s="93" t="str">
        <f t="shared" si="22"/>
        <v>MAR DIOP - 14</v>
      </c>
      <c r="G743" s="93" t="str">
        <f t="shared" si="23"/>
        <v>MAR14</v>
      </c>
    </row>
    <row r="744" spans="1:7" ht="15" hidden="1" customHeight="1" x14ac:dyDescent="0.35">
      <c r="A744" s="93">
        <v>15</v>
      </c>
      <c r="B744" s="93" t="s">
        <v>282</v>
      </c>
      <c r="C744" s="94" t="s">
        <v>323</v>
      </c>
      <c r="D744" s="94" t="s">
        <v>1566</v>
      </c>
      <c r="E744" s="93" t="s">
        <v>1542</v>
      </c>
      <c r="F744" s="93" t="str">
        <f t="shared" si="22"/>
        <v>MAR EL MOURABET - 15</v>
      </c>
      <c r="G744" s="93" t="str">
        <f t="shared" si="23"/>
        <v>MAR15</v>
      </c>
    </row>
    <row r="745" spans="1:7" ht="15" hidden="1" customHeight="1" x14ac:dyDescent="0.35">
      <c r="A745" s="93">
        <v>16</v>
      </c>
      <c r="B745" s="93" t="s">
        <v>282</v>
      </c>
      <c r="C745" s="94" t="s">
        <v>1567</v>
      </c>
      <c r="D745" s="94" t="s">
        <v>1568</v>
      </c>
      <c r="E745" s="93" t="s">
        <v>1542</v>
      </c>
      <c r="F745" s="93" t="str">
        <f t="shared" si="22"/>
        <v>MAR YASSINE - 16</v>
      </c>
      <c r="G745" s="93" t="str">
        <f t="shared" si="23"/>
        <v>MAR16</v>
      </c>
    </row>
    <row r="746" spans="1:7" ht="15" hidden="1" customHeight="1" x14ac:dyDescent="0.35">
      <c r="A746" s="93">
        <v>17</v>
      </c>
      <c r="B746" s="93" t="s">
        <v>285</v>
      </c>
      <c r="C746" s="94" t="s">
        <v>1569</v>
      </c>
      <c r="D746" s="94" t="s">
        <v>1570</v>
      </c>
      <c r="E746" s="93" t="s">
        <v>1542</v>
      </c>
      <c r="F746" s="93" t="str">
        <f t="shared" si="22"/>
        <v>MAR EZZALZOULI - 17</v>
      </c>
      <c r="G746" s="93" t="str">
        <f t="shared" si="23"/>
        <v>MAR17</v>
      </c>
    </row>
    <row r="747" spans="1:7" ht="15" hidden="1" customHeight="1" x14ac:dyDescent="0.35">
      <c r="A747" s="93">
        <v>18</v>
      </c>
      <c r="B747" s="93" t="s">
        <v>273</v>
      </c>
      <c r="C747" s="94" t="s">
        <v>1571</v>
      </c>
      <c r="D747" s="94" t="s">
        <v>1572</v>
      </c>
      <c r="E747" s="93" t="s">
        <v>1542</v>
      </c>
      <c r="F747" s="93" t="str">
        <f t="shared" si="22"/>
        <v>MAR RIAD - 18</v>
      </c>
      <c r="G747" s="93" t="str">
        <f t="shared" si="23"/>
        <v>MAR18</v>
      </c>
    </row>
    <row r="748" spans="1:7" ht="15" hidden="1" customHeight="1" x14ac:dyDescent="0.35">
      <c r="A748" s="93">
        <v>19</v>
      </c>
      <c r="B748" s="93" t="s">
        <v>273</v>
      </c>
      <c r="C748" s="94" t="s">
        <v>1349</v>
      </c>
      <c r="D748" s="94" t="s">
        <v>1573</v>
      </c>
      <c r="E748" s="93" t="s">
        <v>1542</v>
      </c>
      <c r="F748" s="93" t="str">
        <f t="shared" si="22"/>
        <v>MAR BELAMMARI - 19</v>
      </c>
      <c r="G748" s="93" t="str">
        <f t="shared" si="23"/>
        <v>MAR19</v>
      </c>
    </row>
    <row r="749" spans="1:7" ht="15" hidden="1" customHeight="1" x14ac:dyDescent="0.35">
      <c r="A749" s="93">
        <v>20</v>
      </c>
      <c r="B749" s="93" t="s">
        <v>285</v>
      </c>
      <c r="C749" s="94" t="s">
        <v>1574</v>
      </c>
      <c r="D749" s="94" t="s">
        <v>1575</v>
      </c>
      <c r="E749" s="93" t="s">
        <v>1542</v>
      </c>
      <c r="F749" s="93" t="str">
        <f t="shared" si="22"/>
        <v>MAR EL KAABI - 20</v>
      </c>
      <c r="G749" s="93" t="str">
        <f t="shared" si="23"/>
        <v>MAR20</v>
      </c>
    </row>
    <row r="750" spans="1:7" ht="15" hidden="1" customHeight="1" x14ac:dyDescent="0.35">
      <c r="A750" s="93">
        <v>21</v>
      </c>
      <c r="B750" s="93" t="s">
        <v>285</v>
      </c>
      <c r="C750" s="94" t="s">
        <v>1574</v>
      </c>
      <c r="D750" s="94" t="s">
        <v>1576</v>
      </c>
      <c r="E750" s="93" t="s">
        <v>1542</v>
      </c>
      <c r="F750" s="93" t="str">
        <f t="shared" si="22"/>
        <v>MAR AMAIMOUNI - 21</v>
      </c>
      <c r="G750" s="93" t="str">
        <f t="shared" si="23"/>
        <v>MAR21</v>
      </c>
    </row>
    <row r="751" spans="1:7" ht="15" hidden="1" customHeight="1" x14ac:dyDescent="0.35">
      <c r="A751" s="93">
        <v>22</v>
      </c>
      <c r="B751" s="93" t="s">
        <v>269</v>
      </c>
      <c r="C751" s="94" t="s">
        <v>1577</v>
      </c>
      <c r="D751" s="94" t="s">
        <v>1578</v>
      </c>
      <c r="E751" s="93" t="s">
        <v>1542</v>
      </c>
      <c r="F751" s="93" t="str">
        <f t="shared" si="22"/>
        <v>MAR (GK) TAGNAOUTI - 22</v>
      </c>
      <c r="G751" s="93" t="str">
        <f t="shared" si="23"/>
        <v>MAR22</v>
      </c>
    </row>
    <row r="752" spans="1:7" ht="15" hidden="1" customHeight="1" x14ac:dyDescent="0.35">
      <c r="A752" s="93">
        <v>23</v>
      </c>
      <c r="B752" s="93" t="s">
        <v>282</v>
      </c>
      <c r="C752" s="94" t="s">
        <v>1579</v>
      </c>
      <c r="D752" s="94" t="s">
        <v>1580</v>
      </c>
      <c r="E752" s="93" t="s">
        <v>1542</v>
      </c>
      <c r="F752" s="93" t="str">
        <f t="shared" si="22"/>
        <v>MAR EL KHANNOUSS - 23</v>
      </c>
      <c r="G752" s="93" t="str">
        <f t="shared" si="23"/>
        <v>MAR23</v>
      </c>
    </row>
    <row r="753" spans="1:7" ht="15" hidden="1" customHeight="1" x14ac:dyDescent="0.35">
      <c r="A753" s="93">
        <v>24</v>
      </c>
      <c r="B753" s="93" t="s">
        <v>282</v>
      </c>
      <c r="C753" s="94" t="s">
        <v>1581</v>
      </c>
      <c r="D753" s="94" t="s">
        <v>1582</v>
      </c>
      <c r="E753" s="93" t="s">
        <v>1542</v>
      </c>
      <c r="F753" s="93" t="str">
        <f t="shared" si="22"/>
        <v>MAR EL AYNAOUI - 24</v>
      </c>
      <c r="G753" s="93" t="str">
        <f t="shared" si="23"/>
        <v>MAR24</v>
      </c>
    </row>
    <row r="754" spans="1:7" ht="15" hidden="1" customHeight="1" x14ac:dyDescent="0.35">
      <c r="A754" s="93">
        <v>25</v>
      </c>
      <c r="B754" s="93" t="s">
        <v>273</v>
      </c>
      <c r="C754" s="94" t="s">
        <v>1583</v>
      </c>
      <c r="D754" s="94" t="s">
        <v>1584</v>
      </c>
      <c r="E754" s="93" t="s">
        <v>1542</v>
      </c>
      <c r="F754" s="93" t="str">
        <f t="shared" si="22"/>
        <v>MAR HALHAL - 25</v>
      </c>
      <c r="G754" s="93" t="str">
        <f t="shared" si="23"/>
        <v>MAR25</v>
      </c>
    </row>
    <row r="755" spans="1:7" ht="15" hidden="1" customHeight="1" x14ac:dyDescent="0.35">
      <c r="A755" s="93">
        <v>26</v>
      </c>
      <c r="B755" s="93" t="s">
        <v>273</v>
      </c>
      <c r="C755" s="94" t="s">
        <v>1585</v>
      </c>
      <c r="D755" s="94" t="s">
        <v>1586</v>
      </c>
      <c r="E755" s="93" t="s">
        <v>1542</v>
      </c>
      <c r="F755" s="93" t="str">
        <f t="shared" si="22"/>
        <v>MAR SALAH EDDINE - 26</v>
      </c>
      <c r="G755" s="93" t="str">
        <f t="shared" si="23"/>
        <v>MAR26</v>
      </c>
    </row>
    <row r="756" spans="1:7" ht="15" hidden="1" customHeight="1" x14ac:dyDescent="0.35">
      <c r="A756" s="95">
        <v>1</v>
      </c>
      <c r="B756" s="95" t="s">
        <v>269</v>
      </c>
      <c r="C756" s="96" t="s">
        <v>1587</v>
      </c>
      <c r="D756" s="96" t="s">
        <v>1588</v>
      </c>
      <c r="E756" s="95" t="s">
        <v>1589</v>
      </c>
      <c r="F756" s="95" t="str">
        <f t="shared" si="22"/>
        <v>NLD (GK) VERBRUGGEN - 1</v>
      </c>
      <c r="G756" s="95" t="str">
        <f t="shared" si="23"/>
        <v>NLD1</v>
      </c>
    </row>
    <row r="757" spans="1:7" ht="15" hidden="1" customHeight="1" x14ac:dyDescent="0.35">
      <c r="A757" s="95">
        <v>2</v>
      </c>
      <c r="B757" s="95" t="s">
        <v>273</v>
      </c>
      <c r="C757" s="96" t="s">
        <v>1590</v>
      </c>
      <c r="D757" s="96" t="s">
        <v>1591</v>
      </c>
      <c r="E757" s="95" t="s">
        <v>1589</v>
      </c>
      <c r="F757" s="95" t="str">
        <f t="shared" si="22"/>
        <v>NLD TIMBER - 2</v>
      </c>
      <c r="G757" s="95" t="str">
        <f t="shared" si="23"/>
        <v>NLD2</v>
      </c>
    </row>
    <row r="758" spans="1:7" ht="15" hidden="1" customHeight="1" x14ac:dyDescent="0.35">
      <c r="A758" s="95">
        <v>3</v>
      </c>
      <c r="B758" s="95" t="s">
        <v>282</v>
      </c>
      <c r="C758" s="96" t="s">
        <v>1592</v>
      </c>
      <c r="D758" s="96" t="s">
        <v>1593</v>
      </c>
      <c r="E758" s="95" t="s">
        <v>1589</v>
      </c>
      <c r="F758" s="95" t="str">
        <f t="shared" si="22"/>
        <v>NLD DE ROON - 3</v>
      </c>
      <c r="G758" s="95" t="str">
        <f t="shared" si="23"/>
        <v>NLD3</v>
      </c>
    </row>
    <row r="759" spans="1:7" ht="15" hidden="1" customHeight="1" x14ac:dyDescent="0.35">
      <c r="A759" s="95">
        <v>4</v>
      </c>
      <c r="B759" s="95" t="s">
        <v>273</v>
      </c>
      <c r="C759" s="96" t="s">
        <v>1594</v>
      </c>
      <c r="D759" s="96" t="s">
        <v>1595</v>
      </c>
      <c r="E759" s="95" t="s">
        <v>1589</v>
      </c>
      <c r="F759" s="95" t="str">
        <f t="shared" si="22"/>
        <v>NLD VAN DIJK - 4</v>
      </c>
      <c r="G759" s="95" t="str">
        <f t="shared" si="23"/>
        <v>NLD4</v>
      </c>
    </row>
    <row r="760" spans="1:7" ht="15" hidden="1" customHeight="1" x14ac:dyDescent="0.35">
      <c r="A760" s="95">
        <v>5</v>
      </c>
      <c r="B760" s="95" t="s">
        <v>273</v>
      </c>
      <c r="C760" s="96" t="s">
        <v>510</v>
      </c>
      <c r="D760" s="96" t="s">
        <v>1596</v>
      </c>
      <c r="E760" s="95" t="s">
        <v>1589</v>
      </c>
      <c r="F760" s="95" t="str">
        <f t="shared" si="22"/>
        <v>NLD AKE - 5</v>
      </c>
      <c r="G760" s="95" t="str">
        <f t="shared" si="23"/>
        <v>NLD5</v>
      </c>
    </row>
    <row r="761" spans="1:7" ht="15" hidden="1" customHeight="1" x14ac:dyDescent="0.35">
      <c r="A761" s="95">
        <v>6</v>
      </c>
      <c r="B761" s="95" t="s">
        <v>273</v>
      </c>
      <c r="C761" s="96" t="s">
        <v>1597</v>
      </c>
      <c r="D761" s="96" t="s">
        <v>1598</v>
      </c>
      <c r="E761" s="95" t="s">
        <v>1589</v>
      </c>
      <c r="F761" s="95" t="str">
        <f t="shared" si="22"/>
        <v>NLD VAN HECKE - 6</v>
      </c>
      <c r="G761" s="95" t="str">
        <f t="shared" si="23"/>
        <v>NLD6</v>
      </c>
    </row>
    <row r="762" spans="1:7" ht="15" hidden="1" customHeight="1" x14ac:dyDescent="0.35">
      <c r="A762" s="95">
        <v>7</v>
      </c>
      <c r="B762" s="95" t="s">
        <v>282</v>
      </c>
      <c r="C762" s="96" t="s">
        <v>1599</v>
      </c>
      <c r="D762" s="96" t="s">
        <v>1600</v>
      </c>
      <c r="E762" s="95" t="s">
        <v>1589</v>
      </c>
      <c r="F762" s="95" t="str">
        <f t="shared" si="22"/>
        <v>NLD KLUIVERT - 7</v>
      </c>
      <c r="G762" s="95" t="str">
        <f t="shared" si="23"/>
        <v>NLD7</v>
      </c>
    </row>
    <row r="763" spans="1:7" ht="15" hidden="1" customHeight="1" x14ac:dyDescent="0.35">
      <c r="A763" s="95">
        <v>8</v>
      </c>
      <c r="B763" s="95" t="s">
        <v>282</v>
      </c>
      <c r="C763" s="96" t="s">
        <v>654</v>
      </c>
      <c r="D763" s="96" t="s">
        <v>1601</v>
      </c>
      <c r="E763" s="95" t="s">
        <v>1589</v>
      </c>
      <c r="F763" s="95" t="str">
        <f t="shared" si="22"/>
        <v>NLD GRAVENBERCH - 8</v>
      </c>
      <c r="G763" s="95" t="str">
        <f t="shared" si="23"/>
        <v>NLD8</v>
      </c>
    </row>
    <row r="764" spans="1:7" ht="15" hidden="1" customHeight="1" x14ac:dyDescent="0.35">
      <c r="A764" s="95">
        <v>9</v>
      </c>
      <c r="B764" s="95" t="s">
        <v>285</v>
      </c>
      <c r="C764" s="96" t="s">
        <v>1602</v>
      </c>
      <c r="D764" s="96" t="s">
        <v>1603</v>
      </c>
      <c r="E764" s="95" t="s">
        <v>1589</v>
      </c>
      <c r="F764" s="95" t="str">
        <f t="shared" si="22"/>
        <v>NLD WEGHORST - 9</v>
      </c>
      <c r="G764" s="95" t="str">
        <f t="shared" si="23"/>
        <v>NLD9</v>
      </c>
    </row>
    <row r="765" spans="1:7" ht="15" hidden="1" customHeight="1" x14ac:dyDescent="0.35">
      <c r="A765" s="95">
        <v>10</v>
      </c>
      <c r="B765" s="95" t="s">
        <v>285</v>
      </c>
      <c r="C765" s="96" t="s">
        <v>1604</v>
      </c>
      <c r="D765" s="96" t="s">
        <v>1605</v>
      </c>
      <c r="E765" s="95" t="s">
        <v>1589</v>
      </c>
      <c r="F765" s="95" t="str">
        <f t="shared" si="22"/>
        <v>NLD DEPAY - 10</v>
      </c>
      <c r="G765" s="95" t="str">
        <f t="shared" si="23"/>
        <v>NLD10</v>
      </c>
    </row>
    <row r="766" spans="1:7" ht="15" hidden="1" customHeight="1" x14ac:dyDescent="0.35">
      <c r="A766" s="95">
        <v>11</v>
      </c>
      <c r="B766" s="95" t="s">
        <v>285</v>
      </c>
      <c r="C766" s="96" t="s">
        <v>1606</v>
      </c>
      <c r="D766" s="96" t="s">
        <v>1607</v>
      </c>
      <c r="E766" s="95" t="s">
        <v>1589</v>
      </c>
      <c r="F766" s="95" t="str">
        <f t="shared" si="22"/>
        <v>NLD GAKPO - 11</v>
      </c>
      <c r="G766" s="95" t="str">
        <f t="shared" si="23"/>
        <v>NLD11</v>
      </c>
    </row>
    <row r="767" spans="1:7" ht="15" hidden="1" customHeight="1" x14ac:dyDescent="0.35">
      <c r="A767" s="95">
        <v>12</v>
      </c>
      <c r="B767" s="95" t="s">
        <v>273</v>
      </c>
      <c r="C767" s="96" t="s">
        <v>1608</v>
      </c>
      <c r="D767" s="96" t="s">
        <v>1609</v>
      </c>
      <c r="E767" s="95" t="s">
        <v>1589</v>
      </c>
      <c r="F767" s="95" t="str">
        <f t="shared" si="22"/>
        <v>NLD WIEFFER - 12</v>
      </c>
      <c r="G767" s="95" t="str">
        <f t="shared" si="23"/>
        <v>NLD12</v>
      </c>
    </row>
    <row r="768" spans="1:7" ht="15" hidden="1" customHeight="1" x14ac:dyDescent="0.35">
      <c r="A768" s="95">
        <v>13</v>
      </c>
      <c r="B768" s="95" t="s">
        <v>269</v>
      </c>
      <c r="C768" s="96" t="s">
        <v>948</v>
      </c>
      <c r="D768" s="96" t="s">
        <v>1610</v>
      </c>
      <c r="E768" s="95" t="s">
        <v>1589</v>
      </c>
      <c r="F768" s="95" t="str">
        <f t="shared" si="22"/>
        <v>NLD (GK) ROEFS - 13</v>
      </c>
      <c r="G768" s="95" t="str">
        <f t="shared" si="23"/>
        <v>NLD13</v>
      </c>
    </row>
    <row r="769" spans="1:7" ht="15" hidden="1" customHeight="1" x14ac:dyDescent="0.35">
      <c r="A769" s="95">
        <v>14</v>
      </c>
      <c r="B769" s="95" t="s">
        <v>282</v>
      </c>
      <c r="C769" s="96" t="s">
        <v>1611</v>
      </c>
      <c r="D769" s="96" t="s">
        <v>1612</v>
      </c>
      <c r="E769" s="95" t="s">
        <v>1589</v>
      </c>
      <c r="F769" s="95" t="str">
        <f t="shared" si="22"/>
        <v>NLD REIJNDERS - 14</v>
      </c>
      <c r="G769" s="95" t="str">
        <f t="shared" si="23"/>
        <v>NLD14</v>
      </c>
    </row>
    <row r="770" spans="1:7" ht="15" hidden="1" customHeight="1" x14ac:dyDescent="0.35">
      <c r="A770" s="95">
        <v>15</v>
      </c>
      <c r="B770" s="95" t="s">
        <v>273</v>
      </c>
      <c r="C770" s="96" t="s">
        <v>1613</v>
      </c>
      <c r="D770" s="96" t="s">
        <v>1614</v>
      </c>
      <c r="E770" s="95" t="s">
        <v>1589</v>
      </c>
      <c r="F770" s="95" t="str">
        <f t="shared" si="22"/>
        <v>NLD VAN DE VEN - 15</v>
      </c>
      <c r="G770" s="95" t="str">
        <f t="shared" si="23"/>
        <v>NLD15</v>
      </c>
    </row>
    <row r="771" spans="1:7" ht="15" hidden="1" customHeight="1" x14ac:dyDescent="0.35">
      <c r="A771" s="95">
        <v>16</v>
      </c>
      <c r="B771" s="95" t="s">
        <v>282</v>
      </c>
      <c r="C771" s="96" t="s">
        <v>1615</v>
      </c>
      <c r="D771" s="96" t="s">
        <v>1616</v>
      </c>
      <c r="E771" s="95" t="s">
        <v>1589</v>
      </c>
      <c r="F771" s="95" t="str">
        <f t="shared" ref="F771:F834" si="24">IF(B771="GK", _xlfn.CONCAT(E771, " ","(",B771, ") ",D771, " - ", A771),  _xlfn.CONCAT(E771, " ",D771, " - ", A771))</f>
        <v>NLD TIL - 16</v>
      </c>
      <c r="G771" s="95" t="str">
        <f t="shared" ref="G771:G834" si="25">_xlfn.CONCAT(E771,A771)</f>
        <v>NLD16</v>
      </c>
    </row>
    <row r="772" spans="1:7" ht="15" hidden="1" customHeight="1" x14ac:dyDescent="0.35">
      <c r="A772" s="95">
        <v>17</v>
      </c>
      <c r="B772" s="95" t="s">
        <v>285</v>
      </c>
      <c r="C772" s="96" t="s">
        <v>1617</v>
      </c>
      <c r="D772" s="96" t="s">
        <v>1618</v>
      </c>
      <c r="E772" s="95" t="s">
        <v>1589</v>
      </c>
      <c r="F772" s="95" t="str">
        <f t="shared" si="24"/>
        <v>NLD LANG - 17</v>
      </c>
      <c r="G772" s="95" t="str">
        <f t="shared" si="25"/>
        <v>NLD17</v>
      </c>
    </row>
    <row r="773" spans="1:7" ht="15" hidden="1" customHeight="1" x14ac:dyDescent="0.35">
      <c r="A773" s="95">
        <v>18</v>
      </c>
      <c r="B773" s="95" t="s">
        <v>285</v>
      </c>
      <c r="C773" s="96" t="s">
        <v>1619</v>
      </c>
      <c r="D773" s="96" t="s">
        <v>1620</v>
      </c>
      <c r="E773" s="95" t="s">
        <v>1589</v>
      </c>
      <c r="F773" s="95" t="str">
        <f t="shared" si="24"/>
        <v>NLD MALEN - 18</v>
      </c>
      <c r="G773" s="95" t="str">
        <f t="shared" si="25"/>
        <v>NLD18</v>
      </c>
    </row>
    <row r="774" spans="1:7" ht="15" hidden="1" customHeight="1" x14ac:dyDescent="0.35">
      <c r="A774" s="95">
        <v>19</v>
      </c>
      <c r="B774" s="95" t="s">
        <v>285</v>
      </c>
      <c r="C774" s="96" t="s">
        <v>777</v>
      </c>
      <c r="D774" s="96" t="s">
        <v>1621</v>
      </c>
      <c r="E774" s="95" t="s">
        <v>1589</v>
      </c>
      <c r="F774" s="95" t="str">
        <f t="shared" si="24"/>
        <v>NLD BROBBEY - 19</v>
      </c>
      <c r="G774" s="95" t="str">
        <f t="shared" si="25"/>
        <v>NLD19</v>
      </c>
    </row>
    <row r="775" spans="1:7" ht="15" hidden="1" customHeight="1" x14ac:dyDescent="0.35">
      <c r="A775" s="95">
        <v>20</v>
      </c>
      <c r="B775" s="95" t="s">
        <v>282</v>
      </c>
      <c r="C775" s="96" t="s">
        <v>1622</v>
      </c>
      <c r="D775" s="96" t="s">
        <v>1623</v>
      </c>
      <c r="E775" s="95" t="s">
        <v>1589</v>
      </c>
      <c r="F775" s="95" t="str">
        <f t="shared" si="24"/>
        <v>NLD KOOPMEINERS - 20</v>
      </c>
      <c r="G775" s="95" t="str">
        <f t="shared" si="25"/>
        <v>NLD20</v>
      </c>
    </row>
    <row r="776" spans="1:7" ht="15" hidden="1" customHeight="1" x14ac:dyDescent="0.35">
      <c r="A776" s="95">
        <v>21</v>
      </c>
      <c r="B776" s="95" t="s">
        <v>282</v>
      </c>
      <c r="C776" s="96" t="s">
        <v>1624</v>
      </c>
      <c r="D776" s="96" t="s">
        <v>1625</v>
      </c>
      <c r="E776" s="95" t="s">
        <v>1589</v>
      </c>
      <c r="F776" s="95" t="str">
        <f t="shared" si="24"/>
        <v>NLD DE JONG - 21</v>
      </c>
      <c r="G776" s="95" t="str">
        <f t="shared" si="25"/>
        <v>NLD21</v>
      </c>
    </row>
    <row r="777" spans="1:7" ht="15" hidden="1" customHeight="1" x14ac:dyDescent="0.35">
      <c r="A777" s="95">
        <v>22</v>
      </c>
      <c r="B777" s="95" t="s">
        <v>273</v>
      </c>
      <c r="C777" s="96" t="s">
        <v>1626</v>
      </c>
      <c r="D777" s="96" t="s">
        <v>1627</v>
      </c>
      <c r="E777" s="95" t="s">
        <v>1589</v>
      </c>
      <c r="F777" s="95" t="str">
        <f t="shared" si="24"/>
        <v>NLD DUMFRIES - 22</v>
      </c>
      <c r="G777" s="95" t="str">
        <f t="shared" si="25"/>
        <v>NLD22</v>
      </c>
    </row>
    <row r="778" spans="1:7" ht="15" hidden="1" customHeight="1" x14ac:dyDescent="0.35">
      <c r="A778" s="95">
        <v>23</v>
      </c>
      <c r="B778" s="95" t="s">
        <v>269</v>
      </c>
      <c r="C778" s="96" t="s">
        <v>1628</v>
      </c>
      <c r="D778" s="96" t="s">
        <v>1629</v>
      </c>
      <c r="E778" s="95" t="s">
        <v>1589</v>
      </c>
      <c r="F778" s="95" t="str">
        <f t="shared" si="24"/>
        <v>NLD (GK) FLEKKEN - 23</v>
      </c>
      <c r="G778" s="95" t="str">
        <f t="shared" si="25"/>
        <v>NLD23</v>
      </c>
    </row>
    <row r="779" spans="1:7" ht="15" hidden="1" customHeight="1" x14ac:dyDescent="0.35">
      <c r="A779" s="95">
        <v>24</v>
      </c>
      <c r="B779" s="95" t="s">
        <v>285</v>
      </c>
      <c r="C779" s="96" t="s">
        <v>1630</v>
      </c>
      <c r="D779" s="96" t="s">
        <v>1631</v>
      </c>
      <c r="E779" s="95" t="s">
        <v>1589</v>
      </c>
      <c r="F779" s="95" t="str">
        <f t="shared" si="24"/>
        <v>NLD SUMMERVILLE - 24</v>
      </c>
      <c r="G779" s="95" t="str">
        <f t="shared" si="25"/>
        <v>NLD24</v>
      </c>
    </row>
    <row r="780" spans="1:7" ht="15" hidden="1" customHeight="1" x14ac:dyDescent="0.35">
      <c r="A780" s="95">
        <v>25</v>
      </c>
      <c r="B780" s="95" t="s">
        <v>273</v>
      </c>
      <c r="C780" s="96" t="s">
        <v>1632</v>
      </c>
      <c r="D780" s="96" t="s">
        <v>1633</v>
      </c>
      <c r="E780" s="95" t="s">
        <v>1589</v>
      </c>
      <c r="F780" s="95" t="str">
        <f t="shared" si="24"/>
        <v>NLD HATO - 25</v>
      </c>
      <c r="G780" s="95" t="str">
        <f t="shared" si="25"/>
        <v>NLD25</v>
      </c>
    </row>
    <row r="781" spans="1:7" ht="15" hidden="1" customHeight="1" x14ac:dyDescent="0.35">
      <c r="A781" s="95">
        <v>26</v>
      </c>
      <c r="B781" s="95" t="s">
        <v>282</v>
      </c>
      <c r="C781" s="96" t="s">
        <v>1634</v>
      </c>
      <c r="D781" s="96" t="s">
        <v>1591</v>
      </c>
      <c r="E781" s="95" t="s">
        <v>1589</v>
      </c>
      <c r="F781" s="95" t="str">
        <f t="shared" si="24"/>
        <v>NLD TIMBER - 26</v>
      </c>
      <c r="G781" s="95" t="str">
        <f t="shared" si="25"/>
        <v>NLD26</v>
      </c>
    </row>
    <row r="782" spans="1:7" ht="15" hidden="1" customHeight="1" x14ac:dyDescent="0.35">
      <c r="A782" s="97">
        <v>1</v>
      </c>
      <c r="B782" s="97" t="s">
        <v>269</v>
      </c>
      <c r="C782" s="98" t="s">
        <v>1635</v>
      </c>
      <c r="D782" s="98" t="s">
        <v>1636</v>
      </c>
      <c r="E782" s="97" t="s">
        <v>1637</v>
      </c>
      <c r="F782" s="97" t="str">
        <f t="shared" si="24"/>
        <v>NZL (GK) CROCOMBE - 1</v>
      </c>
      <c r="G782" s="97" t="str">
        <f t="shared" si="25"/>
        <v>NZL1</v>
      </c>
    </row>
    <row r="783" spans="1:7" ht="15" hidden="1" customHeight="1" x14ac:dyDescent="0.35">
      <c r="A783" s="97">
        <v>2</v>
      </c>
      <c r="B783" s="97" t="s">
        <v>273</v>
      </c>
      <c r="C783" s="98" t="s">
        <v>1638</v>
      </c>
      <c r="D783" s="98" t="s">
        <v>1639</v>
      </c>
      <c r="E783" s="97" t="s">
        <v>1637</v>
      </c>
      <c r="F783" s="97" t="str">
        <f t="shared" si="24"/>
        <v>NZL PAYNE - 2</v>
      </c>
      <c r="G783" s="97" t="str">
        <f t="shared" si="25"/>
        <v>NZL2</v>
      </c>
    </row>
    <row r="784" spans="1:7" ht="15" hidden="1" customHeight="1" x14ac:dyDescent="0.35">
      <c r="A784" s="97">
        <v>3</v>
      </c>
      <c r="B784" s="97" t="s">
        <v>273</v>
      </c>
      <c r="C784" s="98" t="s">
        <v>1640</v>
      </c>
      <c r="D784" s="98" t="s">
        <v>1641</v>
      </c>
      <c r="E784" s="97" t="s">
        <v>1637</v>
      </c>
      <c r="F784" s="97" t="str">
        <f t="shared" si="24"/>
        <v>NZL DE VRIES - 3</v>
      </c>
      <c r="G784" s="97" t="str">
        <f t="shared" si="25"/>
        <v>NZL3</v>
      </c>
    </row>
    <row r="785" spans="1:7" ht="15" hidden="1" customHeight="1" x14ac:dyDescent="0.35">
      <c r="A785" s="97">
        <v>4</v>
      </c>
      <c r="B785" s="97" t="s">
        <v>273</v>
      </c>
      <c r="C785" s="98" t="s">
        <v>1642</v>
      </c>
      <c r="D785" s="98" t="s">
        <v>1643</v>
      </c>
      <c r="E785" s="97" t="s">
        <v>1637</v>
      </c>
      <c r="F785" s="97" t="str">
        <f t="shared" si="24"/>
        <v>NZL BINDON - 4</v>
      </c>
      <c r="G785" s="97" t="str">
        <f t="shared" si="25"/>
        <v>NZL4</v>
      </c>
    </row>
    <row r="786" spans="1:7" ht="15" hidden="1" customHeight="1" x14ac:dyDescent="0.35">
      <c r="A786" s="97">
        <v>5</v>
      </c>
      <c r="B786" s="97" t="s">
        <v>273</v>
      </c>
      <c r="C786" s="98" t="s">
        <v>440</v>
      </c>
      <c r="D786" s="98" t="s">
        <v>1644</v>
      </c>
      <c r="E786" s="97" t="s">
        <v>1637</v>
      </c>
      <c r="F786" s="97" t="str">
        <f t="shared" si="24"/>
        <v>NZL BOXALL - 5</v>
      </c>
      <c r="G786" s="97" t="str">
        <f t="shared" si="25"/>
        <v>NZL5</v>
      </c>
    </row>
    <row r="787" spans="1:7" ht="15" hidden="1" customHeight="1" x14ac:dyDescent="0.35">
      <c r="A787" s="97">
        <v>6</v>
      </c>
      <c r="B787" s="97" t="s">
        <v>282</v>
      </c>
      <c r="C787" s="98" t="s">
        <v>1645</v>
      </c>
      <c r="D787" s="98" t="s">
        <v>1646</v>
      </c>
      <c r="E787" s="97" t="s">
        <v>1637</v>
      </c>
      <c r="F787" s="97" t="str">
        <f t="shared" si="24"/>
        <v>NZL BELL - 6</v>
      </c>
      <c r="G787" s="97" t="str">
        <f t="shared" si="25"/>
        <v>NZL6</v>
      </c>
    </row>
    <row r="788" spans="1:7" ht="15" hidden="1" customHeight="1" x14ac:dyDescent="0.35">
      <c r="A788" s="97">
        <v>7</v>
      </c>
      <c r="B788" s="97" t="s">
        <v>282</v>
      </c>
      <c r="C788" s="98" t="s">
        <v>1647</v>
      </c>
      <c r="D788" s="98" t="s">
        <v>1648</v>
      </c>
      <c r="E788" s="97" t="s">
        <v>1637</v>
      </c>
      <c r="F788" s="97" t="str">
        <f t="shared" si="24"/>
        <v>NZL GARBETT - 7</v>
      </c>
      <c r="G788" s="97" t="str">
        <f t="shared" si="25"/>
        <v>NZL7</v>
      </c>
    </row>
    <row r="789" spans="1:7" ht="15" hidden="1" customHeight="1" x14ac:dyDescent="0.35">
      <c r="A789" s="97">
        <v>8</v>
      </c>
      <c r="B789" s="97" t="s">
        <v>282</v>
      </c>
      <c r="C789" s="98" t="s">
        <v>433</v>
      </c>
      <c r="D789" s="98" t="s">
        <v>1649</v>
      </c>
      <c r="E789" s="97" t="s">
        <v>1637</v>
      </c>
      <c r="F789" s="97" t="str">
        <f t="shared" si="24"/>
        <v>NZL STAMENIC - 8</v>
      </c>
      <c r="G789" s="97" t="str">
        <f t="shared" si="25"/>
        <v>NZL8</v>
      </c>
    </row>
    <row r="790" spans="1:7" ht="15" hidden="1" customHeight="1" x14ac:dyDescent="0.35">
      <c r="A790" s="97">
        <v>9</v>
      </c>
      <c r="B790" s="97" t="s">
        <v>285</v>
      </c>
      <c r="C790" s="98" t="s">
        <v>1650</v>
      </c>
      <c r="D790" s="98" t="s">
        <v>1651</v>
      </c>
      <c r="E790" s="97" t="s">
        <v>1637</v>
      </c>
      <c r="F790" s="97" t="str">
        <f t="shared" si="24"/>
        <v>NZL WOOD - 9</v>
      </c>
      <c r="G790" s="97" t="str">
        <f t="shared" si="25"/>
        <v>NZL9</v>
      </c>
    </row>
    <row r="791" spans="1:7" ht="15" hidden="1" customHeight="1" x14ac:dyDescent="0.35">
      <c r="A791" s="97">
        <v>10</v>
      </c>
      <c r="B791" s="97" t="s">
        <v>282</v>
      </c>
      <c r="C791" s="98" t="s">
        <v>1652</v>
      </c>
      <c r="D791" s="98" t="s">
        <v>1653</v>
      </c>
      <c r="E791" s="97" t="s">
        <v>1637</v>
      </c>
      <c r="F791" s="97" t="str">
        <f t="shared" si="24"/>
        <v>NZL SINGH - 10</v>
      </c>
      <c r="G791" s="97" t="str">
        <f t="shared" si="25"/>
        <v>NZL10</v>
      </c>
    </row>
    <row r="792" spans="1:7" ht="15" hidden="1" customHeight="1" x14ac:dyDescent="0.35">
      <c r="A792" s="97">
        <v>11</v>
      </c>
      <c r="B792" s="97" t="s">
        <v>282</v>
      </c>
      <c r="C792" s="98" t="s">
        <v>1654</v>
      </c>
      <c r="D792" s="98" t="s">
        <v>1655</v>
      </c>
      <c r="E792" s="97" t="s">
        <v>1637</v>
      </c>
      <c r="F792" s="97" t="str">
        <f t="shared" si="24"/>
        <v>NZL JUST - 11</v>
      </c>
      <c r="G792" s="97" t="str">
        <f t="shared" si="25"/>
        <v>NZL11</v>
      </c>
    </row>
    <row r="793" spans="1:7" ht="15" hidden="1" customHeight="1" x14ac:dyDescent="0.35">
      <c r="A793" s="97">
        <v>12</v>
      </c>
      <c r="B793" s="97" t="s">
        <v>269</v>
      </c>
      <c r="C793" s="98" t="s">
        <v>1656</v>
      </c>
      <c r="D793" s="98" t="s">
        <v>1657</v>
      </c>
      <c r="E793" s="97" t="s">
        <v>1637</v>
      </c>
      <c r="F793" s="97" t="str">
        <f t="shared" si="24"/>
        <v>NZL (GK) PAULSEN - 12</v>
      </c>
      <c r="G793" s="97" t="str">
        <f t="shared" si="25"/>
        <v>NZL12</v>
      </c>
    </row>
    <row r="794" spans="1:7" ht="15" hidden="1" customHeight="1" x14ac:dyDescent="0.35">
      <c r="A794" s="97">
        <v>13</v>
      </c>
      <c r="B794" s="97" t="s">
        <v>273</v>
      </c>
      <c r="C794" s="98" t="s">
        <v>1658</v>
      </c>
      <c r="D794" s="98" t="s">
        <v>1659</v>
      </c>
      <c r="E794" s="97" t="s">
        <v>1637</v>
      </c>
      <c r="F794" s="97" t="str">
        <f t="shared" si="24"/>
        <v>NZL CACACE - 13</v>
      </c>
      <c r="G794" s="97" t="str">
        <f t="shared" si="25"/>
        <v>NZL13</v>
      </c>
    </row>
    <row r="795" spans="1:7" ht="15" hidden="1" customHeight="1" x14ac:dyDescent="0.35">
      <c r="A795" s="97">
        <v>14</v>
      </c>
      <c r="B795" s="97" t="s">
        <v>282</v>
      </c>
      <c r="C795" s="98" t="s">
        <v>1656</v>
      </c>
      <c r="D795" s="98" t="s">
        <v>1660</v>
      </c>
      <c r="E795" s="97" t="s">
        <v>1637</v>
      </c>
      <c r="F795" s="97" t="str">
        <f t="shared" si="24"/>
        <v>NZL RUFER - 14</v>
      </c>
      <c r="G795" s="97" t="str">
        <f t="shared" si="25"/>
        <v>NZL14</v>
      </c>
    </row>
    <row r="796" spans="1:7" ht="15" hidden="1" customHeight="1" x14ac:dyDescent="0.35">
      <c r="A796" s="97">
        <v>15</v>
      </c>
      <c r="B796" s="97" t="s">
        <v>273</v>
      </c>
      <c r="C796" s="98" t="s">
        <v>1661</v>
      </c>
      <c r="D796" s="98" t="s">
        <v>1662</v>
      </c>
      <c r="E796" s="97" t="s">
        <v>1637</v>
      </c>
      <c r="F796" s="97" t="str">
        <f t="shared" si="24"/>
        <v>NZL PIJNAKER - 15</v>
      </c>
      <c r="G796" s="97" t="str">
        <f t="shared" si="25"/>
        <v>NZL15</v>
      </c>
    </row>
    <row r="797" spans="1:7" ht="15" hidden="1" customHeight="1" x14ac:dyDescent="0.35">
      <c r="A797" s="97">
        <v>16</v>
      </c>
      <c r="B797" s="97" t="s">
        <v>273</v>
      </c>
      <c r="C797" s="98" t="s">
        <v>1663</v>
      </c>
      <c r="D797" s="98" t="s">
        <v>1664</v>
      </c>
      <c r="E797" s="97" t="s">
        <v>1637</v>
      </c>
      <c r="F797" s="97" t="str">
        <f t="shared" si="24"/>
        <v>NZL SURMAN - 16</v>
      </c>
      <c r="G797" s="97" t="str">
        <f t="shared" si="25"/>
        <v>NZL16</v>
      </c>
    </row>
    <row r="798" spans="1:7" ht="15" hidden="1" customHeight="1" x14ac:dyDescent="0.35">
      <c r="A798" s="97">
        <v>17</v>
      </c>
      <c r="B798" s="97" t="s">
        <v>285</v>
      </c>
      <c r="C798" s="98" t="s">
        <v>1665</v>
      </c>
      <c r="D798" s="98" t="s">
        <v>1666</v>
      </c>
      <c r="E798" s="97" t="s">
        <v>1637</v>
      </c>
      <c r="F798" s="97" t="str">
        <f t="shared" si="24"/>
        <v>NZL BARBAROUSES - 17</v>
      </c>
      <c r="G798" s="97" t="str">
        <f t="shared" si="25"/>
        <v>NZL17</v>
      </c>
    </row>
    <row r="799" spans="1:7" ht="15" hidden="1" customHeight="1" x14ac:dyDescent="0.35">
      <c r="A799" s="97">
        <v>18</v>
      </c>
      <c r="B799" s="97" t="s">
        <v>285</v>
      </c>
      <c r="C799" s="98" t="s">
        <v>1667</v>
      </c>
      <c r="D799" s="98" t="s">
        <v>1668</v>
      </c>
      <c r="E799" s="97" t="s">
        <v>1637</v>
      </c>
      <c r="F799" s="97" t="str">
        <f t="shared" si="24"/>
        <v>NZL WAINE - 18</v>
      </c>
      <c r="G799" s="97" t="str">
        <f t="shared" si="25"/>
        <v>NZL18</v>
      </c>
    </row>
    <row r="800" spans="1:7" ht="15" hidden="1" customHeight="1" x14ac:dyDescent="0.35">
      <c r="A800" s="97">
        <v>19</v>
      </c>
      <c r="B800" s="97" t="s">
        <v>282</v>
      </c>
      <c r="C800" s="98" t="s">
        <v>1667</v>
      </c>
      <c r="D800" s="98" t="s">
        <v>1669</v>
      </c>
      <c r="E800" s="97" t="s">
        <v>1637</v>
      </c>
      <c r="F800" s="97" t="str">
        <f t="shared" si="24"/>
        <v>NZL OLD - 19</v>
      </c>
      <c r="G800" s="97" t="str">
        <f t="shared" si="25"/>
        <v>NZL19</v>
      </c>
    </row>
    <row r="801" spans="1:7" ht="15" hidden="1" customHeight="1" x14ac:dyDescent="0.35">
      <c r="A801" s="97">
        <v>20</v>
      </c>
      <c r="B801" s="97" t="s">
        <v>282</v>
      </c>
      <c r="C801" s="98" t="s">
        <v>1670</v>
      </c>
      <c r="D801" s="98" t="s">
        <v>1671</v>
      </c>
      <c r="E801" s="97" t="s">
        <v>1637</v>
      </c>
      <c r="F801" s="97" t="str">
        <f t="shared" si="24"/>
        <v>NZL McCOWATT - 20</v>
      </c>
      <c r="G801" s="97" t="str">
        <f t="shared" si="25"/>
        <v>NZL20</v>
      </c>
    </row>
    <row r="802" spans="1:7" ht="15" hidden="1" customHeight="1" x14ac:dyDescent="0.35">
      <c r="A802" s="97">
        <v>21</v>
      </c>
      <c r="B802" s="97" t="s">
        <v>285</v>
      </c>
      <c r="C802" s="98" t="s">
        <v>1672</v>
      </c>
      <c r="D802" s="98" t="s">
        <v>1673</v>
      </c>
      <c r="E802" s="97" t="s">
        <v>1637</v>
      </c>
      <c r="F802" s="97" t="str">
        <f t="shared" si="24"/>
        <v>NZL RANDALL - 21</v>
      </c>
      <c r="G802" s="97" t="str">
        <f t="shared" si="25"/>
        <v>NZL21</v>
      </c>
    </row>
    <row r="803" spans="1:7" ht="15" hidden="1" customHeight="1" x14ac:dyDescent="0.35">
      <c r="A803" s="97">
        <v>22</v>
      </c>
      <c r="B803" s="97" t="s">
        <v>269</v>
      </c>
      <c r="C803" s="98" t="s">
        <v>440</v>
      </c>
      <c r="D803" s="98" t="s">
        <v>1674</v>
      </c>
      <c r="E803" s="97" t="s">
        <v>1637</v>
      </c>
      <c r="F803" s="97" t="str">
        <f t="shared" si="24"/>
        <v>NZL (GK) WOUD - 22</v>
      </c>
      <c r="G803" s="97" t="str">
        <f t="shared" si="25"/>
        <v>NZL22</v>
      </c>
    </row>
    <row r="804" spans="1:7" ht="15" hidden="1" customHeight="1" x14ac:dyDescent="0.35">
      <c r="A804" s="97">
        <v>23</v>
      </c>
      <c r="B804" s="97" t="s">
        <v>282</v>
      </c>
      <c r="C804" s="98" t="s">
        <v>654</v>
      </c>
      <c r="D804" s="98" t="s">
        <v>1675</v>
      </c>
      <c r="E804" s="97" t="s">
        <v>1637</v>
      </c>
      <c r="F804" s="97" t="str">
        <f t="shared" si="24"/>
        <v>NZL THOMAS - 23</v>
      </c>
      <c r="G804" s="97" t="str">
        <f t="shared" si="25"/>
        <v>NZL23</v>
      </c>
    </row>
    <row r="805" spans="1:7" ht="15" hidden="1" customHeight="1" x14ac:dyDescent="0.35">
      <c r="A805" s="97">
        <v>24</v>
      </c>
      <c r="B805" s="97" t="s">
        <v>273</v>
      </c>
      <c r="C805" s="98" t="s">
        <v>1676</v>
      </c>
      <c r="D805" s="98" t="s">
        <v>1677</v>
      </c>
      <c r="E805" s="97" t="s">
        <v>1637</v>
      </c>
      <c r="F805" s="97" t="str">
        <f t="shared" si="24"/>
        <v>NZL ELLIOT - 24</v>
      </c>
      <c r="G805" s="97" t="str">
        <f t="shared" si="25"/>
        <v>NZL24</v>
      </c>
    </row>
    <row r="806" spans="1:7" ht="15" hidden="1" customHeight="1" x14ac:dyDescent="0.35">
      <c r="A806" s="97">
        <v>25</v>
      </c>
      <c r="B806" s="97" t="s">
        <v>282</v>
      </c>
      <c r="C806" s="98" t="s">
        <v>1678</v>
      </c>
      <c r="D806" s="98" t="s">
        <v>1679</v>
      </c>
      <c r="E806" s="97" t="s">
        <v>1637</v>
      </c>
      <c r="F806" s="97" t="str">
        <f t="shared" si="24"/>
        <v>NZL BAYLISS - 25</v>
      </c>
      <c r="G806" s="97" t="str">
        <f t="shared" si="25"/>
        <v>NZL25</v>
      </c>
    </row>
    <row r="807" spans="1:7" ht="15" hidden="1" customHeight="1" x14ac:dyDescent="0.35">
      <c r="A807" s="97">
        <v>26</v>
      </c>
      <c r="B807" s="97" t="s">
        <v>273</v>
      </c>
      <c r="C807" s="98" t="s">
        <v>1680</v>
      </c>
      <c r="D807" s="98" t="s">
        <v>1681</v>
      </c>
      <c r="E807" s="97" t="s">
        <v>1637</v>
      </c>
      <c r="F807" s="97" t="str">
        <f t="shared" si="24"/>
        <v>NZL SMITH - 26</v>
      </c>
      <c r="G807" s="97" t="str">
        <f t="shared" si="25"/>
        <v>NZL26</v>
      </c>
    </row>
    <row r="808" spans="1:7" ht="15" hidden="1" customHeight="1" x14ac:dyDescent="0.35">
      <c r="A808" s="99">
        <v>1</v>
      </c>
      <c r="B808" s="99" t="s">
        <v>269</v>
      </c>
      <c r="C808" s="100" t="s">
        <v>1682</v>
      </c>
      <c r="D808" s="100" t="s">
        <v>1683</v>
      </c>
      <c r="E808" s="99" t="s">
        <v>1684</v>
      </c>
      <c r="F808" s="99" t="str">
        <f t="shared" si="24"/>
        <v>NOR (GK) NYLAND - 1</v>
      </c>
      <c r="G808" s="99" t="str">
        <f t="shared" si="25"/>
        <v>NOR1</v>
      </c>
    </row>
    <row r="809" spans="1:7" ht="15" hidden="1" customHeight="1" x14ac:dyDescent="0.35">
      <c r="A809" s="99">
        <v>2</v>
      </c>
      <c r="B809" s="99" t="s">
        <v>282</v>
      </c>
      <c r="C809" s="100" t="s">
        <v>1685</v>
      </c>
      <c r="D809" s="100" t="s">
        <v>1686</v>
      </c>
      <c r="E809" s="99" t="s">
        <v>1684</v>
      </c>
      <c r="F809" s="99" t="str">
        <f t="shared" si="24"/>
        <v>NOR THORSBY - 2</v>
      </c>
      <c r="G809" s="99" t="str">
        <f t="shared" si="25"/>
        <v>NOR2</v>
      </c>
    </row>
    <row r="810" spans="1:7" ht="15" hidden="1" customHeight="1" x14ac:dyDescent="0.35">
      <c r="A810" s="99">
        <v>3</v>
      </c>
      <c r="B810" s="99" t="s">
        <v>273</v>
      </c>
      <c r="C810" s="100" t="s">
        <v>1687</v>
      </c>
      <c r="D810" s="100" t="s">
        <v>1688</v>
      </c>
      <c r="E810" s="99" t="s">
        <v>1684</v>
      </c>
      <c r="F810" s="99" t="str">
        <f t="shared" si="24"/>
        <v>NOR AJER - 3</v>
      </c>
      <c r="G810" s="99" t="str">
        <f t="shared" si="25"/>
        <v>NOR3</v>
      </c>
    </row>
    <row r="811" spans="1:7" ht="15" hidden="1" customHeight="1" x14ac:dyDescent="0.35">
      <c r="A811" s="99">
        <v>4</v>
      </c>
      <c r="B811" s="99" t="s">
        <v>273</v>
      </c>
      <c r="C811" s="100" t="s">
        <v>1689</v>
      </c>
      <c r="D811" s="100" t="s">
        <v>1690</v>
      </c>
      <c r="E811" s="99" t="s">
        <v>1684</v>
      </c>
      <c r="F811" s="99" t="str">
        <f t="shared" si="24"/>
        <v>NOR OSTIGARD - 4</v>
      </c>
      <c r="G811" s="99" t="str">
        <f t="shared" si="25"/>
        <v>NOR4</v>
      </c>
    </row>
    <row r="812" spans="1:7" ht="15" hidden="1" customHeight="1" x14ac:dyDescent="0.35">
      <c r="A812" s="99">
        <v>5</v>
      </c>
      <c r="B812" s="99" t="s">
        <v>273</v>
      </c>
      <c r="C812" s="100" t="s">
        <v>425</v>
      </c>
      <c r="D812" s="100" t="s">
        <v>1691</v>
      </c>
      <c r="E812" s="99" t="s">
        <v>1684</v>
      </c>
      <c r="F812" s="99" t="str">
        <f t="shared" si="24"/>
        <v>NOR MOLLER WOLFE - 5</v>
      </c>
      <c r="G812" s="99" t="str">
        <f t="shared" si="25"/>
        <v>NOR5</v>
      </c>
    </row>
    <row r="813" spans="1:7" ht="15" hidden="1" customHeight="1" x14ac:dyDescent="0.35">
      <c r="A813" s="99">
        <v>6</v>
      </c>
      <c r="B813" s="99" t="s">
        <v>282</v>
      </c>
      <c r="C813" s="100" t="s">
        <v>407</v>
      </c>
      <c r="D813" s="100" t="s">
        <v>1692</v>
      </c>
      <c r="E813" s="99" t="s">
        <v>1684</v>
      </c>
      <c r="F813" s="99" t="str">
        <f t="shared" si="24"/>
        <v>NOR BERG - 6</v>
      </c>
      <c r="G813" s="99" t="str">
        <f t="shared" si="25"/>
        <v>NOR6</v>
      </c>
    </row>
    <row r="814" spans="1:7" ht="15" hidden="1" customHeight="1" x14ac:dyDescent="0.35">
      <c r="A814" s="99">
        <v>7</v>
      </c>
      <c r="B814" s="99" t="s">
        <v>285</v>
      </c>
      <c r="C814" s="100" t="s">
        <v>422</v>
      </c>
      <c r="D814" s="100" t="s">
        <v>1693</v>
      </c>
      <c r="E814" s="99" t="s">
        <v>1684</v>
      </c>
      <c r="F814" s="99" t="str">
        <f t="shared" si="24"/>
        <v>NOR SORLOTH - 7</v>
      </c>
      <c r="G814" s="99" t="str">
        <f t="shared" si="25"/>
        <v>NOR7</v>
      </c>
    </row>
    <row r="815" spans="1:7" ht="15" hidden="1" customHeight="1" x14ac:dyDescent="0.35">
      <c r="A815" s="99">
        <v>8</v>
      </c>
      <c r="B815" s="99" t="s">
        <v>282</v>
      </c>
      <c r="C815" s="100" t="s">
        <v>1694</v>
      </c>
      <c r="D815" s="100" t="s">
        <v>1695</v>
      </c>
      <c r="E815" s="99" t="s">
        <v>1684</v>
      </c>
      <c r="F815" s="99" t="str">
        <f t="shared" si="24"/>
        <v>NOR BERGE - 8</v>
      </c>
      <c r="G815" s="99" t="str">
        <f t="shared" si="25"/>
        <v>NOR8</v>
      </c>
    </row>
    <row r="816" spans="1:7" ht="15" hidden="1" customHeight="1" x14ac:dyDescent="0.35">
      <c r="A816" s="99">
        <v>9</v>
      </c>
      <c r="B816" s="99" t="s">
        <v>285</v>
      </c>
      <c r="C816" s="100" t="s">
        <v>1696</v>
      </c>
      <c r="D816" s="100" t="s">
        <v>1697</v>
      </c>
      <c r="E816" s="99" t="s">
        <v>1684</v>
      </c>
      <c r="F816" s="99" t="str">
        <f t="shared" si="24"/>
        <v>NOR HAALAND - 9</v>
      </c>
      <c r="G816" s="99" t="str">
        <f t="shared" si="25"/>
        <v>NOR9</v>
      </c>
    </row>
    <row r="817" spans="1:7" ht="15" hidden="1" customHeight="1" x14ac:dyDescent="0.35">
      <c r="A817" s="99">
        <v>10</v>
      </c>
      <c r="B817" s="99" t="s">
        <v>282</v>
      </c>
      <c r="C817" s="100" t="s">
        <v>554</v>
      </c>
      <c r="D817" s="100" t="s">
        <v>1698</v>
      </c>
      <c r="E817" s="99" t="s">
        <v>1684</v>
      </c>
      <c r="F817" s="99" t="str">
        <f t="shared" si="24"/>
        <v>NOR ODEGAARD - 10</v>
      </c>
      <c r="G817" s="99" t="str">
        <f t="shared" si="25"/>
        <v>NOR10</v>
      </c>
    </row>
    <row r="818" spans="1:7" ht="15" hidden="1" customHeight="1" x14ac:dyDescent="0.35">
      <c r="A818" s="99">
        <v>11</v>
      </c>
      <c r="B818" s="99" t="s">
        <v>285</v>
      </c>
      <c r="C818" s="100" t="s">
        <v>1699</v>
      </c>
      <c r="D818" s="100" t="s">
        <v>1700</v>
      </c>
      <c r="E818" s="99" t="s">
        <v>1684</v>
      </c>
      <c r="F818" s="99" t="str">
        <f t="shared" si="24"/>
        <v>NOR STRAND LARSEN - 11</v>
      </c>
      <c r="G818" s="99" t="str">
        <f t="shared" si="25"/>
        <v>NOR11</v>
      </c>
    </row>
    <row r="819" spans="1:7" ht="15" hidden="1" customHeight="1" x14ac:dyDescent="0.35">
      <c r="A819" s="99">
        <v>12</v>
      </c>
      <c r="B819" s="99" t="s">
        <v>269</v>
      </c>
      <c r="C819" s="100" t="s">
        <v>1694</v>
      </c>
      <c r="D819" s="100" t="s">
        <v>1701</v>
      </c>
      <c r="E819" s="99" t="s">
        <v>1684</v>
      </c>
      <c r="F819" s="99" t="str">
        <f t="shared" si="24"/>
        <v>NOR (GK) TANGVIK - 12</v>
      </c>
      <c r="G819" s="99" t="str">
        <f t="shared" si="25"/>
        <v>NOR12</v>
      </c>
    </row>
    <row r="820" spans="1:7" ht="15" hidden="1" customHeight="1" x14ac:dyDescent="0.35">
      <c r="A820" s="99">
        <v>13</v>
      </c>
      <c r="B820" s="99" t="s">
        <v>269</v>
      </c>
      <c r="C820" s="100" t="s">
        <v>1702</v>
      </c>
      <c r="D820" s="100" t="s">
        <v>1703</v>
      </c>
      <c r="E820" s="99" t="s">
        <v>1684</v>
      </c>
      <c r="F820" s="99" t="str">
        <f t="shared" si="24"/>
        <v>NOR (GK) SELVIK - 13</v>
      </c>
      <c r="G820" s="99" t="str">
        <f t="shared" si="25"/>
        <v>NOR13</v>
      </c>
    </row>
    <row r="821" spans="1:7" ht="15" hidden="1" customHeight="1" x14ac:dyDescent="0.35">
      <c r="A821" s="99">
        <v>14</v>
      </c>
      <c r="B821" s="99" t="s">
        <v>282</v>
      </c>
      <c r="C821" s="100" t="s">
        <v>1704</v>
      </c>
      <c r="D821" s="100" t="s">
        <v>1705</v>
      </c>
      <c r="E821" s="99" t="s">
        <v>1684</v>
      </c>
      <c r="F821" s="99" t="str">
        <f t="shared" si="24"/>
        <v>NOR AURSNES - 14</v>
      </c>
      <c r="G821" s="99" t="str">
        <f t="shared" si="25"/>
        <v>NOR14</v>
      </c>
    </row>
    <row r="822" spans="1:7" ht="15" hidden="1" customHeight="1" x14ac:dyDescent="0.35">
      <c r="A822" s="99">
        <v>15</v>
      </c>
      <c r="B822" s="99" t="s">
        <v>273</v>
      </c>
      <c r="C822" s="100" t="s">
        <v>1706</v>
      </c>
      <c r="D822" s="100" t="s">
        <v>1707</v>
      </c>
      <c r="E822" s="99" t="s">
        <v>1684</v>
      </c>
      <c r="F822" s="99" t="str">
        <f t="shared" si="24"/>
        <v>NOR BJORKAN - 15</v>
      </c>
      <c r="G822" s="99" t="str">
        <f t="shared" si="25"/>
        <v>NOR15</v>
      </c>
    </row>
    <row r="823" spans="1:7" ht="15" hidden="1" customHeight="1" x14ac:dyDescent="0.35">
      <c r="A823" s="99">
        <v>16</v>
      </c>
      <c r="B823" s="99" t="s">
        <v>273</v>
      </c>
      <c r="C823" s="100" t="s">
        <v>1708</v>
      </c>
      <c r="D823" s="100" t="s">
        <v>1709</v>
      </c>
      <c r="E823" s="99" t="s">
        <v>1684</v>
      </c>
      <c r="F823" s="99" t="str">
        <f t="shared" si="24"/>
        <v>NOR PEDERSEN - 16</v>
      </c>
      <c r="G823" s="99" t="str">
        <f t="shared" si="25"/>
        <v>NOR16</v>
      </c>
    </row>
    <row r="824" spans="1:7" ht="15" hidden="1" customHeight="1" x14ac:dyDescent="0.35">
      <c r="A824" s="99">
        <v>17</v>
      </c>
      <c r="B824" s="99" t="s">
        <v>273</v>
      </c>
      <c r="C824" s="100" t="s">
        <v>1710</v>
      </c>
      <c r="D824" s="100" t="s">
        <v>1711</v>
      </c>
      <c r="E824" s="99" t="s">
        <v>1684</v>
      </c>
      <c r="F824" s="99" t="str">
        <f t="shared" si="24"/>
        <v>NOR HEGGEM - 17</v>
      </c>
      <c r="G824" s="99" t="str">
        <f t="shared" si="25"/>
        <v>NOR17</v>
      </c>
    </row>
    <row r="825" spans="1:7" ht="15" hidden="1" customHeight="1" x14ac:dyDescent="0.35">
      <c r="A825" s="99">
        <v>18</v>
      </c>
      <c r="B825" s="99" t="s">
        <v>282</v>
      </c>
      <c r="C825" s="100" t="s">
        <v>1712</v>
      </c>
      <c r="D825" s="100" t="s">
        <v>1713</v>
      </c>
      <c r="E825" s="99" t="s">
        <v>1684</v>
      </c>
      <c r="F825" s="99" t="str">
        <f t="shared" si="24"/>
        <v>NOR THORSTVEDT - 18</v>
      </c>
      <c r="G825" s="99" t="str">
        <f t="shared" si="25"/>
        <v>NOR18</v>
      </c>
    </row>
    <row r="826" spans="1:7" ht="15" hidden="1" customHeight="1" x14ac:dyDescent="0.35">
      <c r="A826" s="99">
        <v>19</v>
      </c>
      <c r="B826" s="99" t="s">
        <v>282</v>
      </c>
      <c r="C826" s="100" t="s">
        <v>1714</v>
      </c>
      <c r="D826" s="100" t="s">
        <v>1715</v>
      </c>
      <c r="E826" s="99" t="s">
        <v>1684</v>
      </c>
      <c r="F826" s="99" t="str">
        <f t="shared" si="24"/>
        <v>NOR AASGAARD - 19</v>
      </c>
      <c r="G826" s="99" t="str">
        <f t="shared" si="25"/>
        <v>NOR19</v>
      </c>
    </row>
    <row r="827" spans="1:7" ht="15" hidden="1" customHeight="1" x14ac:dyDescent="0.35">
      <c r="A827" s="99">
        <v>20</v>
      </c>
      <c r="B827" s="99" t="s">
        <v>285</v>
      </c>
      <c r="C827" s="100" t="s">
        <v>1154</v>
      </c>
      <c r="D827" s="100" t="s">
        <v>1716</v>
      </c>
      <c r="E827" s="99" t="s">
        <v>1684</v>
      </c>
      <c r="F827" s="99" t="str">
        <f t="shared" si="24"/>
        <v>NOR NUSA - 20</v>
      </c>
      <c r="G827" s="99" t="str">
        <f t="shared" si="25"/>
        <v>NOR20</v>
      </c>
    </row>
    <row r="828" spans="1:7" ht="15" hidden="1" customHeight="1" x14ac:dyDescent="0.35">
      <c r="A828" s="99">
        <v>21</v>
      </c>
      <c r="B828" s="99" t="s">
        <v>282</v>
      </c>
      <c r="C828" s="100" t="s">
        <v>1717</v>
      </c>
      <c r="D828" s="100" t="s">
        <v>1718</v>
      </c>
      <c r="E828" s="99" t="s">
        <v>1684</v>
      </c>
      <c r="F828" s="99" t="str">
        <f t="shared" si="24"/>
        <v>NOR SCHJELDERUP - 21</v>
      </c>
      <c r="G828" s="99" t="str">
        <f t="shared" si="25"/>
        <v>NOR21</v>
      </c>
    </row>
    <row r="829" spans="1:7" ht="15" hidden="1" customHeight="1" x14ac:dyDescent="0.35">
      <c r="A829" s="99">
        <v>22</v>
      </c>
      <c r="B829" s="99" t="s">
        <v>282</v>
      </c>
      <c r="C829" s="100" t="s">
        <v>1719</v>
      </c>
      <c r="D829" s="100" t="s">
        <v>1720</v>
      </c>
      <c r="E829" s="99" t="s">
        <v>1684</v>
      </c>
      <c r="F829" s="99" t="str">
        <f t="shared" si="24"/>
        <v>NOR BOBB - 22</v>
      </c>
      <c r="G829" s="99" t="str">
        <f t="shared" si="25"/>
        <v>NOR22</v>
      </c>
    </row>
    <row r="830" spans="1:7" ht="15" hidden="1" customHeight="1" x14ac:dyDescent="0.35">
      <c r="A830" s="99">
        <v>23</v>
      </c>
      <c r="B830" s="99" t="s">
        <v>282</v>
      </c>
      <c r="C830" s="100" t="s">
        <v>1721</v>
      </c>
      <c r="D830" s="100" t="s">
        <v>1722</v>
      </c>
      <c r="E830" s="99" t="s">
        <v>1684</v>
      </c>
      <c r="F830" s="99" t="str">
        <f t="shared" si="24"/>
        <v>NOR HAUGE - 23</v>
      </c>
      <c r="G830" s="99" t="str">
        <f t="shared" si="25"/>
        <v>NOR23</v>
      </c>
    </row>
    <row r="831" spans="1:7" ht="15" hidden="1" customHeight="1" x14ac:dyDescent="0.35">
      <c r="A831" s="99">
        <v>24</v>
      </c>
      <c r="B831" s="99" t="s">
        <v>273</v>
      </c>
      <c r="C831" s="100" t="s">
        <v>1723</v>
      </c>
      <c r="D831" s="100" t="s">
        <v>1724</v>
      </c>
      <c r="E831" s="99" t="s">
        <v>1684</v>
      </c>
      <c r="F831" s="99" t="str">
        <f t="shared" si="24"/>
        <v>NOR LANGAS - 24</v>
      </c>
      <c r="G831" s="99" t="str">
        <f t="shared" si="25"/>
        <v>NOR24</v>
      </c>
    </row>
    <row r="832" spans="1:7" ht="15" hidden="1" customHeight="1" x14ac:dyDescent="0.35">
      <c r="A832" s="99">
        <v>25</v>
      </c>
      <c r="B832" s="99" t="s">
        <v>273</v>
      </c>
      <c r="C832" s="100" t="s">
        <v>1725</v>
      </c>
      <c r="D832" s="100" t="s">
        <v>1726</v>
      </c>
      <c r="E832" s="99" t="s">
        <v>1684</v>
      </c>
      <c r="F832" s="99" t="str">
        <f t="shared" si="24"/>
        <v>NOR FALCHENER - 25</v>
      </c>
      <c r="G832" s="99" t="str">
        <f t="shared" si="25"/>
        <v>NOR25</v>
      </c>
    </row>
    <row r="833" spans="1:7" ht="15" hidden="1" customHeight="1" x14ac:dyDescent="0.35">
      <c r="A833" s="99">
        <v>26</v>
      </c>
      <c r="B833" s="99" t="s">
        <v>285</v>
      </c>
      <c r="C833" s="100" t="s">
        <v>342</v>
      </c>
      <c r="D833" s="100" t="s">
        <v>1727</v>
      </c>
      <c r="E833" s="99" t="s">
        <v>1684</v>
      </c>
      <c r="F833" s="99" t="str">
        <f t="shared" si="24"/>
        <v>NOR RYERSON - 26</v>
      </c>
      <c r="G833" s="99" t="str">
        <f t="shared" si="25"/>
        <v>NOR26</v>
      </c>
    </row>
    <row r="834" spans="1:7" ht="15" hidden="1" customHeight="1" x14ac:dyDescent="0.35">
      <c r="A834" s="101">
        <v>1</v>
      </c>
      <c r="B834" s="101" t="s">
        <v>269</v>
      </c>
      <c r="C834" s="102" t="s">
        <v>728</v>
      </c>
      <c r="D834" s="102" t="s">
        <v>1728</v>
      </c>
      <c r="E834" s="101" t="s">
        <v>1729</v>
      </c>
      <c r="F834" s="101" t="str">
        <f t="shared" si="24"/>
        <v>PAN (GK) MEJIA - 1</v>
      </c>
      <c r="G834" s="101" t="str">
        <f t="shared" si="25"/>
        <v>PAN1</v>
      </c>
    </row>
    <row r="835" spans="1:7" ht="15" hidden="1" customHeight="1" x14ac:dyDescent="0.35">
      <c r="A835" s="101">
        <v>2</v>
      </c>
      <c r="B835" s="101" t="s">
        <v>273</v>
      </c>
      <c r="C835" s="102" t="s">
        <v>1511</v>
      </c>
      <c r="D835" s="102" t="s">
        <v>1730</v>
      </c>
      <c r="E835" s="101" t="s">
        <v>1729</v>
      </c>
      <c r="F835" s="101" t="str">
        <f t="shared" ref="F835:F898" si="26">IF(B835="GK", _xlfn.CONCAT(E835, " ","(",B835, ") ",D835, " - ", A835),  _xlfn.CONCAT(E835, " ",D835, " - ", A835))</f>
        <v>PAN BLACKMAN - 2</v>
      </c>
      <c r="G835" s="101" t="str">
        <f t="shared" ref="G835:G898" si="27">_xlfn.CONCAT(E835,A835)</f>
        <v>PAN2</v>
      </c>
    </row>
    <row r="836" spans="1:7" ht="15" hidden="1" customHeight="1" x14ac:dyDescent="0.35">
      <c r="A836" s="101">
        <v>3</v>
      </c>
      <c r="B836" s="101" t="s">
        <v>273</v>
      </c>
      <c r="C836" s="102" t="s">
        <v>1731</v>
      </c>
      <c r="D836" s="102" t="s">
        <v>732</v>
      </c>
      <c r="E836" s="101" t="s">
        <v>1729</v>
      </c>
      <c r="F836" s="101" t="str">
        <f t="shared" si="26"/>
        <v>PAN CORDOBA - 3</v>
      </c>
      <c r="G836" s="101" t="str">
        <f t="shared" si="27"/>
        <v>PAN3</v>
      </c>
    </row>
    <row r="837" spans="1:7" ht="15" hidden="1" customHeight="1" x14ac:dyDescent="0.35">
      <c r="A837" s="101">
        <v>4</v>
      </c>
      <c r="B837" s="101" t="s">
        <v>273</v>
      </c>
      <c r="C837" s="102" t="s">
        <v>1732</v>
      </c>
      <c r="D837" s="102" t="s">
        <v>1733</v>
      </c>
      <c r="E837" s="101" t="s">
        <v>1729</v>
      </c>
      <c r="F837" s="101" t="str">
        <f t="shared" si="26"/>
        <v>PAN ESCOBAR - 4</v>
      </c>
      <c r="G837" s="101" t="str">
        <f t="shared" si="27"/>
        <v>PAN4</v>
      </c>
    </row>
    <row r="838" spans="1:7" ht="15" hidden="1" customHeight="1" x14ac:dyDescent="0.35">
      <c r="A838" s="101">
        <v>5</v>
      </c>
      <c r="B838" s="101" t="s">
        <v>273</v>
      </c>
      <c r="C838" s="102" t="s">
        <v>1734</v>
      </c>
      <c r="D838" s="102" t="s">
        <v>1735</v>
      </c>
      <c r="E838" s="101" t="s">
        <v>1729</v>
      </c>
      <c r="F838" s="101" t="str">
        <f t="shared" si="26"/>
        <v>PAN FARINA - 5</v>
      </c>
      <c r="G838" s="101" t="str">
        <f t="shared" si="27"/>
        <v>PAN5</v>
      </c>
    </row>
    <row r="839" spans="1:7" ht="15" hidden="1" customHeight="1" x14ac:dyDescent="0.35">
      <c r="A839" s="101">
        <v>6</v>
      </c>
      <c r="B839" s="101" t="s">
        <v>282</v>
      </c>
      <c r="C839" s="102" t="s">
        <v>350</v>
      </c>
      <c r="D839" s="102" t="s">
        <v>337</v>
      </c>
      <c r="E839" s="101" t="s">
        <v>1729</v>
      </c>
      <c r="F839" s="101" t="str">
        <f t="shared" si="26"/>
        <v>PAN MARTINEZ - 6</v>
      </c>
      <c r="G839" s="101" t="str">
        <f t="shared" si="27"/>
        <v>PAN6</v>
      </c>
    </row>
    <row r="840" spans="1:7" ht="15" hidden="1" customHeight="1" x14ac:dyDescent="0.35">
      <c r="A840" s="101">
        <v>7</v>
      </c>
      <c r="B840" s="101" t="s">
        <v>282</v>
      </c>
      <c r="C840" s="102" t="s">
        <v>1736</v>
      </c>
      <c r="D840" s="102" t="s">
        <v>734</v>
      </c>
      <c r="E840" s="101" t="s">
        <v>1729</v>
      </c>
      <c r="F840" s="101" t="str">
        <f t="shared" si="26"/>
        <v>PAN RODRIGUEZ - 7</v>
      </c>
      <c r="G840" s="101" t="str">
        <f t="shared" si="27"/>
        <v>PAN7</v>
      </c>
    </row>
    <row r="841" spans="1:7" ht="15" hidden="1" customHeight="1" x14ac:dyDescent="0.35">
      <c r="A841" s="101">
        <v>8</v>
      </c>
      <c r="B841" s="101" t="s">
        <v>282</v>
      </c>
      <c r="C841" s="102" t="s">
        <v>1737</v>
      </c>
      <c r="D841" s="102" t="s">
        <v>1738</v>
      </c>
      <c r="E841" s="101" t="s">
        <v>1729</v>
      </c>
      <c r="F841" s="101" t="str">
        <f t="shared" si="26"/>
        <v>PAN CARRASQUILLA - 8</v>
      </c>
      <c r="G841" s="101" t="str">
        <f t="shared" si="27"/>
        <v>PAN8</v>
      </c>
    </row>
    <row r="842" spans="1:7" ht="15" hidden="1" customHeight="1" x14ac:dyDescent="0.35">
      <c r="A842" s="101">
        <v>9</v>
      </c>
      <c r="B842" s="101" t="s">
        <v>285</v>
      </c>
      <c r="C842" s="102" t="s">
        <v>946</v>
      </c>
      <c r="D842" s="102" t="s">
        <v>734</v>
      </c>
      <c r="E842" s="101" t="s">
        <v>1729</v>
      </c>
      <c r="F842" s="101" t="str">
        <f t="shared" si="26"/>
        <v>PAN RODRIGUEZ - 9</v>
      </c>
      <c r="G842" s="101" t="str">
        <f t="shared" si="27"/>
        <v>PAN9</v>
      </c>
    </row>
    <row r="843" spans="1:7" ht="15" hidden="1" customHeight="1" x14ac:dyDescent="0.35">
      <c r="A843" s="101">
        <v>10</v>
      </c>
      <c r="B843" s="101" t="s">
        <v>282</v>
      </c>
      <c r="C843" s="102" t="s">
        <v>683</v>
      </c>
      <c r="D843" s="102" t="s">
        <v>729</v>
      </c>
      <c r="E843" s="101" t="s">
        <v>1729</v>
      </c>
      <c r="F843" s="101" t="str">
        <f t="shared" si="26"/>
        <v>PAN DIAZ - 10</v>
      </c>
      <c r="G843" s="101" t="str">
        <f t="shared" si="27"/>
        <v>PAN10</v>
      </c>
    </row>
    <row r="844" spans="1:7" ht="15" hidden="1" customHeight="1" x14ac:dyDescent="0.35">
      <c r="A844" s="101">
        <v>11</v>
      </c>
      <c r="B844" s="101" t="s">
        <v>282</v>
      </c>
      <c r="C844" s="102" t="s">
        <v>1739</v>
      </c>
      <c r="D844" s="102" t="s">
        <v>1740</v>
      </c>
      <c r="E844" s="101" t="s">
        <v>1729</v>
      </c>
      <c r="F844" s="101" t="str">
        <f t="shared" si="26"/>
        <v>PAN BARCENAS - 11</v>
      </c>
      <c r="G844" s="101" t="str">
        <f t="shared" si="27"/>
        <v>PAN11</v>
      </c>
    </row>
    <row r="845" spans="1:7" ht="15" hidden="1" customHeight="1" x14ac:dyDescent="0.35">
      <c r="A845" s="101">
        <v>12</v>
      </c>
      <c r="B845" s="101" t="s">
        <v>269</v>
      </c>
      <c r="C845" s="102" t="s">
        <v>1511</v>
      </c>
      <c r="D845" s="102" t="s">
        <v>1741</v>
      </c>
      <c r="E845" s="101" t="s">
        <v>1729</v>
      </c>
      <c r="F845" s="101" t="str">
        <f t="shared" si="26"/>
        <v>PAN (GK) SAMUDIO - 12</v>
      </c>
      <c r="G845" s="101" t="str">
        <f t="shared" si="27"/>
        <v>PAN12</v>
      </c>
    </row>
    <row r="846" spans="1:7" ht="15" hidden="1" customHeight="1" x14ac:dyDescent="0.35">
      <c r="A846" s="101">
        <v>13</v>
      </c>
      <c r="B846" s="101" t="s">
        <v>273</v>
      </c>
      <c r="C846" s="102" t="s">
        <v>1742</v>
      </c>
      <c r="D846" s="102" t="s">
        <v>1743</v>
      </c>
      <c r="E846" s="101" t="s">
        <v>1729</v>
      </c>
      <c r="F846" s="101" t="str">
        <f t="shared" si="26"/>
        <v>PAN RAMOS - 13</v>
      </c>
      <c r="G846" s="101" t="str">
        <f t="shared" si="27"/>
        <v>PAN13</v>
      </c>
    </row>
    <row r="847" spans="1:7" ht="15" hidden="1" customHeight="1" x14ac:dyDescent="0.35">
      <c r="A847" s="101">
        <v>14</v>
      </c>
      <c r="B847" s="101" t="s">
        <v>273</v>
      </c>
      <c r="C847" s="102" t="s">
        <v>1522</v>
      </c>
      <c r="D847" s="102" t="s">
        <v>1744</v>
      </c>
      <c r="E847" s="101" t="s">
        <v>1729</v>
      </c>
      <c r="F847" s="101" t="str">
        <f t="shared" si="26"/>
        <v>PAN HARVEY - 14</v>
      </c>
      <c r="G847" s="101" t="str">
        <f t="shared" si="27"/>
        <v>PAN14</v>
      </c>
    </row>
    <row r="848" spans="1:7" ht="15" hidden="1" customHeight="1" x14ac:dyDescent="0.35">
      <c r="A848" s="101">
        <v>15</v>
      </c>
      <c r="B848" s="101" t="s">
        <v>273</v>
      </c>
      <c r="C848" s="102" t="s">
        <v>1745</v>
      </c>
      <c r="D848" s="102" t="s">
        <v>1746</v>
      </c>
      <c r="E848" s="101" t="s">
        <v>1729</v>
      </c>
      <c r="F848" s="101" t="str">
        <f t="shared" si="26"/>
        <v>PAN DAVIS - 15</v>
      </c>
      <c r="G848" s="101" t="str">
        <f t="shared" si="27"/>
        <v>PAN15</v>
      </c>
    </row>
    <row r="849" spans="1:7" ht="15" hidden="1" customHeight="1" x14ac:dyDescent="0.35">
      <c r="A849" s="101">
        <v>16</v>
      </c>
      <c r="B849" s="101" t="s">
        <v>273</v>
      </c>
      <c r="C849" s="102" t="s">
        <v>760</v>
      </c>
      <c r="D849" s="102" t="s">
        <v>1747</v>
      </c>
      <c r="E849" s="101" t="s">
        <v>1729</v>
      </c>
      <c r="F849" s="101" t="str">
        <f t="shared" si="26"/>
        <v>PAN ANDRADE - 16</v>
      </c>
      <c r="G849" s="101" t="str">
        <f t="shared" si="27"/>
        <v>PAN16</v>
      </c>
    </row>
    <row r="850" spans="1:7" ht="15" hidden="1" customHeight="1" x14ac:dyDescent="0.35">
      <c r="A850" s="101">
        <v>17</v>
      </c>
      <c r="B850" s="101" t="s">
        <v>285</v>
      </c>
      <c r="C850" s="102" t="s">
        <v>1731</v>
      </c>
      <c r="D850" s="102" t="s">
        <v>1748</v>
      </c>
      <c r="E850" s="101" t="s">
        <v>1729</v>
      </c>
      <c r="F850" s="101" t="str">
        <f t="shared" si="26"/>
        <v>PAN FAJARDO - 17</v>
      </c>
      <c r="G850" s="101" t="str">
        <f t="shared" si="27"/>
        <v>PAN17</v>
      </c>
    </row>
    <row r="851" spans="1:7" ht="15" hidden="1" customHeight="1" x14ac:dyDescent="0.35">
      <c r="A851" s="101">
        <v>18</v>
      </c>
      <c r="B851" s="101" t="s">
        <v>285</v>
      </c>
      <c r="C851" s="102" t="s">
        <v>1749</v>
      </c>
      <c r="D851" s="102" t="s">
        <v>678</v>
      </c>
      <c r="E851" s="101" t="s">
        <v>1729</v>
      </c>
      <c r="F851" s="101" t="str">
        <f t="shared" si="26"/>
        <v>PAN WATERMAN - 18</v>
      </c>
      <c r="G851" s="101" t="str">
        <f t="shared" si="27"/>
        <v>PAN18</v>
      </c>
    </row>
    <row r="852" spans="1:7" ht="15" hidden="1" customHeight="1" x14ac:dyDescent="0.35">
      <c r="A852" s="101">
        <v>19</v>
      </c>
      <c r="B852" s="101" t="s">
        <v>282</v>
      </c>
      <c r="C852" s="102" t="s">
        <v>1750</v>
      </c>
      <c r="D852" s="102" t="s">
        <v>750</v>
      </c>
      <c r="E852" s="101" t="s">
        <v>1729</v>
      </c>
      <c r="F852" s="101" t="str">
        <f t="shared" si="26"/>
        <v>PAN QUINTERO - 19</v>
      </c>
      <c r="G852" s="101" t="str">
        <f t="shared" si="27"/>
        <v>PAN19</v>
      </c>
    </row>
    <row r="853" spans="1:7" ht="15" hidden="1" customHeight="1" x14ac:dyDescent="0.35">
      <c r="A853" s="101">
        <v>20</v>
      </c>
      <c r="B853" s="101" t="s">
        <v>282</v>
      </c>
      <c r="C853" s="102" t="s">
        <v>1751</v>
      </c>
      <c r="D853" s="102" t="s">
        <v>1752</v>
      </c>
      <c r="E853" s="101" t="s">
        <v>1729</v>
      </c>
      <c r="F853" s="101" t="str">
        <f t="shared" si="26"/>
        <v>PAN GODOY - 20</v>
      </c>
      <c r="G853" s="101" t="str">
        <f t="shared" si="27"/>
        <v>PAN20</v>
      </c>
    </row>
    <row r="854" spans="1:7" ht="15" hidden="1" customHeight="1" x14ac:dyDescent="0.35">
      <c r="A854" s="101">
        <v>21</v>
      </c>
      <c r="B854" s="101" t="s">
        <v>282</v>
      </c>
      <c r="C854" s="102" t="s">
        <v>1511</v>
      </c>
      <c r="D854" s="102" t="s">
        <v>1753</v>
      </c>
      <c r="E854" s="101" t="s">
        <v>1729</v>
      </c>
      <c r="F854" s="101" t="str">
        <f t="shared" si="26"/>
        <v>PAN YANIS - 21</v>
      </c>
      <c r="G854" s="101" t="str">
        <f t="shared" si="27"/>
        <v>PAN21</v>
      </c>
    </row>
    <row r="855" spans="1:7" ht="15" hidden="1" customHeight="1" x14ac:dyDescent="0.35">
      <c r="A855" s="101">
        <v>22</v>
      </c>
      <c r="B855" s="101" t="s">
        <v>269</v>
      </c>
      <c r="C855" s="102" t="s">
        <v>1754</v>
      </c>
      <c r="D855" s="102" t="s">
        <v>1755</v>
      </c>
      <c r="E855" s="101" t="s">
        <v>1729</v>
      </c>
      <c r="F855" s="101" t="str">
        <f t="shared" si="26"/>
        <v>PAN (GK) MOSQUERA - 22</v>
      </c>
      <c r="G855" s="101" t="str">
        <f t="shared" si="27"/>
        <v>PAN22</v>
      </c>
    </row>
    <row r="856" spans="1:7" ht="15" hidden="1" customHeight="1" x14ac:dyDescent="0.35">
      <c r="A856" s="101">
        <v>23</v>
      </c>
      <c r="B856" s="101" t="s">
        <v>273</v>
      </c>
      <c r="C856" s="102" t="s">
        <v>543</v>
      </c>
      <c r="D856" s="102" t="s">
        <v>1756</v>
      </c>
      <c r="E856" s="101" t="s">
        <v>1729</v>
      </c>
      <c r="F856" s="101" t="str">
        <f t="shared" si="26"/>
        <v>PAN MURILLO - 23</v>
      </c>
      <c r="G856" s="101" t="str">
        <f t="shared" si="27"/>
        <v>PAN23</v>
      </c>
    </row>
    <row r="857" spans="1:7" ht="15" hidden="1" customHeight="1" x14ac:dyDescent="0.35">
      <c r="A857" s="101">
        <v>24</v>
      </c>
      <c r="B857" s="101" t="s">
        <v>285</v>
      </c>
      <c r="C857" s="102" t="s">
        <v>1757</v>
      </c>
      <c r="D857" s="102" t="s">
        <v>1758</v>
      </c>
      <c r="E857" s="101" t="s">
        <v>1729</v>
      </c>
      <c r="F857" s="101" t="str">
        <f t="shared" si="26"/>
        <v>PAN LONDONO - 24</v>
      </c>
      <c r="G857" s="101" t="str">
        <f t="shared" si="27"/>
        <v>PAN24</v>
      </c>
    </row>
    <row r="858" spans="1:7" ht="15" hidden="1" customHeight="1" x14ac:dyDescent="0.35">
      <c r="A858" s="101">
        <v>25</v>
      </c>
      <c r="B858" s="101" t="s">
        <v>273</v>
      </c>
      <c r="C858" s="102" t="s">
        <v>1759</v>
      </c>
      <c r="D858" s="102" t="s">
        <v>1760</v>
      </c>
      <c r="E858" s="101" t="s">
        <v>1729</v>
      </c>
      <c r="F858" s="101" t="str">
        <f t="shared" si="26"/>
        <v>PAN MILLER - 25</v>
      </c>
      <c r="G858" s="101" t="str">
        <f t="shared" si="27"/>
        <v>PAN25</v>
      </c>
    </row>
    <row r="859" spans="1:7" ht="15" hidden="1" customHeight="1" x14ac:dyDescent="0.35">
      <c r="A859" s="101">
        <v>26</v>
      </c>
      <c r="B859" s="101" t="s">
        <v>273</v>
      </c>
      <c r="C859" s="102" t="s">
        <v>730</v>
      </c>
      <c r="D859" s="102" t="s">
        <v>1540</v>
      </c>
      <c r="E859" s="101" t="s">
        <v>1729</v>
      </c>
      <c r="F859" s="101" t="str">
        <f t="shared" si="26"/>
        <v>PAN GUTIERREZ - 26</v>
      </c>
      <c r="G859" s="101" t="str">
        <f t="shared" si="27"/>
        <v>PAN26</v>
      </c>
    </row>
    <row r="860" spans="1:7" ht="15" customHeight="1" x14ac:dyDescent="0.35">
      <c r="A860" s="103">
        <v>1</v>
      </c>
      <c r="B860" s="103" t="s">
        <v>269</v>
      </c>
      <c r="C860" s="104" t="s">
        <v>1761</v>
      </c>
      <c r="D860" s="104" t="s">
        <v>369</v>
      </c>
      <c r="E860" s="103" t="s">
        <v>1762</v>
      </c>
      <c r="F860" s="103" t="str">
        <f t="shared" si="26"/>
        <v>PRY (GK) FERNANDEZ - 1</v>
      </c>
      <c r="G860" s="103" t="str">
        <f t="shared" si="27"/>
        <v>PRY1</v>
      </c>
    </row>
    <row r="861" spans="1:7" ht="15" customHeight="1" x14ac:dyDescent="0.35">
      <c r="A861" s="103">
        <v>2</v>
      </c>
      <c r="B861" s="103" t="s">
        <v>273</v>
      </c>
      <c r="C861" s="104" t="s">
        <v>739</v>
      </c>
      <c r="D861" s="104" t="s">
        <v>1763</v>
      </c>
      <c r="E861" s="103" t="s">
        <v>1762</v>
      </c>
      <c r="F861" s="103" t="str">
        <f t="shared" si="26"/>
        <v>PRY VELAZQUEZ - 2</v>
      </c>
      <c r="G861" s="103" t="str">
        <f t="shared" si="27"/>
        <v>PRY2</v>
      </c>
    </row>
    <row r="862" spans="1:7" ht="15" customHeight="1" x14ac:dyDescent="0.35">
      <c r="A862" s="103">
        <v>3</v>
      </c>
      <c r="B862" s="103" t="s">
        <v>273</v>
      </c>
      <c r="C862" s="104" t="s">
        <v>1062</v>
      </c>
      <c r="D862" s="104" t="s">
        <v>1764</v>
      </c>
      <c r="E862" s="103" t="s">
        <v>1762</v>
      </c>
      <c r="F862" s="103" t="str">
        <f t="shared" si="26"/>
        <v>PRY ALDERETE - 3</v>
      </c>
      <c r="G862" s="103" t="str">
        <f t="shared" si="27"/>
        <v>PRY3</v>
      </c>
    </row>
    <row r="863" spans="1:7" ht="15" customHeight="1" x14ac:dyDescent="0.35">
      <c r="A863" s="103">
        <v>4</v>
      </c>
      <c r="B863" s="103" t="s">
        <v>273</v>
      </c>
      <c r="C863" s="104" t="s">
        <v>1765</v>
      </c>
      <c r="D863" s="104" t="s">
        <v>1766</v>
      </c>
      <c r="E863" s="103" t="s">
        <v>1762</v>
      </c>
      <c r="F863" s="103" t="str">
        <f t="shared" si="26"/>
        <v>PRY CACERES - 4</v>
      </c>
      <c r="G863" s="103" t="str">
        <f t="shared" si="27"/>
        <v>PRY4</v>
      </c>
    </row>
    <row r="864" spans="1:7" ht="15" customHeight="1" x14ac:dyDescent="0.35">
      <c r="A864" s="103">
        <v>5</v>
      </c>
      <c r="B864" s="103" t="s">
        <v>273</v>
      </c>
      <c r="C864" s="104" t="s">
        <v>1767</v>
      </c>
      <c r="D864" s="104" t="s">
        <v>1768</v>
      </c>
      <c r="E864" s="103" t="s">
        <v>1762</v>
      </c>
      <c r="F864" s="103" t="str">
        <f t="shared" si="26"/>
        <v>PRY BALBUENA - 5</v>
      </c>
      <c r="G864" s="103" t="str">
        <f t="shared" si="27"/>
        <v>PRY5</v>
      </c>
    </row>
    <row r="865" spans="1:7" ht="15" customHeight="1" x14ac:dyDescent="0.35">
      <c r="A865" s="103">
        <v>6</v>
      </c>
      <c r="B865" s="103" t="s">
        <v>273</v>
      </c>
      <c r="C865" s="104" t="s">
        <v>1769</v>
      </c>
      <c r="D865" s="104" t="s">
        <v>1770</v>
      </c>
      <c r="E865" s="103" t="s">
        <v>1762</v>
      </c>
      <c r="F865" s="103" t="str">
        <f t="shared" si="26"/>
        <v>PRY ALONSO - 6</v>
      </c>
      <c r="G865" s="103" t="str">
        <f t="shared" si="27"/>
        <v>PRY6</v>
      </c>
    </row>
    <row r="866" spans="1:7" ht="15" customHeight="1" x14ac:dyDescent="0.35">
      <c r="A866" s="103">
        <v>7</v>
      </c>
      <c r="B866" s="103" t="s">
        <v>282</v>
      </c>
      <c r="C866" s="104" t="s">
        <v>1771</v>
      </c>
      <c r="D866" s="104" t="s">
        <v>1772</v>
      </c>
      <c r="E866" s="103" t="s">
        <v>1762</v>
      </c>
      <c r="F866" s="103" t="str">
        <f t="shared" si="26"/>
        <v>PRY SOSA - 7</v>
      </c>
      <c r="G866" s="103" t="str">
        <f t="shared" si="27"/>
        <v>PRY7</v>
      </c>
    </row>
    <row r="867" spans="1:7" ht="15" customHeight="1" x14ac:dyDescent="0.35">
      <c r="A867" s="103">
        <v>8</v>
      </c>
      <c r="B867" s="103" t="s">
        <v>282</v>
      </c>
      <c r="C867" s="104" t="s">
        <v>500</v>
      </c>
      <c r="D867" s="104" t="s">
        <v>761</v>
      </c>
      <c r="E867" s="103" t="s">
        <v>1762</v>
      </c>
      <c r="F867" s="103" t="str">
        <f t="shared" si="26"/>
        <v>PRY GOMEZ - 8</v>
      </c>
      <c r="G867" s="103" t="str">
        <f t="shared" si="27"/>
        <v>PRY8</v>
      </c>
    </row>
    <row r="868" spans="1:7" ht="15" customHeight="1" x14ac:dyDescent="0.35">
      <c r="A868" s="103">
        <v>9</v>
      </c>
      <c r="B868" s="103" t="s">
        <v>285</v>
      </c>
      <c r="C868" s="104" t="s">
        <v>1154</v>
      </c>
      <c r="D868" s="104" t="s">
        <v>1773</v>
      </c>
      <c r="E868" s="103" t="s">
        <v>1762</v>
      </c>
      <c r="F868" s="103" t="str">
        <f t="shared" si="26"/>
        <v>PRY SANABRIA - 9</v>
      </c>
      <c r="G868" s="103" t="str">
        <f t="shared" si="27"/>
        <v>PRY9</v>
      </c>
    </row>
    <row r="869" spans="1:7" ht="15" customHeight="1" x14ac:dyDescent="0.35">
      <c r="A869" s="103">
        <v>10</v>
      </c>
      <c r="B869" s="103" t="s">
        <v>282</v>
      </c>
      <c r="C869" s="104" t="s">
        <v>1774</v>
      </c>
      <c r="D869" s="104" t="s">
        <v>1775</v>
      </c>
      <c r="E869" s="103" t="s">
        <v>1762</v>
      </c>
      <c r="F869" s="103" t="str">
        <f t="shared" si="26"/>
        <v>PRY ALMIRON - 10</v>
      </c>
      <c r="G869" s="103" t="str">
        <f t="shared" si="27"/>
        <v>PRY10</v>
      </c>
    </row>
    <row r="870" spans="1:7" ht="15" customHeight="1" x14ac:dyDescent="0.35">
      <c r="A870" s="103">
        <v>11</v>
      </c>
      <c r="B870" s="103" t="s">
        <v>282</v>
      </c>
      <c r="C870" s="104" t="s">
        <v>1776</v>
      </c>
      <c r="D870" s="104" t="s">
        <v>1777</v>
      </c>
      <c r="E870" s="103" t="s">
        <v>1762</v>
      </c>
      <c r="F870" s="103" t="str">
        <f t="shared" si="26"/>
        <v>PRY MAURICIO - 11</v>
      </c>
      <c r="G870" s="103" t="str">
        <f t="shared" si="27"/>
        <v>PRY11</v>
      </c>
    </row>
    <row r="871" spans="1:7" ht="15" customHeight="1" x14ac:dyDescent="0.35">
      <c r="A871" s="103">
        <v>12</v>
      </c>
      <c r="B871" s="103" t="s">
        <v>269</v>
      </c>
      <c r="C871" s="104" t="s">
        <v>1754</v>
      </c>
      <c r="D871" s="104" t="s">
        <v>1778</v>
      </c>
      <c r="E871" s="103" t="s">
        <v>1762</v>
      </c>
      <c r="F871" s="103" t="str">
        <f t="shared" si="26"/>
        <v>PRY (GK) GILL - 12</v>
      </c>
      <c r="G871" s="103" t="str">
        <f t="shared" si="27"/>
        <v>PRY12</v>
      </c>
    </row>
    <row r="872" spans="1:7" ht="15" customHeight="1" x14ac:dyDescent="0.35">
      <c r="A872" s="103">
        <v>13</v>
      </c>
      <c r="B872" s="103" t="s">
        <v>273</v>
      </c>
      <c r="C872" s="104" t="s">
        <v>1731</v>
      </c>
      <c r="D872" s="104" t="s">
        <v>1779</v>
      </c>
      <c r="E872" s="103" t="s">
        <v>1762</v>
      </c>
      <c r="F872" s="103" t="str">
        <f t="shared" si="26"/>
        <v>PRY CANALE - 13</v>
      </c>
      <c r="G872" s="103" t="str">
        <f t="shared" si="27"/>
        <v>PRY13</v>
      </c>
    </row>
    <row r="873" spans="1:7" ht="15" customHeight="1" x14ac:dyDescent="0.35">
      <c r="A873" s="103">
        <v>14</v>
      </c>
      <c r="B873" s="103" t="s">
        <v>282</v>
      </c>
      <c r="C873" s="104" t="s">
        <v>760</v>
      </c>
      <c r="D873" s="104" t="s">
        <v>1780</v>
      </c>
      <c r="E873" s="103" t="s">
        <v>1762</v>
      </c>
      <c r="F873" s="103" t="str">
        <f t="shared" si="26"/>
        <v>PRY CUBAS - 14</v>
      </c>
      <c r="G873" s="103" t="str">
        <f t="shared" si="27"/>
        <v>PRY14</v>
      </c>
    </row>
    <row r="874" spans="1:7" ht="15" customHeight="1" x14ac:dyDescent="0.35">
      <c r="A874" s="103">
        <v>15</v>
      </c>
      <c r="B874" s="103" t="s">
        <v>273</v>
      </c>
      <c r="C874" s="104" t="s">
        <v>739</v>
      </c>
      <c r="D874" s="104" t="s">
        <v>761</v>
      </c>
      <c r="E874" s="103" t="s">
        <v>1762</v>
      </c>
      <c r="F874" s="103" t="str">
        <f t="shared" si="26"/>
        <v>PRY GOMEZ - 15</v>
      </c>
      <c r="G874" s="103" t="str">
        <f t="shared" si="27"/>
        <v>PRY15</v>
      </c>
    </row>
    <row r="875" spans="1:7" ht="15" customHeight="1" x14ac:dyDescent="0.35">
      <c r="A875" s="103">
        <v>16</v>
      </c>
      <c r="B875" s="103" t="s">
        <v>282</v>
      </c>
      <c r="C875" s="104" t="s">
        <v>1781</v>
      </c>
      <c r="D875" s="104" t="s">
        <v>1782</v>
      </c>
      <c r="E875" s="103" t="s">
        <v>1762</v>
      </c>
      <c r="F875" s="103" t="str">
        <f t="shared" si="26"/>
        <v>PRY BOBADILLA - 16</v>
      </c>
      <c r="G875" s="103" t="str">
        <f t="shared" si="27"/>
        <v>PRY16</v>
      </c>
    </row>
    <row r="876" spans="1:7" ht="15" customHeight="1" x14ac:dyDescent="0.35">
      <c r="A876" s="103">
        <v>17</v>
      </c>
      <c r="B876" s="103" t="s">
        <v>285</v>
      </c>
      <c r="C876" s="104" t="s">
        <v>1783</v>
      </c>
      <c r="D876" s="104" t="s">
        <v>1784</v>
      </c>
      <c r="E876" s="103" t="s">
        <v>1762</v>
      </c>
      <c r="F876" s="103" t="str">
        <f t="shared" si="26"/>
        <v>PRY ROMERO GAMARRA - 17</v>
      </c>
      <c r="G876" s="103" t="str">
        <f t="shared" si="27"/>
        <v>PRY17</v>
      </c>
    </row>
    <row r="877" spans="1:7" ht="15" customHeight="1" x14ac:dyDescent="0.35">
      <c r="A877" s="103">
        <v>18</v>
      </c>
      <c r="B877" s="103" t="s">
        <v>285</v>
      </c>
      <c r="C877" s="104" t="s">
        <v>1656</v>
      </c>
      <c r="D877" s="104" t="s">
        <v>1785</v>
      </c>
      <c r="E877" s="103" t="s">
        <v>1762</v>
      </c>
      <c r="F877" s="103" t="str">
        <f t="shared" si="26"/>
        <v>PRY ARCE - 18</v>
      </c>
      <c r="G877" s="103" t="str">
        <f t="shared" si="27"/>
        <v>PRY18</v>
      </c>
    </row>
    <row r="878" spans="1:7" ht="15" customHeight="1" x14ac:dyDescent="0.35">
      <c r="A878" s="103">
        <v>19</v>
      </c>
      <c r="B878" s="103" t="s">
        <v>285</v>
      </c>
      <c r="C878" s="104" t="s">
        <v>1786</v>
      </c>
      <c r="D878" s="104" t="s">
        <v>1787</v>
      </c>
      <c r="E878" s="103" t="s">
        <v>1762</v>
      </c>
      <c r="F878" s="103" t="str">
        <f t="shared" si="26"/>
        <v>PRY ENCISO - 19</v>
      </c>
      <c r="G878" s="103" t="str">
        <f t="shared" si="27"/>
        <v>PRY19</v>
      </c>
    </row>
    <row r="879" spans="1:7" ht="15" customHeight="1" x14ac:dyDescent="0.35">
      <c r="A879" s="103">
        <v>20</v>
      </c>
      <c r="B879" s="103" t="s">
        <v>282</v>
      </c>
      <c r="C879" s="104" t="s">
        <v>1788</v>
      </c>
      <c r="D879" s="104" t="s">
        <v>1789</v>
      </c>
      <c r="E879" s="103" t="s">
        <v>1762</v>
      </c>
      <c r="F879" s="103" t="str">
        <f t="shared" si="26"/>
        <v>PRY OJEDA - 20</v>
      </c>
      <c r="G879" s="103" t="str">
        <f t="shared" si="27"/>
        <v>PRY20</v>
      </c>
    </row>
    <row r="880" spans="1:7" ht="15" customHeight="1" x14ac:dyDescent="0.35">
      <c r="A880" s="103">
        <v>21</v>
      </c>
      <c r="B880" s="103" t="s">
        <v>285</v>
      </c>
      <c r="C880" s="104" t="s">
        <v>569</v>
      </c>
      <c r="D880" s="104" t="s">
        <v>1790</v>
      </c>
      <c r="E880" s="103" t="s">
        <v>1762</v>
      </c>
      <c r="F880" s="103" t="str">
        <f t="shared" si="26"/>
        <v>PRY AVALOS - 21</v>
      </c>
      <c r="G880" s="103" t="str">
        <f t="shared" si="27"/>
        <v>PRY21</v>
      </c>
    </row>
    <row r="881" spans="1:7" ht="15" customHeight="1" x14ac:dyDescent="0.35">
      <c r="A881" s="103">
        <v>22</v>
      </c>
      <c r="B881" s="103" t="s">
        <v>269</v>
      </c>
      <c r="C881" s="104" t="s">
        <v>1791</v>
      </c>
      <c r="D881" s="104" t="s">
        <v>1792</v>
      </c>
      <c r="E881" s="103" t="s">
        <v>1762</v>
      </c>
      <c r="F881" s="103" t="str">
        <f t="shared" si="26"/>
        <v>PRY (GK) OLVEIRA - 22</v>
      </c>
      <c r="G881" s="103" t="str">
        <f t="shared" si="27"/>
        <v>PRY22</v>
      </c>
    </row>
    <row r="882" spans="1:7" ht="15" customHeight="1" x14ac:dyDescent="0.35">
      <c r="A882" s="103">
        <v>23</v>
      </c>
      <c r="B882" s="103" t="s">
        <v>282</v>
      </c>
      <c r="C882" s="104" t="s">
        <v>512</v>
      </c>
      <c r="D882" s="104" t="s">
        <v>1793</v>
      </c>
      <c r="E882" s="103" t="s">
        <v>1762</v>
      </c>
      <c r="F882" s="103" t="str">
        <f t="shared" si="26"/>
        <v>PRY GALARZA - 23</v>
      </c>
      <c r="G882" s="103" t="str">
        <f t="shared" si="27"/>
        <v>PRY23</v>
      </c>
    </row>
    <row r="883" spans="1:7" ht="15" customHeight="1" x14ac:dyDescent="0.35">
      <c r="A883" s="103">
        <v>24</v>
      </c>
      <c r="B883" s="103" t="s">
        <v>282</v>
      </c>
      <c r="C883" s="104" t="s">
        <v>739</v>
      </c>
      <c r="D883" s="104" t="s">
        <v>1794</v>
      </c>
      <c r="E883" s="103" t="s">
        <v>1762</v>
      </c>
      <c r="F883" s="103" t="str">
        <f t="shared" si="26"/>
        <v>PRY CABALLERO - 24</v>
      </c>
      <c r="G883" s="103" t="str">
        <f t="shared" si="27"/>
        <v>PRY24</v>
      </c>
    </row>
    <row r="884" spans="1:7" ht="15" customHeight="1" x14ac:dyDescent="0.35">
      <c r="A884" s="103">
        <v>25</v>
      </c>
      <c r="B884" s="103" t="s">
        <v>285</v>
      </c>
      <c r="C884" s="104" t="s">
        <v>1795</v>
      </c>
      <c r="D884" s="104" t="s">
        <v>1796</v>
      </c>
      <c r="E884" s="103" t="s">
        <v>1762</v>
      </c>
      <c r="F884" s="103" t="str">
        <f t="shared" si="26"/>
        <v>PRY PITTA - 25</v>
      </c>
      <c r="G884" s="103" t="str">
        <f t="shared" si="27"/>
        <v>PRY25</v>
      </c>
    </row>
    <row r="885" spans="1:7" ht="15" customHeight="1" x14ac:dyDescent="0.35">
      <c r="A885" s="103">
        <v>26</v>
      </c>
      <c r="B885" s="103" t="s">
        <v>273</v>
      </c>
      <c r="C885" s="104" t="s">
        <v>1797</v>
      </c>
      <c r="D885" s="104" t="s">
        <v>1798</v>
      </c>
      <c r="E885" s="103" t="s">
        <v>1762</v>
      </c>
      <c r="F885" s="103" t="str">
        <f t="shared" si="26"/>
        <v>PRY MAIDANA - 26</v>
      </c>
      <c r="G885" s="103" t="str">
        <f t="shared" si="27"/>
        <v>PRY26</v>
      </c>
    </row>
    <row r="886" spans="1:7" ht="15" hidden="1" customHeight="1" x14ac:dyDescent="0.35">
      <c r="A886" s="105">
        <v>1</v>
      </c>
      <c r="B886" s="105" t="s">
        <v>269</v>
      </c>
      <c r="C886" s="106" t="s">
        <v>1799</v>
      </c>
      <c r="D886" s="106" t="s">
        <v>1800</v>
      </c>
      <c r="E886" s="105" t="s">
        <v>1801</v>
      </c>
      <c r="F886" s="105" t="str">
        <f t="shared" si="26"/>
        <v>PRT (GK) COSTA - 1</v>
      </c>
      <c r="G886" s="105" t="str">
        <f t="shared" si="27"/>
        <v>PRT1</v>
      </c>
    </row>
    <row r="887" spans="1:7" ht="15" hidden="1" customHeight="1" x14ac:dyDescent="0.35">
      <c r="A887" s="105">
        <v>2</v>
      </c>
      <c r="B887" s="105" t="s">
        <v>273</v>
      </c>
      <c r="C887" s="106" t="s">
        <v>1802</v>
      </c>
      <c r="D887" s="106" t="s">
        <v>1803</v>
      </c>
      <c r="E887" s="105" t="s">
        <v>1801</v>
      </c>
      <c r="F887" s="105" t="str">
        <f t="shared" si="26"/>
        <v>PRT SEMEDO - 2</v>
      </c>
      <c r="G887" s="105" t="str">
        <f t="shared" si="27"/>
        <v>PRT2</v>
      </c>
    </row>
    <row r="888" spans="1:7" ht="15" hidden="1" customHeight="1" x14ac:dyDescent="0.35">
      <c r="A888" s="105">
        <v>3</v>
      </c>
      <c r="B888" s="105" t="s">
        <v>273</v>
      </c>
      <c r="C888" s="106" t="s">
        <v>1269</v>
      </c>
      <c r="D888" s="106" t="s">
        <v>1804</v>
      </c>
      <c r="E888" s="105" t="s">
        <v>1801</v>
      </c>
      <c r="F888" s="105" t="str">
        <f t="shared" si="26"/>
        <v>PRT DIAS - 3</v>
      </c>
      <c r="G888" s="105" t="str">
        <f t="shared" si="27"/>
        <v>PRT3</v>
      </c>
    </row>
    <row r="889" spans="1:7" ht="15" hidden="1" customHeight="1" x14ac:dyDescent="0.35">
      <c r="A889" s="105">
        <v>4</v>
      </c>
      <c r="B889" s="105" t="s">
        <v>273</v>
      </c>
      <c r="C889" s="106" t="s">
        <v>946</v>
      </c>
      <c r="D889" s="106" t="s">
        <v>1805</v>
      </c>
      <c r="E889" s="105" t="s">
        <v>1801</v>
      </c>
      <c r="F889" s="105" t="str">
        <f t="shared" si="26"/>
        <v>PRT ARAUJO - 4</v>
      </c>
      <c r="G889" s="105" t="str">
        <f t="shared" si="27"/>
        <v>PRT4</v>
      </c>
    </row>
    <row r="890" spans="1:7" ht="15" hidden="1" customHeight="1" x14ac:dyDescent="0.35">
      <c r="A890" s="105">
        <v>5</v>
      </c>
      <c r="B890" s="105" t="s">
        <v>273</v>
      </c>
      <c r="C890" s="106" t="s">
        <v>1799</v>
      </c>
      <c r="D890" s="106" t="s">
        <v>1806</v>
      </c>
      <c r="E890" s="105" t="s">
        <v>1801</v>
      </c>
      <c r="F890" s="105" t="str">
        <f t="shared" si="26"/>
        <v>PRT DALOT - 5</v>
      </c>
      <c r="G890" s="105" t="str">
        <f t="shared" si="27"/>
        <v>PRT5</v>
      </c>
    </row>
    <row r="891" spans="1:7" ht="15" hidden="1" customHeight="1" x14ac:dyDescent="0.35">
      <c r="A891" s="105">
        <v>6</v>
      </c>
      <c r="B891" s="105" t="s">
        <v>282</v>
      </c>
      <c r="C891" s="106" t="s">
        <v>581</v>
      </c>
      <c r="D891" s="106" t="s">
        <v>1807</v>
      </c>
      <c r="E891" s="105" t="s">
        <v>1801</v>
      </c>
      <c r="F891" s="105" t="str">
        <f t="shared" si="26"/>
        <v>PRT NUNES - 6</v>
      </c>
      <c r="G891" s="105" t="str">
        <f t="shared" si="27"/>
        <v>PRT6</v>
      </c>
    </row>
    <row r="892" spans="1:7" ht="15" hidden="1" customHeight="1" x14ac:dyDescent="0.35">
      <c r="A892" s="105">
        <v>7</v>
      </c>
      <c r="B892" s="105" t="s">
        <v>285</v>
      </c>
      <c r="C892" s="106" t="s">
        <v>1808</v>
      </c>
      <c r="D892" s="106" t="s">
        <v>1809</v>
      </c>
      <c r="E892" s="105" t="s">
        <v>1801</v>
      </c>
      <c r="F892" s="105" t="str">
        <f t="shared" si="26"/>
        <v>PRT RONALDO - 7</v>
      </c>
      <c r="G892" s="105" t="str">
        <f t="shared" si="27"/>
        <v>PRT7</v>
      </c>
    </row>
    <row r="893" spans="1:7" ht="15" hidden="1" customHeight="1" x14ac:dyDescent="0.35">
      <c r="A893" s="105">
        <v>8</v>
      </c>
      <c r="B893" s="105" t="s">
        <v>282</v>
      </c>
      <c r="C893" s="106" t="s">
        <v>579</v>
      </c>
      <c r="D893" s="106" t="s">
        <v>1810</v>
      </c>
      <c r="E893" s="105" t="s">
        <v>1801</v>
      </c>
      <c r="F893" s="105" t="str">
        <f t="shared" si="26"/>
        <v>PRT FERNANDES - 8</v>
      </c>
      <c r="G893" s="105" t="str">
        <f t="shared" si="27"/>
        <v>PRT8</v>
      </c>
    </row>
    <row r="894" spans="1:7" ht="15" hidden="1" customHeight="1" x14ac:dyDescent="0.35">
      <c r="A894" s="105">
        <v>9</v>
      </c>
      <c r="B894" s="105" t="s">
        <v>285</v>
      </c>
      <c r="C894" s="106" t="s">
        <v>1811</v>
      </c>
      <c r="D894" s="106" t="s">
        <v>1743</v>
      </c>
      <c r="E894" s="105" t="s">
        <v>1801</v>
      </c>
      <c r="F894" s="105" t="str">
        <f t="shared" si="26"/>
        <v>PRT RAMOS - 9</v>
      </c>
      <c r="G894" s="105" t="str">
        <f t="shared" si="27"/>
        <v>PRT9</v>
      </c>
    </row>
    <row r="895" spans="1:7" ht="15" hidden="1" customHeight="1" x14ac:dyDescent="0.35">
      <c r="A895" s="105">
        <v>10</v>
      </c>
      <c r="B895" s="105" t="s">
        <v>282</v>
      </c>
      <c r="C895" s="106" t="s">
        <v>1812</v>
      </c>
      <c r="D895" s="106" t="s">
        <v>1813</v>
      </c>
      <c r="E895" s="105" t="s">
        <v>1801</v>
      </c>
      <c r="F895" s="105" t="str">
        <f t="shared" si="26"/>
        <v>PRT SILVA - 10</v>
      </c>
      <c r="G895" s="105" t="str">
        <f t="shared" si="27"/>
        <v>PRT10</v>
      </c>
    </row>
    <row r="896" spans="1:7" ht="15" hidden="1" customHeight="1" x14ac:dyDescent="0.35">
      <c r="A896" s="105">
        <v>11</v>
      </c>
      <c r="B896" s="105" t="s">
        <v>285</v>
      </c>
      <c r="C896" s="106" t="s">
        <v>1814</v>
      </c>
      <c r="D896" s="106" t="s">
        <v>1815</v>
      </c>
      <c r="E896" s="105" t="s">
        <v>1801</v>
      </c>
      <c r="F896" s="105" t="str">
        <f t="shared" si="26"/>
        <v>PRT FELIX - 11</v>
      </c>
      <c r="G896" s="105" t="str">
        <f t="shared" si="27"/>
        <v>PRT11</v>
      </c>
    </row>
    <row r="897" spans="1:7" ht="15" hidden="1" customHeight="1" x14ac:dyDescent="0.35">
      <c r="A897" s="105">
        <v>12</v>
      </c>
      <c r="B897" s="105" t="s">
        <v>269</v>
      </c>
      <c r="C897" s="106" t="s">
        <v>1731</v>
      </c>
      <c r="D897" s="106" t="s">
        <v>1816</v>
      </c>
      <c r="E897" s="105" t="s">
        <v>1801</v>
      </c>
      <c r="F897" s="105" t="str">
        <f t="shared" si="26"/>
        <v>PRT (GK) SA - 12</v>
      </c>
      <c r="G897" s="105" t="str">
        <f t="shared" si="27"/>
        <v>PRT12</v>
      </c>
    </row>
    <row r="898" spans="1:7" ht="15" hidden="1" customHeight="1" x14ac:dyDescent="0.35">
      <c r="A898" s="105">
        <v>13</v>
      </c>
      <c r="B898" s="105" t="s">
        <v>273</v>
      </c>
      <c r="C898" s="106" t="s">
        <v>1817</v>
      </c>
      <c r="D898" s="106" t="s">
        <v>1818</v>
      </c>
      <c r="E898" s="105" t="s">
        <v>1801</v>
      </c>
      <c r="F898" s="105" t="str">
        <f t="shared" si="26"/>
        <v>PRT VEIGA - 13</v>
      </c>
      <c r="G898" s="105" t="str">
        <f t="shared" si="27"/>
        <v>PRT13</v>
      </c>
    </row>
    <row r="899" spans="1:7" ht="15" hidden="1" customHeight="1" x14ac:dyDescent="0.35">
      <c r="A899" s="105">
        <v>14</v>
      </c>
      <c r="B899" s="105" t="s">
        <v>273</v>
      </c>
      <c r="C899" s="106" t="s">
        <v>1811</v>
      </c>
      <c r="D899" s="106" t="s">
        <v>1819</v>
      </c>
      <c r="E899" s="105" t="s">
        <v>1801</v>
      </c>
      <c r="F899" s="105" t="str">
        <f t="shared" ref="F899:F962" si="28">IF(B899="GK", _xlfn.CONCAT(E899, " ","(",B899, ") ",D899, " - ", A899),  _xlfn.CONCAT(E899, " ",D899, " - ", A899))</f>
        <v>PRT INACIO - 14</v>
      </c>
      <c r="G899" s="105" t="str">
        <f t="shared" ref="G899:G962" si="29">_xlfn.CONCAT(E899,A899)</f>
        <v>PRT14</v>
      </c>
    </row>
    <row r="900" spans="1:7" ht="15" hidden="1" customHeight="1" x14ac:dyDescent="0.35">
      <c r="A900" s="105">
        <v>15</v>
      </c>
      <c r="B900" s="105" t="s">
        <v>282</v>
      </c>
      <c r="C900" s="106" t="s">
        <v>1814</v>
      </c>
      <c r="D900" s="106" t="s">
        <v>1820</v>
      </c>
      <c r="E900" s="105" t="s">
        <v>1801</v>
      </c>
      <c r="F900" s="105" t="str">
        <f t="shared" si="28"/>
        <v>PRT NEVES - 15</v>
      </c>
      <c r="G900" s="105" t="str">
        <f t="shared" si="29"/>
        <v>PRT15</v>
      </c>
    </row>
    <row r="901" spans="1:7" ht="15" hidden="1" customHeight="1" x14ac:dyDescent="0.35">
      <c r="A901" s="105">
        <v>16</v>
      </c>
      <c r="B901" s="105" t="s">
        <v>285</v>
      </c>
      <c r="C901" s="106" t="s">
        <v>1821</v>
      </c>
      <c r="D901" s="106" t="s">
        <v>1822</v>
      </c>
      <c r="E901" s="105" t="s">
        <v>1801</v>
      </c>
      <c r="F901" s="105" t="str">
        <f t="shared" si="28"/>
        <v>PRT TRINCAO - 16</v>
      </c>
      <c r="G901" s="105" t="str">
        <f t="shared" si="29"/>
        <v>PRT16</v>
      </c>
    </row>
    <row r="902" spans="1:7" ht="15" hidden="1" customHeight="1" x14ac:dyDescent="0.35">
      <c r="A902" s="105">
        <v>17</v>
      </c>
      <c r="B902" s="105" t="s">
        <v>285</v>
      </c>
      <c r="C902" s="106" t="s">
        <v>1823</v>
      </c>
      <c r="D902" s="106" t="s">
        <v>1824</v>
      </c>
      <c r="E902" s="105" t="s">
        <v>1801</v>
      </c>
      <c r="F902" s="105" t="str">
        <f t="shared" si="28"/>
        <v>PRT LEAO - 17</v>
      </c>
      <c r="G902" s="105" t="str">
        <f t="shared" si="29"/>
        <v>PRT17</v>
      </c>
    </row>
    <row r="903" spans="1:7" ht="15" hidden="1" customHeight="1" x14ac:dyDescent="0.35">
      <c r="A903" s="105">
        <v>18</v>
      </c>
      <c r="B903" s="105" t="s">
        <v>285</v>
      </c>
      <c r="C903" s="106" t="s">
        <v>1012</v>
      </c>
      <c r="D903" s="106" t="s">
        <v>1825</v>
      </c>
      <c r="E903" s="105" t="s">
        <v>1801</v>
      </c>
      <c r="F903" s="105" t="str">
        <f t="shared" si="28"/>
        <v>PRT NETO - 18</v>
      </c>
      <c r="G903" s="105" t="str">
        <f t="shared" si="29"/>
        <v>PRT18</v>
      </c>
    </row>
    <row r="904" spans="1:7" ht="15" hidden="1" customHeight="1" x14ac:dyDescent="0.35">
      <c r="A904" s="105">
        <v>19</v>
      </c>
      <c r="B904" s="105" t="s">
        <v>285</v>
      </c>
      <c r="C904" s="106" t="s">
        <v>1811</v>
      </c>
      <c r="D904" s="106" t="s">
        <v>1826</v>
      </c>
      <c r="E904" s="105" t="s">
        <v>1801</v>
      </c>
      <c r="F904" s="105" t="str">
        <f t="shared" si="28"/>
        <v>PRT GUEDES - 19</v>
      </c>
      <c r="G904" s="105" t="str">
        <f t="shared" si="29"/>
        <v>PRT19</v>
      </c>
    </row>
    <row r="905" spans="1:7" ht="15" hidden="1" customHeight="1" x14ac:dyDescent="0.35">
      <c r="A905" s="105">
        <v>20</v>
      </c>
      <c r="B905" s="105" t="s">
        <v>273</v>
      </c>
      <c r="C905" s="106" t="s">
        <v>1814</v>
      </c>
      <c r="D905" s="106" t="s">
        <v>1827</v>
      </c>
      <c r="E905" s="105" t="s">
        <v>1801</v>
      </c>
      <c r="F905" s="105" t="str">
        <f t="shared" si="28"/>
        <v>PRT CANCELO - 20</v>
      </c>
      <c r="G905" s="105" t="str">
        <f t="shared" si="29"/>
        <v>PRT20</v>
      </c>
    </row>
    <row r="906" spans="1:7" ht="15" hidden="1" customHeight="1" x14ac:dyDescent="0.35">
      <c r="A906" s="105">
        <v>21</v>
      </c>
      <c r="B906" s="105" t="s">
        <v>282</v>
      </c>
      <c r="C906" s="106" t="s">
        <v>1269</v>
      </c>
      <c r="D906" s="106" t="s">
        <v>1820</v>
      </c>
      <c r="E906" s="105" t="s">
        <v>1801</v>
      </c>
      <c r="F906" s="105" t="str">
        <f t="shared" si="28"/>
        <v>PRT NEVES - 21</v>
      </c>
      <c r="G906" s="105" t="str">
        <f t="shared" si="29"/>
        <v>PRT21</v>
      </c>
    </row>
    <row r="907" spans="1:7" ht="15" hidden="1" customHeight="1" x14ac:dyDescent="0.35">
      <c r="A907" s="105">
        <v>22</v>
      </c>
      <c r="B907" s="105" t="s">
        <v>269</v>
      </c>
      <c r="C907" s="106" t="s">
        <v>1828</v>
      </c>
      <c r="D907" s="106" t="s">
        <v>1813</v>
      </c>
      <c r="E907" s="105" t="s">
        <v>1801</v>
      </c>
      <c r="F907" s="105" t="str">
        <f t="shared" si="28"/>
        <v>PRT (GK) SILVA - 22</v>
      </c>
      <c r="G907" s="105" t="str">
        <f t="shared" si="29"/>
        <v>PRT22</v>
      </c>
    </row>
    <row r="908" spans="1:7" ht="15" hidden="1" customHeight="1" x14ac:dyDescent="0.35">
      <c r="A908" s="105">
        <v>23</v>
      </c>
      <c r="B908" s="105" t="s">
        <v>282</v>
      </c>
      <c r="C908" s="106" t="s">
        <v>1829</v>
      </c>
      <c r="D908" s="106" t="s">
        <v>1830</v>
      </c>
      <c r="E908" s="105" t="s">
        <v>1801</v>
      </c>
      <c r="F908" s="105" t="str">
        <f t="shared" si="28"/>
        <v>PRT VITINHA - 23</v>
      </c>
      <c r="G908" s="105" t="str">
        <f t="shared" si="29"/>
        <v>PRT23</v>
      </c>
    </row>
    <row r="909" spans="1:7" ht="15" hidden="1" customHeight="1" x14ac:dyDescent="0.35">
      <c r="A909" s="105">
        <v>24</v>
      </c>
      <c r="B909" s="105" t="s">
        <v>273</v>
      </c>
      <c r="C909" s="106" t="s">
        <v>1831</v>
      </c>
      <c r="D909" s="106" t="s">
        <v>1800</v>
      </c>
      <c r="E909" s="105" t="s">
        <v>1801</v>
      </c>
      <c r="F909" s="105" t="str">
        <f t="shared" si="28"/>
        <v>PRT COSTA - 24</v>
      </c>
      <c r="G909" s="105" t="str">
        <f t="shared" si="29"/>
        <v>PRT24</v>
      </c>
    </row>
    <row r="910" spans="1:7" ht="15" hidden="1" customHeight="1" x14ac:dyDescent="0.35">
      <c r="A910" s="105">
        <v>25</v>
      </c>
      <c r="B910" s="105" t="s">
        <v>273</v>
      </c>
      <c r="C910" s="106" t="s">
        <v>656</v>
      </c>
      <c r="D910" s="106" t="s">
        <v>1832</v>
      </c>
      <c r="E910" s="105" t="s">
        <v>1801</v>
      </c>
      <c r="F910" s="105" t="str">
        <f t="shared" si="28"/>
        <v>PRT MENDES - 25</v>
      </c>
      <c r="G910" s="105" t="str">
        <f t="shared" si="29"/>
        <v>PRT25</v>
      </c>
    </row>
    <row r="911" spans="1:7" ht="15" hidden="1" customHeight="1" x14ac:dyDescent="0.35">
      <c r="A911" s="105">
        <v>26</v>
      </c>
      <c r="B911" s="105" t="s">
        <v>285</v>
      </c>
      <c r="C911" s="106" t="s">
        <v>1821</v>
      </c>
      <c r="D911" s="106" t="s">
        <v>1833</v>
      </c>
      <c r="E911" s="105" t="s">
        <v>1801</v>
      </c>
      <c r="F911" s="105" t="str">
        <f t="shared" si="28"/>
        <v>PRT CONCEICAO - 26</v>
      </c>
      <c r="G911" s="105" t="str">
        <f t="shared" si="29"/>
        <v>PRT26</v>
      </c>
    </row>
    <row r="912" spans="1:7" ht="15" hidden="1" customHeight="1" x14ac:dyDescent="0.35">
      <c r="A912" s="63">
        <v>1</v>
      </c>
      <c r="B912" s="63" t="s">
        <v>269</v>
      </c>
      <c r="C912" s="64" t="s">
        <v>1036</v>
      </c>
      <c r="D912" s="64" t="s">
        <v>1834</v>
      </c>
      <c r="E912" s="63" t="s">
        <v>1835</v>
      </c>
      <c r="F912" s="63" t="str">
        <f t="shared" si="28"/>
        <v>QAT (GK) ABUNADA - 1</v>
      </c>
      <c r="G912" s="63" t="str">
        <f t="shared" si="29"/>
        <v>QAT1</v>
      </c>
    </row>
    <row r="913" spans="1:7" ht="15" hidden="1" customHeight="1" x14ac:dyDescent="0.35">
      <c r="A913" s="63">
        <v>2</v>
      </c>
      <c r="B913" s="63" t="s">
        <v>273</v>
      </c>
      <c r="C913" s="64" t="s">
        <v>1012</v>
      </c>
      <c r="D913" s="64" t="s">
        <v>1836</v>
      </c>
      <c r="E913" s="63" t="s">
        <v>1835</v>
      </c>
      <c r="F913" s="63" t="str">
        <f t="shared" si="28"/>
        <v>QAT MIGUEL - 2</v>
      </c>
      <c r="G913" s="63" t="str">
        <f t="shared" si="29"/>
        <v>QAT2</v>
      </c>
    </row>
    <row r="914" spans="1:7" ht="15" hidden="1" customHeight="1" x14ac:dyDescent="0.35">
      <c r="A914" s="63">
        <v>3</v>
      </c>
      <c r="B914" s="63" t="s">
        <v>273</v>
      </c>
      <c r="C914" s="64" t="s">
        <v>418</v>
      </c>
      <c r="D914" s="64" t="s">
        <v>1832</v>
      </c>
      <c r="E914" s="63" t="s">
        <v>1835</v>
      </c>
      <c r="F914" s="63" t="str">
        <f t="shared" si="28"/>
        <v>QAT MENDES - 3</v>
      </c>
      <c r="G914" s="63" t="str">
        <f t="shared" si="29"/>
        <v>QAT3</v>
      </c>
    </row>
    <row r="915" spans="1:7" ht="15" hidden="1" customHeight="1" x14ac:dyDescent="0.35">
      <c r="A915" s="63">
        <v>4</v>
      </c>
      <c r="B915" s="63" t="s">
        <v>273</v>
      </c>
      <c r="C915" s="64" t="s">
        <v>1837</v>
      </c>
      <c r="D915" s="64" t="s">
        <v>1838</v>
      </c>
      <c r="E915" s="63" t="s">
        <v>1835</v>
      </c>
      <c r="F915" s="63" t="str">
        <f t="shared" si="28"/>
        <v>QAT GUEYE - 4</v>
      </c>
      <c r="G915" s="63" t="str">
        <f t="shared" si="29"/>
        <v>QAT4</v>
      </c>
    </row>
    <row r="916" spans="1:7" ht="15" hidden="1" customHeight="1" x14ac:dyDescent="0.35">
      <c r="A916" s="63">
        <v>5</v>
      </c>
      <c r="B916" s="63" t="s">
        <v>273</v>
      </c>
      <c r="C916" s="64" t="s">
        <v>1839</v>
      </c>
      <c r="D916" s="64" t="s">
        <v>1840</v>
      </c>
      <c r="E916" s="63" t="s">
        <v>1835</v>
      </c>
      <c r="F916" s="63" t="str">
        <f t="shared" si="28"/>
        <v>QAT GABER - 5</v>
      </c>
      <c r="G916" s="63" t="str">
        <f t="shared" si="29"/>
        <v>QAT5</v>
      </c>
    </row>
    <row r="917" spans="1:7" ht="15" hidden="1" customHeight="1" x14ac:dyDescent="0.35">
      <c r="A917" s="63">
        <v>6</v>
      </c>
      <c r="B917" s="63" t="s">
        <v>282</v>
      </c>
      <c r="C917" s="64" t="s">
        <v>1841</v>
      </c>
      <c r="D917" s="64" t="s">
        <v>1842</v>
      </c>
      <c r="E917" s="63" t="s">
        <v>1835</v>
      </c>
      <c r="F917" s="63" t="str">
        <f t="shared" si="28"/>
        <v>QAT HATEM - 6</v>
      </c>
      <c r="G917" s="63" t="str">
        <f t="shared" si="29"/>
        <v>QAT6</v>
      </c>
    </row>
    <row r="918" spans="1:7" ht="15" hidden="1" customHeight="1" x14ac:dyDescent="0.35">
      <c r="A918" s="63">
        <v>7</v>
      </c>
      <c r="B918" s="63" t="s">
        <v>285</v>
      </c>
      <c r="C918" s="64" t="s">
        <v>1047</v>
      </c>
      <c r="D918" s="64" t="s">
        <v>1843</v>
      </c>
      <c r="E918" s="63" t="s">
        <v>1835</v>
      </c>
      <c r="F918" s="63" t="str">
        <f t="shared" si="28"/>
        <v>QAT ALAAELDIN - 7</v>
      </c>
      <c r="G918" s="63" t="str">
        <f t="shared" si="29"/>
        <v>QAT7</v>
      </c>
    </row>
    <row r="919" spans="1:7" ht="15" hidden="1" customHeight="1" x14ac:dyDescent="0.35">
      <c r="A919" s="63">
        <v>8</v>
      </c>
      <c r="B919" s="63" t="s">
        <v>285</v>
      </c>
      <c r="C919" s="64" t="s">
        <v>1844</v>
      </c>
      <c r="D919" s="64" t="s">
        <v>1845</v>
      </c>
      <c r="E919" s="63" t="s">
        <v>1835</v>
      </c>
      <c r="F919" s="63" t="str">
        <f t="shared" si="28"/>
        <v>QAT EDMILSON JUNIOR - 8</v>
      </c>
      <c r="G919" s="63" t="str">
        <f t="shared" si="29"/>
        <v>QAT8</v>
      </c>
    </row>
    <row r="920" spans="1:7" ht="15" hidden="1" customHeight="1" x14ac:dyDescent="0.35">
      <c r="A920" s="63">
        <v>9</v>
      </c>
      <c r="B920" s="63" t="s">
        <v>285</v>
      </c>
      <c r="C920" s="64" t="s">
        <v>1846</v>
      </c>
      <c r="D920" s="64" t="s">
        <v>1847</v>
      </c>
      <c r="E920" s="63" t="s">
        <v>1835</v>
      </c>
      <c r="F920" s="63" t="str">
        <f t="shared" si="28"/>
        <v>QAT MUNTARI - 9</v>
      </c>
      <c r="G920" s="63" t="str">
        <f t="shared" si="29"/>
        <v>QAT9</v>
      </c>
    </row>
    <row r="921" spans="1:7" ht="15" hidden="1" customHeight="1" x14ac:dyDescent="0.35">
      <c r="A921" s="63">
        <v>10</v>
      </c>
      <c r="B921" s="63" t="s">
        <v>285</v>
      </c>
      <c r="C921" s="64" t="s">
        <v>1848</v>
      </c>
      <c r="D921" s="64" t="s">
        <v>1849</v>
      </c>
      <c r="E921" s="63" t="s">
        <v>1835</v>
      </c>
      <c r="F921" s="63" t="str">
        <f t="shared" si="28"/>
        <v>QAT ALHAYDOS - 10</v>
      </c>
      <c r="G921" s="63" t="str">
        <f t="shared" si="29"/>
        <v>QAT10</v>
      </c>
    </row>
    <row r="922" spans="1:7" ht="15" hidden="1" customHeight="1" x14ac:dyDescent="0.35">
      <c r="A922" s="63">
        <v>11</v>
      </c>
      <c r="B922" s="63" t="s">
        <v>285</v>
      </c>
      <c r="C922" s="64" t="s">
        <v>1850</v>
      </c>
      <c r="D922" s="64" t="s">
        <v>1851</v>
      </c>
      <c r="E922" s="63" t="s">
        <v>1835</v>
      </c>
      <c r="F922" s="63" t="str">
        <f t="shared" si="28"/>
        <v>QAT AFIF - 11</v>
      </c>
      <c r="G922" s="63" t="str">
        <f t="shared" si="29"/>
        <v>QAT11</v>
      </c>
    </row>
    <row r="923" spans="1:7" ht="15" hidden="1" customHeight="1" x14ac:dyDescent="0.35">
      <c r="A923" s="63">
        <v>12</v>
      </c>
      <c r="B923" s="63" t="s">
        <v>282</v>
      </c>
      <c r="C923" s="64" t="s">
        <v>1051</v>
      </c>
      <c r="D923" s="64" t="s">
        <v>1852</v>
      </c>
      <c r="E923" s="63" t="s">
        <v>1835</v>
      </c>
      <c r="F923" s="63" t="str">
        <f t="shared" si="28"/>
        <v>QAT BOUDIAF - 12</v>
      </c>
      <c r="G923" s="63" t="str">
        <f t="shared" si="29"/>
        <v>QAT12</v>
      </c>
    </row>
    <row r="924" spans="1:7" ht="15" hidden="1" customHeight="1" x14ac:dyDescent="0.35">
      <c r="A924" s="63">
        <v>13</v>
      </c>
      <c r="B924" s="63" t="s">
        <v>273</v>
      </c>
      <c r="C924" s="64" t="s">
        <v>1574</v>
      </c>
      <c r="D924" s="64" t="s">
        <v>1853</v>
      </c>
      <c r="E924" s="63" t="s">
        <v>1835</v>
      </c>
      <c r="F924" s="63" t="str">
        <f t="shared" si="28"/>
        <v>QAT ALOUI - 13</v>
      </c>
      <c r="G924" s="63" t="str">
        <f t="shared" si="29"/>
        <v>QAT13</v>
      </c>
    </row>
    <row r="925" spans="1:7" ht="15" hidden="1" customHeight="1" x14ac:dyDescent="0.35">
      <c r="A925" s="63">
        <v>14</v>
      </c>
      <c r="B925" s="63" t="s">
        <v>273</v>
      </c>
      <c r="C925" s="64" t="s">
        <v>1854</v>
      </c>
      <c r="D925" s="64" t="s">
        <v>707</v>
      </c>
      <c r="E925" s="63" t="s">
        <v>1835</v>
      </c>
      <c r="F925" s="63" t="str">
        <f t="shared" si="28"/>
        <v>QAT AHMED - 14</v>
      </c>
      <c r="G925" s="63" t="str">
        <f t="shared" si="29"/>
        <v>QAT14</v>
      </c>
    </row>
    <row r="926" spans="1:7" ht="15" hidden="1" customHeight="1" x14ac:dyDescent="0.35">
      <c r="A926" s="63">
        <v>15</v>
      </c>
      <c r="B926" s="63" t="s">
        <v>285</v>
      </c>
      <c r="C926" s="64" t="s">
        <v>1855</v>
      </c>
      <c r="D926" s="64" t="s">
        <v>1856</v>
      </c>
      <c r="E926" s="63" t="s">
        <v>1835</v>
      </c>
      <c r="F926" s="63" t="str">
        <f t="shared" si="28"/>
        <v>QAT ABDURISAG - 15</v>
      </c>
      <c r="G926" s="63" t="str">
        <f t="shared" si="29"/>
        <v>QAT15</v>
      </c>
    </row>
    <row r="927" spans="1:7" ht="15" hidden="1" customHeight="1" x14ac:dyDescent="0.35">
      <c r="A927" s="63">
        <v>16</v>
      </c>
      <c r="B927" s="63" t="s">
        <v>273</v>
      </c>
      <c r="C927" s="64" t="s">
        <v>1857</v>
      </c>
      <c r="D927" s="64" t="s">
        <v>1858</v>
      </c>
      <c r="E927" s="63" t="s">
        <v>1835</v>
      </c>
      <c r="F927" s="63" t="str">
        <f t="shared" si="28"/>
        <v>QAT KHOUKHI - 16</v>
      </c>
      <c r="G927" s="63" t="str">
        <f t="shared" si="29"/>
        <v>QAT16</v>
      </c>
    </row>
    <row r="928" spans="1:7" ht="15" hidden="1" customHeight="1" x14ac:dyDescent="0.35">
      <c r="A928" s="63">
        <v>17</v>
      </c>
      <c r="B928" s="63" t="s">
        <v>282</v>
      </c>
      <c r="C928" s="64" t="s">
        <v>1047</v>
      </c>
      <c r="D928" s="64" t="s">
        <v>1859</v>
      </c>
      <c r="E928" s="63" t="s">
        <v>1835</v>
      </c>
      <c r="F928" s="63" t="str">
        <f t="shared" si="28"/>
        <v>QAT ALGANEHI - 17</v>
      </c>
      <c r="G928" s="63" t="str">
        <f t="shared" si="29"/>
        <v>QAT17</v>
      </c>
    </row>
    <row r="929" spans="1:7" ht="15" hidden="1" customHeight="1" x14ac:dyDescent="0.35">
      <c r="A929" s="63">
        <v>18</v>
      </c>
      <c r="B929" s="63" t="s">
        <v>273</v>
      </c>
      <c r="C929" s="64" t="s">
        <v>1860</v>
      </c>
      <c r="D929" s="64" t="s">
        <v>1861</v>
      </c>
      <c r="E929" s="63" t="s">
        <v>1835</v>
      </c>
      <c r="F929" s="63" t="str">
        <f t="shared" si="28"/>
        <v>QAT ALBRAKE - 18</v>
      </c>
      <c r="G929" s="63" t="str">
        <f t="shared" si="29"/>
        <v>QAT18</v>
      </c>
    </row>
    <row r="930" spans="1:7" ht="15" hidden="1" customHeight="1" x14ac:dyDescent="0.35">
      <c r="A930" s="63">
        <v>19</v>
      </c>
      <c r="B930" s="63" t="s">
        <v>285</v>
      </c>
      <c r="C930" s="64" t="s">
        <v>1862</v>
      </c>
      <c r="D930" s="64" t="s">
        <v>1342</v>
      </c>
      <c r="E930" s="63" t="s">
        <v>1835</v>
      </c>
      <c r="F930" s="63" t="str">
        <f t="shared" si="28"/>
        <v>QAT ALI - 19</v>
      </c>
      <c r="G930" s="63" t="str">
        <f t="shared" si="29"/>
        <v>QAT19</v>
      </c>
    </row>
    <row r="931" spans="1:7" ht="15" hidden="1" customHeight="1" x14ac:dyDescent="0.35">
      <c r="A931" s="63">
        <v>20</v>
      </c>
      <c r="B931" s="63" t="s">
        <v>282</v>
      </c>
      <c r="C931" s="64" t="s">
        <v>1047</v>
      </c>
      <c r="D931" s="64" t="s">
        <v>1050</v>
      </c>
      <c r="E931" s="63" t="s">
        <v>1835</v>
      </c>
      <c r="F931" s="63" t="str">
        <f t="shared" si="28"/>
        <v>QAT FATHY - 20</v>
      </c>
      <c r="G931" s="63" t="str">
        <f t="shared" si="29"/>
        <v>QAT20</v>
      </c>
    </row>
    <row r="932" spans="1:7" ht="15" hidden="1" customHeight="1" x14ac:dyDescent="0.35">
      <c r="A932" s="63">
        <v>21</v>
      </c>
      <c r="B932" s="63" t="s">
        <v>269</v>
      </c>
      <c r="C932" s="64" t="s">
        <v>1863</v>
      </c>
      <c r="D932" s="64" t="s">
        <v>1864</v>
      </c>
      <c r="E932" s="63" t="s">
        <v>1835</v>
      </c>
      <c r="F932" s="63" t="str">
        <f t="shared" si="28"/>
        <v>QAT (GK) ZAKARIA - 21</v>
      </c>
      <c r="G932" s="63" t="str">
        <f t="shared" si="29"/>
        <v>QAT21</v>
      </c>
    </row>
    <row r="933" spans="1:7" ht="15" hidden="1" customHeight="1" x14ac:dyDescent="0.35">
      <c r="A933" s="63">
        <v>22</v>
      </c>
      <c r="B933" s="63" t="s">
        <v>269</v>
      </c>
      <c r="C933" s="64" t="s">
        <v>1865</v>
      </c>
      <c r="D933" s="64" t="s">
        <v>1866</v>
      </c>
      <c r="E933" s="63" t="s">
        <v>1835</v>
      </c>
      <c r="F933" s="63" t="str">
        <f t="shared" si="28"/>
        <v>QAT (GK) BARSHAM - 22</v>
      </c>
      <c r="G933" s="63" t="str">
        <f t="shared" si="29"/>
        <v>QAT22</v>
      </c>
    </row>
    <row r="934" spans="1:7" ht="15" hidden="1" customHeight="1" x14ac:dyDescent="0.35">
      <c r="A934" s="63">
        <v>23</v>
      </c>
      <c r="B934" s="63" t="s">
        <v>282</v>
      </c>
      <c r="C934" s="64" t="s">
        <v>1867</v>
      </c>
      <c r="D934" s="64" t="s">
        <v>1868</v>
      </c>
      <c r="E934" s="63" t="s">
        <v>1835</v>
      </c>
      <c r="F934" s="63" t="str">
        <f t="shared" si="28"/>
        <v>QAT MADIBO - 23</v>
      </c>
      <c r="G934" s="63" t="str">
        <f t="shared" si="29"/>
        <v>QAT23</v>
      </c>
    </row>
    <row r="935" spans="1:7" ht="15" hidden="1" customHeight="1" x14ac:dyDescent="0.35">
      <c r="A935" s="63">
        <v>24</v>
      </c>
      <c r="B935" s="63" t="s">
        <v>285</v>
      </c>
      <c r="C935" s="64" t="s">
        <v>1869</v>
      </c>
      <c r="D935" s="64" t="s">
        <v>1870</v>
      </c>
      <c r="E935" s="63" t="s">
        <v>1835</v>
      </c>
      <c r="F935" s="63" t="str">
        <f t="shared" si="28"/>
        <v>QAT JAMSHID - 24</v>
      </c>
      <c r="G935" s="63" t="str">
        <f t="shared" si="29"/>
        <v>QAT24</v>
      </c>
    </row>
    <row r="936" spans="1:7" ht="15" hidden="1" customHeight="1" x14ac:dyDescent="0.35">
      <c r="A936" s="63">
        <v>25</v>
      </c>
      <c r="B936" s="63" t="s">
        <v>273</v>
      </c>
      <c r="C936" s="64" t="s">
        <v>1871</v>
      </c>
      <c r="D936" s="64" t="s">
        <v>1872</v>
      </c>
      <c r="E936" s="63" t="s">
        <v>1835</v>
      </c>
      <c r="F936" s="63" t="str">
        <f t="shared" si="28"/>
        <v>QAT ALHUSSEIN - 25</v>
      </c>
      <c r="G936" s="63" t="str">
        <f t="shared" si="29"/>
        <v>QAT25</v>
      </c>
    </row>
    <row r="937" spans="1:7" ht="15" hidden="1" customHeight="1" x14ac:dyDescent="0.35">
      <c r="A937" s="63">
        <v>26</v>
      </c>
      <c r="B937" s="63" t="s">
        <v>285</v>
      </c>
      <c r="C937" s="64" t="s">
        <v>308</v>
      </c>
      <c r="D937" s="64" t="s">
        <v>1873</v>
      </c>
      <c r="E937" s="63" t="s">
        <v>1835</v>
      </c>
      <c r="F937" s="63" t="str">
        <f t="shared" si="28"/>
        <v>QAT MANAI - 26</v>
      </c>
      <c r="G937" s="63" t="str">
        <f t="shared" si="29"/>
        <v>QAT26</v>
      </c>
    </row>
    <row r="938" spans="1:7" ht="15" hidden="1" customHeight="1" x14ac:dyDescent="0.35">
      <c r="A938" s="107">
        <v>1</v>
      </c>
      <c r="B938" s="107" t="s">
        <v>269</v>
      </c>
      <c r="C938" s="108" t="s">
        <v>1874</v>
      </c>
      <c r="D938" s="108" t="s">
        <v>1875</v>
      </c>
      <c r="E938" s="107" t="s">
        <v>1876</v>
      </c>
      <c r="F938" s="107" t="str">
        <f t="shared" si="28"/>
        <v>SAU (GK) ALAQIDI - 1</v>
      </c>
      <c r="G938" s="107" t="str">
        <f t="shared" si="29"/>
        <v>SAU1</v>
      </c>
    </row>
    <row r="939" spans="1:7" ht="15" hidden="1" customHeight="1" x14ac:dyDescent="0.35">
      <c r="A939" s="107">
        <v>2</v>
      </c>
      <c r="B939" s="107" t="s">
        <v>273</v>
      </c>
      <c r="C939" s="108" t="s">
        <v>706</v>
      </c>
      <c r="D939" s="108" t="s">
        <v>1877</v>
      </c>
      <c r="E939" s="107" t="s">
        <v>1876</v>
      </c>
      <c r="F939" s="107" t="str">
        <f t="shared" si="28"/>
        <v>SAU MAJRASHI - 2</v>
      </c>
      <c r="G939" s="107" t="str">
        <f t="shared" si="29"/>
        <v>SAU2</v>
      </c>
    </row>
    <row r="940" spans="1:7" ht="15" hidden="1" customHeight="1" x14ac:dyDescent="0.35">
      <c r="A940" s="107">
        <v>3</v>
      </c>
      <c r="B940" s="107" t="s">
        <v>273</v>
      </c>
      <c r="C940" s="108" t="s">
        <v>706</v>
      </c>
      <c r="D940" s="108" t="s">
        <v>1878</v>
      </c>
      <c r="E940" s="107" t="s">
        <v>1876</v>
      </c>
      <c r="F940" s="107" t="str">
        <f t="shared" si="28"/>
        <v>SAU LAJAMI - 3</v>
      </c>
      <c r="G940" s="107" t="str">
        <f t="shared" si="29"/>
        <v>SAU3</v>
      </c>
    </row>
    <row r="941" spans="1:7" ht="15" hidden="1" customHeight="1" x14ac:dyDescent="0.35">
      <c r="A941" s="107">
        <v>4</v>
      </c>
      <c r="B941" s="107" t="s">
        <v>273</v>
      </c>
      <c r="C941" s="108" t="s">
        <v>1879</v>
      </c>
      <c r="D941" s="108" t="s">
        <v>1880</v>
      </c>
      <c r="E941" s="107" t="s">
        <v>1876</v>
      </c>
      <c r="F941" s="107" t="str">
        <f t="shared" si="28"/>
        <v>SAU ALAMRI - 4</v>
      </c>
      <c r="G941" s="107" t="str">
        <f t="shared" si="29"/>
        <v>SAU4</v>
      </c>
    </row>
    <row r="942" spans="1:7" ht="15" hidden="1" customHeight="1" x14ac:dyDescent="0.35">
      <c r="A942" s="107">
        <v>5</v>
      </c>
      <c r="B942" s="107" t="s">
        <v>273</v>
      </c>
      <c r="C942" s="108" t="s">
        <v>1848</v>
      </c>
      <c r="D942" s="108" t="s">
        <v>1881</v>
      </c>
      <c r="E942" s="107" t="s">
        <v>1876</v>
      </c>
      <c r="F942" s="107" t="str">
        <f t="shared" si="28"/>
        <v>SAU ALTAMBAKTI - 5</v>
      </c>
      <c r="G942" s="107" t="str">
        <f t="shared" si="29"/>
        <v>SAU5</v>
      </c>
    </row>
    <row r="943" spans="1:7" ht="15" hidden="1" customHeight="1" x14ac:dyDescent="0.35">
      <c r="A943" s="107">
        <v>6</v>
      </c>
      <c r="B943" s="107" t="s">
        <v>282</v>
      </c>
      <c r="C943" s="108" t="s">
        <v>1882</v>
      </c>
      <c r="D943" s="108" t="s">
        <v>1883</v>
      </c>
      <c r="E943" s="107" t="s">
        <v>1876</v>
      </c>
      <c r="F943" s="107" t="str">
        <f t="shared" si="28"/>
        <v>SAU ALDAWSARI - 6</v>
      </c>
      <c r="G943" s="107" t="str">
        <f t="shared" si="29"/>
        <v>SAU6</v>
      </c>
    </row>
    <row r="944" spans="1:7" ht="15" hidden="1" customHeight="1" x14ac:dyDescent="0.35">
      <c r="A944" s="107">
        <v>7</v>
      </c>
      <c r="B944" s="107" t="s">
        <v>282</v>
      </c>
      <c r="C944" s="108" t="s">
        <v>1884</v>
      </c>
      <c r="D944" s="108" t="s">
        <v>1885</v>
      </c>
      <c r="E944" s="107" t="s">
        <v>1876</v>
      </c>
      <c r="F944" s="107" t="str">
        <f t="shared" si="28"/>
        <v>SAU ALJUWAYR - 7</v>
      </c>
      <c r="G944" s="107" t="str">
        <f t="shared" si="29"/>
        <v>SAU7</v>
      </c>
    </row>
    <row r="945" spans="1:7" ht="15" hidden="1" customHeight="1" x14ac:dyDescent="0.35">
      <c r="A945" s="107">
        <v>8</v>
      </c>
      <c r="B945" s="107" t="s">
        <v>285</v>
      </c>
      <c r="C945" s="108" t="s">
        <v>1886</v>
      </c>
      <c r="D945" s="108" t="s">
        <v>1358</v>
      </c>
      <c r="E945" s="107" t="s">
        <v>1876</v>
      </c>
      <c r="F945" s="107" t="str">
        <f t="shared" si="28"/>
        <v>SAU YAHYA - 8</v>
      </c>
      <c r="G945" s="107" t="str">
        <f t="shared" si="29"/>
        <v>SAU8</v>
      </c>
    </row>
    <row r="946" spans="1:7" ht="15" hidden="1" customHeight="1" x14ac:dyDescent="0.35">
      <c r="A946" s="107">
        <v>9</v>
      </c>
      <c r="B946" s="107" t="s">
        <v>285</v>
      </c>
      <c r="C946" s="108" t="s">
        <v>1887</v>
      </c>
      <c r="D946" s="108" t="s">
        <v>1888</v>
      </c>
      <c r="E946" s="107" t="s">
        <v>1876</v>
      </c>
      <c r="F946" s="107" t="str">
        <f t="shared" si="28"/>
        <v>SAU ALBRIKAN - 9</v>
      </c>
      <c r="G946" s="107" t="str">
        <f t="shared" si="29"/>
        <v>SAU9</v>
      </c>
    </row>
    <row r="947" spans="1:7" ht="15" hidden="1" customHeight="1" x14ac:dyDescent="0.35">
      <c r="A947" s="107">
        <v>10</v>
      </c>
      <c r="B947" s="107" t="s">
        <v>285</v>
      </c>
      <c r="C947" s="108" t="s">
        <v>1889</v>
      </c>
      <c r="D947" s="108" t="s">
        <v>1883</v>
      </c>
      <c r="E947" s="107" t="s">
        <v>1876</v>
      </c>
      <c r="F947" s="107" t="str">
        <f t="shared" si="28"/>
        <v>SAU ALDAWSARI - 10</v>
      </c>
      <c r="G947" s="107" t="str">
        <f t="shared" si="29"/>
        <v>SAU10</v>
      </c>
    </row>
    <row r="948" spans="1:7" ht="15" hidden="1" customHeight="1" x14ac:dyDescent="0.35">
      <c r="A948" s="107">
        <v>11</v>
      </c>
      <c r="B948" s="107" t="s">
        <v>285</v>
      </c>
      <c r="C948" s="108" t="s">
        <v>1294</v>
      </c>
      <c r="D948" s="108" t="s">
        <v>1890</v>
      </c>
      <c r="E948" s="107" t="s">
        <v>1876</v>
      </c>
      <c r="F948" s="107" t="str">
        <f t="shared" si="28"/>
        <v>SAU ALSHEHRI - 11</v>
      </c>
      <c r="G948" s="107" t="str">
        <f t="shared" si="29"/>
        <v>SAU11</v>
      </c>
    </row>
    <row r="949" spans="1:7" ht="15" hidden="1" customHeight="1" x14ac:dyDescent="0.35">
      <c r="A949" s="107">
        <v>12</v>
      </c>
      <c r="B949" s="107" t="s">
        <v>273</v>
      </c>
      <c r="C949" s="108" t="s">
        <v>1891</v>
      </c>
      <c r="D949" s="108" t="s">
        <v>1892</v>
      </c>
      <c r="E949" s="107" t="s">
        <v>1876</v>
      </c>
      <c r="F949" s="107" t="str">
        <f t="shared" si="28"/>
        <v>SAU ABDULHAMID - 12</v>
      </c>
      <c r="G949" s="107" t="str">
        <f t="shared" si="29"/>
        <v>SAU12</v>
      </c>
    </row>
    <row r="950" spans="1:7" ht="15" hidden="1" customHeight="1" x14ac:dyDescent="0.35">
      <c r="A950" s="107">
        <v>13</v>
      </c>
      <c r="B950" s="107" t="s">
        <v>273</v>
      </c>
      <c r="C950" s="108" t="s">
        <v>1874</v>
      </c>
      <c r="D950" s="108" t="s">
        <v>1893</v>
      </c>
      <c r="E950" s="107" t="s">
        <v>1876</v>
      </c>
      <c r="F950" s="107" t="str">
        <f t="shared" si="28"/>
        <v>SAU BU WASHL - 13</v>
      </c>
      <c r="G950" s="107" t="str">
        <f t="shared" si="29"/>
        <v>SAU13</v>
      </c>
    </row>
    <row r="951" spans="1:7" ht="15" hidden="1" customHeight="1" x14ac:dyDescent="0.35">
      <c r="A951" s="107">
        <v>14</v>
      </c>
      <c r="B951" s="107" t="s">
        <v>273</v>
      </c>
      <c r="C951" s="108" t="s">
        <v>1848</v>
      </c>
      <c r="D951" s="108" t="s">
        <v>1894</v>
      </c>
      <c r="E951" s="107" t="s">
        <v>1876</v>
      </c>
      <c r="F951" s="107" t="str">
        <f t="shared" si="28"/>
        <v>SAU KADISH - 14</v>
      </c>
      <c r="G951" s="107" t="str">
        <f t="shared" si="29"/>
        <v>SAU14</v>
      </c>
    </row>
    <row r="952" spans="1:7" ht="15" hidden="1" customHeight="1" x14ac:dyDescent="0.35">
      <c r="A952" s="107">
        <v>15</v>
      </c>
      <c r="B952" s="107" t="s">
        <v>282</v>
      </c>
      <c r="C952" s="108" t="s">
        <v>1895</v>
      </c>
      <c r="D952" s="108" t="s">
        <v>1896</v>
      </c>
      <c r="E952" s="107" t="s">
        <v>1876</v>
      </c>
      <c r="F952" s="107" t="str">
        <f t="shared" si="28"/>
        <v>SAU ALKHAIBARI - 15</v>
      </c>
      <c r="G952" s="107" t="str">
        <f t="shared" si="29"/>
        <v>SAU15</v>
      </c>
    </row>
    <row r="953" spans="1:7" ht="15" hidden="1" customHeight="1" x14ac:dyDescent="0.35">
      <c r="A953" s="107">
        <v>16</v>
      </c>
      <c r="B953" s="107" t="s">
        <v>282</v>
      </c>
      <c r="C953" s="108" t="s">
        <v>1897</v>
      </c>
      <c r="D953" s="108" t="s">
        <v>1898</v>
      </c>
      <c r="E953" s="107" t="s">
        <v>1876</v>
      </c>
      <c r="F953" s="107" t="str">
        <f t="shared" si="28"/>
        <v>SAU ALJOHANI - 16</v>
      </c>
      <c r="G953" s="107" t="str">
        <f t="shared" si="29"/>
        <v>SAU16</v>
      </c>
    </row>
    <row r="954" spans="1:7" ht="15" hidden="1" customHeight="1" x14ac:dyDescent="0.35">
      <c r="A954" s="107">
        <v>17</v>
      </c>
      <c r="B954" s="107" t="s">
        <v>285</v>
      </c>
      <c r="C954" s="108" t="s">
        <v>1899</v>
      </c>
      <c r="D954" s="108" t="s">
        <v>1900</v>
      </c>
      <c r="E954" s="107" t="s">
        <v>1876</v>
      </c>
      <c r="F954" s="107" t="str">
        <f t="shared" si="28"/>
        <v>SAU ALGHANNAM - 17</v>
      </c>
      <c r="G954" s="107" t="str">
        <f t="shared" si="29"/>
        <v>SAU17</v>
      </c>
    </row>
    <row r="955" spans="1:7" ht="15" hidden="1" customHeight="1" x14ac:dyDescent="0.35">
      <c r="A955" s="107">
        <v>18</v>
      </c>
      <c r="B955" s="107" t="s">
        <v>282</v>
      </c>
      <c r="C955" s="108" t="s">
        <v>1901</v>
      </c>
      <c r="D955" s="108" t="s">
        <v>1902</v>
      </c>
      <c r="E955" s="107" t="s">
        <v>1876</v>
      </c>
      <c r="F955" s="107" t="str">
        <f t="shared" si="28"/>
        <v>SAU ALHAJJI - 18</v>
      </c>
      <c r="G955" s="107" t="str">
        <f t="shared" si="29"/>
        <v>SAU18</v>
      </c>
    </row>
    <row r="956" spans="1:7" ht="15" hidden="1" customHeight="1" x14ac:dyDescent="0.35">
      <c r="A956" s="107">
        <v>19</v>
      </c>
      <c r="B956" s="107" t="s">
        <v>285</v>
      </c>
      <c r="C956" s="108" t="s">
        <v>1895</v>
      </c>
      <c r="D956" s="108" t="s">
        <v>1903</v>
      </c>
      <c r="E956" s="107" t="s">
        <v>1876</v>
      </c>
      <c r="F956" s="107" t="str">
        <f t="shared" si="28"/>
        <v>SAU ALHAMDDAN - 19</v>
      </c>
      <c r="G956" s="107" t="str">
        <f t="shared" si="29"/>
        <v>SAU19</v>
      </c>
    </row>
    <row r="957" spans="1:7" ht="15" hidden="1" customHeight="1" x14ac:dyDescent="0.35">
      <c r="A957" s="107">
        <v>20</v>
      </c>
      <c r="B957" s="107" t="s">
        <v>285</v>
      </c>
      <c r="C957" s="108" t="s">
        <v>1860</v>
      </c>
      <c r="D957" s="108" t="s">
        <v>1904</v>
      </c>
      <c r="E957" s="107" t="s">
        <v>1876</v>
      </c>
      <c r="F957" s="107" t="str">
        <f t="shared" si="28"/>
        <v>SAU MANDASH - 20</v>
      </c>
      <c r="G957" s="107" t="str">
        <f t="shared" si="29"/>
        <v>SAU20</v>
      </c>
    </row>
    <row r="958" spans="1:7" ht="15" hidden="1" customHeight="1" x14ac:dyDescent="0.35">
      <c r="A958" s="107">
        <v>21</v>
      </c>
      <c r="B958" s="107" t="s">
        <v>269</v>
      </c>
      <c r="C958" s="108" t="s">
        <v>1846</v>
      </c>
      <c r="D958" s="108" t="s">
        <v>1905</v>
      </c>
      <c r="E958" s="107" t="s">
        <v>1876</v>
      </c>
      <c r="F958" s="107" t="str">
        <f t="shared" si="28"/>
        <v>SAU (GK) ALOWAIS - 21</v>
      </c>
      <c r="G958" s="107" t="str">
        <f t="shared" si="29"/>
        <v>SAU21</v>
      </c>
    </row>
    <row r="959" spans="1:7" ht="15" hidden="1" customHeight="1" x14ac:dyDescent="0.35">
      <c r="A959" s="107">
        <v>22</v>
      </c>
      <c r="B959" s="107" t="s">
        <v>269</v>
      </c>
      <c r="C959" s="108" t="s">
        <v>1047</v>
      </c>
      <c r="D959" s="108" t="s">
        <v>1906</v>
      </c>
      <c r="E959" s="107" t="s">
        <v>1876</v>
      </c>
      <c r="F959" s="107" t="str">
        <f t="shared" si="28"/>
        <v>SAU (GK) ALKASSAR - 22</v>
      </c>
      <c r="G959" s="107" t="str">
        <f t="shared" si="29"/>
        <v>SAU22</v>
      </c>
    </row>
    <row r="960" spans="1:7" ht="15" hidden="1" customHeight="1" x14ac:dyDescent="0.35">
      <c r="A960" s="107">
        <v>23</v>
      </c>
      <c r="B960" s="107" t="s">
        <v>282</v>
      </c>
      <c r="C960" s="108" t="s">
        <v>308</v>
      </c>
      <c r="D960" s="108" t="s">
        <v>1907</v>
      </c>
      <c r="E960" s="107" t="s">
        <v>1876</v>
      </c>
      <c r="F960" s="107" t="str">
        <f t="shared" si="28"/>
        <v>SAU KANNO - 23</v>
      </c>
      <c r="G960" s="107" t="str">
        <f t="shared" si="29"/>
        <v>SAU23</v>
      </c>
    </row>
    <row r="961" spans="1:7" ht="15" hidden="1" customHeight="1" x14ac:dyDescent="0.35">
      <c r="A961" s="107">
        <v>24</v>
      </c>
      <c r="B961" s="107" t="s">
        <v>273</v>
      </c>
      <c r="C961" s="108" t="s">
        <v>1908</v>
      </c>
      <c r="D961" s="108" t="s">
        <v>1909</v>
      </c>
      <c r="E961" s="107" t="s">
        <v>1876</v>
      </c>
      <c r="F961" s="107" t="str">
        <f t="shared" si="28"/>
        <v>SAU ALHARBI - 24</v>
      </c>
      <c r="G961" s="107" t="str">
        <f t="shared" si="29"/>
        <v>SAU24</v>
      </c>
    </row>
    <row r="962" spans="1:7" ht="15" hidden="1" customHeight="1" x14ac:dyDescent="0.35">
      <c r="A962" s="107">
        <v>25</v>
      </c>
      <c r="B962" s="107" t="s">
        <v>273</v>
      </c>
      <c r="C962" s="108" t="s">
        <v>1910</v>
      </c>
      <c r="D962" s="108" t="s">
        <v>1911</v>
      </c>
      <c r="E962" s="107" t="s">
        <v>1876</v>
      </c>
      <c r="F962" s="107" t="str">
        <f t="shared" si="28"/>
        <v>SAU THIKRI - 25</v>
      </c>
      <c r="G962" s="107" t="str">
        <f t="shared" si="29"/>
        <v>SAU25</v>
      </c>
    </row>
    <row r="963" spans="1:7" ht="15" hidden="1" customHeight="1" x14ac:dyDescent="0.35">
      <c r="A963" s="107">
        <v>26</v>
      </c>
      <c r="B963" s="107" t="s">
        <v>273</v>
      </c>
      <c r="C963" s="108" t="s">
        <v>1846</v>
      </c>
      <c r="D963" s="108" t="s">
        <v>1912</v>
      </c>
      <c r="E963" s="107" t="s">
        <v>1876</v>
      </c>
      <c r="F963" s="107" t="str">
        <f t="shared" ref="F963:F1026" si="30">IF(B963="GK", _xlfn.CONCAT(E963, " ","(",B963, ") ",D963, " - ", A963),  _xlfn.CONCAT(E963, " ",D963, " - ", A963))</f>
        <v>SAU ABU ALSHAMAT - 26</v>
      </c>
      <c r="G963" s="107" t="str">
        <f t="shared" ref="G963:G1026" si="31">_xlfn.CONCAT(E963,A963)</f>
        <v>SAU26</v>
      </c>
    </row>
    <row r="964" spans="1:7" ht="15" hidden="1" customHeight="1" x14ac:dyDescent="0.35">
      <c r="A964" s="61">
        <v>1</v>
      </c>
      <c r="B964" s="61" t="s">
        <v>269</v>
      </c>
      <c r="C964" s="62" t="s">
        <v>1913</v>
      </c>
      <c r="D964" s="62" t="s">
        <v>1914</v>
      </c>
      <c r="E964" s="61" t="s">
        <v>1915</v>
      </c>
      <c r="F964" s="61" t="str">
        <f t="shared" si="30"/>
        <v>SCO (GK) GUNN - 1</v>
      </c>
      <c r="G964" s="61" t="str">
        <f t="shared" si="31"/>
        <v>SCO1</v>
      </c>
    </row>
    <row r="965" spans="1:7" ht="15" hidden="1" customHeight="1" x14ac:dyDescent="0.35">
      <c r="A965" s="61">
        <v>2</v>
      </c>
      <c r="B965" s="61" t="s">
        <v>273</v>
      </c>
      <c r="C965" s="62" t="s">
        <v>764</v>
      </c>
      <c r="D965" s="62" t="s">
        <v>1916</v>
      </c>
      <c r="E965" s="61" t="s">
        <v>1915</v>
      </c>
      <c r="F965" s="61" t="str">
        <f t="shared" si="30"/>
        <v>SCO HICKEY - 2</v>
      </c>
      <c r="G965" s="61" t="str">
        <f t="shared" si="31"/>
        <v>SCO2</v>
      </c>
    </row>
    <row r="966" spans="1:7" ht="15" hidden="1" customHeight="1" x14ac:dyDescent="0.35">
      <c r="A966" s="61">
        <v>3</v>
      </c>
      <c r="B966" s="61" t="s">
        <v>273</v>
      </c>
      <c r="C966" s="62" t="s">
        <v>1917</v>
      </c>
      <c r="D966" s="62" t="s">
        <v>1918</v>
      </c>
      <c r="E966" s="61" t="s">
        <v>1915</v>
      </c>
      <c r="F966" s="61" t="str">
        <f t="shared" si="30"/>
        <v>SCO ROBERTSON - 3</v>
      </c>
      <c r="G966" s="61" t="str">
        <f t="shared" si="31"/>
        <v>SCO3</v>
      </c>
    </row>
    <row r="967" spans="1:7" ht="15" hidden="1" customHeight="1" x14ac:dyDescent="0.35">
      <c r="A967" s="61">
        <v>4</v>
      </c>
      <c r="B967" s="61" t="s">
        <v>282</v>
      </c>
      <c r="C967" s="62" t="s">
        <v>1919</v>
      </c>
      <c r="D967" s="62" t="s">
        <v>1920</v>
      </c>
      <c r="E967" s="61" t="s">
        <v>1915</v>
      </c>
      <c r="F967" s="61" t="str">
        <f t="shared" si="30"/>
        <v>SCO McTOMINAY - 4</v>
      </c>
      <c r="G967" s="61" t="str">
        <f t="shared" si="31"/>
        <v>SCO4</v>
      </c>
    </row>
    <row r="968" spans="1:7" ht="15" hidden="1" customHeight="1" x14ac:dyDescent="0.35">
      <c r="A968" s="61">
        <v>5</v>
      </c>
      <c r="B968" s="61" t="s">
        <v>273</v>
      </c>
      <c r="C968" s="62" t="s">
        <v>1921</v>
      </c>
      <c r="D968" s="62" t="s">
        <v>1922</v>
      </c>
      <c r="E968" s="61" t="s">
        <v>1915</v>
      </c>
      <c r="F968" s="61" t="str">
        <f t="shared" si="30"/>
        <v>SCO HANLEY - 5</v>
      </c>
      <c r="G968" s="61" t="str">
        <f t="shared" si="31"/>
        <v>SCO5</v>
      </c>
    </row>
    <row r="969" spans="1:7" ht="15" hidden="1" customHeight="1" x14ac:dyDescent="0.35">
      <c r="A969" s="61">
        <v>6</v>
      </c>
      <c r="B969" s="61" t="s">
        <v>273</v>
      </c>
      <c r="C969" s="62" t="s">
        <v>1923</v>
      </c>
      <c r="D969" s="62" t="s">
        <v>1924</v>
      </c>
      <c r="E969" s="61" t="s">
        <v>1915</v>
      </c>
      <c r="F969" s="61" t="str">
        <f t="shared" si="30"/>
        <v>SCO TIERNEY - 6</v>
      </c>
      <c r="G969" s="61" t="str">
        <f t="shared" si="31"/>
        <v>SCO6</v>
      </c>
    </row>
    <row r="970" spans="1:7" ht="15" hidden="1" customHeight="1" x14ac:dyDescent="0.35">
      <c r="A970" s="61">
        <v>7</v>
      </c>
      <c r="B970" s="61" t="s">
        <v>282</v>
      </c>
      <c r="C970" s="62" t="s">
        <v>1003</v>
      </c>
      <c r="D970" s="62" t="s">
        <v>1925</v>
      </c>
      <c r="E970" s="61" t="s">
        <v>1915</v>
      </c>
      <c r="F970" s="61" t="str">
        <f t="shared" si="30"/>
        <v>SCO McGINN - 7</v>
      </c>
      <c r="G970" s="61" t="str">
        <f t="shared" si="31"/>
        <v>SCO7</v>
      </c>
    </row>
    <row r="971" spans="1:7" ht="15" hidden="1" customHeight="1" x14ac:dyDescent="0.35">
      <c r="A971" s="61">
        <v>8</v>
      </c>
      <c r="B971" s="61" t="s">
        <v>282</v>
      </c>
      <c r="C971" s="62" t="s">
        <v>1642</v>
      </c>
      <c r="D971" s="62" t="s">
        <v>1926</v>
      </c>
      <c r="E971" s="61" t="s">
        <v>1915</v>
      </c>
      <c r="F971" s="61" t="str">
        <f t="shared" si="30"/>
        <v>SCO FLETCHER - 8</v>
      </c>
      <c r="G971" s="61" t="str">
        <f t="shared" si="31"/>
        <v>SCO8</v>
      </c>
    </row>
    <row r="972" spans="1:7" ht="15" hidden="1" customHeight="1" x14ac:dyDescent="0.35">
      <c r="A972" s="61">
        <v>9</v>
      </c>
      <c r="B972" s="61" t="s">
        <v>285</v>
      </c>
      <c r="C972" s="62" t="s">
        <v>1927</v>
      </c>
      <c r="D972" s="62" t="s">
        <v>1928</v>
      </c>
      <c r="E972" s="61" t="s">
        <v>1915</v>
      </c>
      <c r="F972" s="61" t="str">
        <f t="shared" si="30"/>
        <v>SCO DYKES - 9</v>
      </c>
      <c r="G972" s="61" t="str">
        <f t="shared" si="31"/>
        <v>SCO9</v>
      </c>
    </row>
    <row r="973" spans="1:7" ht="15" hidden="1" customHeight="1" x14ac:dyDescent="0.35">
      <c r="A973" s="61">
        <v>10</v>
      </c>
      <c r="B973" s="61" t="s">
        <v>285</v>
      </c>
      <c r="C973" s="62" t="s">
        <v>1929</v>
      </c>
      <c r="D973" s="62" t="s">
        <v>1930</v>
      </c>
      <c r="E973" s="61" t="s">
        <v>1915</v>
      </c>
      <c r="F973" s="61" t="str">
        <f t="shared" si="30"/>
        <v>SCO ADAMS - 10</v>
      </c>
      <c r="G973" s="61" t="str">
        <f t="shared" si="31"/>
        <v>SCO10</v>
      </c>
    </row>
    <row r="974" spans="1:7" ht="15" hidden="1" customHeight="1" x14ac:dyDescent="0.35">
      <c r="A974" s="61">
        <v>11</v>
      </c>
      <c r="B974" s="61" t="s">
        <v>282</v>
      </c>
      <c r="C974" s="62" t="s">
        <v>654</v>
      </c>
      <c r="D974" s="62" t="s">
        <v>1931</v>
      </c>
      <c r="E974" s="61" t="s">
        <v>1915</v>
      </c>
      <c r="F974" s="61" t="str">
        <f t="shared" si="30"/>
        <v>SCO CHRISTIE - 11</v>
      </c>
      <c r="G974" s="61" t="str">
        <f t="shared" si="31"/>
        <v>SCO11</v>
      </c>
    </row>
    <row r="975" spans="1:7" ht="15" hidden="1" customHeight="1" x14ac:dyDescent="0.35">
      <c r="A975" s="61">
        <v>12</v>
      </c>
      <c r="B975" s="61" t="s">
        <v>269</v>
      </c>
      <c r="C975" s="62" t="s">
        <v>689</v>
      </c>
      <c r="D975" s="62" t="s">
        <v>1932</v>
      </c>
      <c r="E975" s="61" t="s">
        <v>1915</v>
      </c>
      <c r="F975" s="61" t="str">
        <f t="shared" si="30"/>
        <v>SCO (GK) KELLY - 12</v>
      </c>
      <c r="G975" s="61" t="str">
        <f t="shared" si="31"/>
        <v>SCO12</v>
      </c>
    </row>
    <row r="976" spans="1:7" ht="15" hidden="1" customHeight="1" x14ac:dyDescent="0.35">
      <c r="A976" s="61">
        <v>13</v>
      </c>
      <c r="B976" s="61" t="s">
        <v>273</v>
      </c>
      <c r="C976" s="62" t="s">
        <v>1933</v>
      </c>
      <c r="D976" s="62" t="s">
        <v>1934</v>
      </c>
      <c r="E976" s="61" t="s">
        <v>1915</v>
      </c>
      <c r="F976" s="61" t="str">
        <f t="shared" si="30"/>
        <v>SCO HENDRY - 13</v>
      </c>
      <c r="G976" s="61" t="str">
        <f t="shared" si="31"/>
        <v>SCO13</v>
      </c>
    </row>
    <row r="977" spans="1:7" ht="15" hidden="1" customHeight="1" x14ac:dyDescent="0.35">
      <c r="A977" s="61">
        <v>14</v>
      </c>
      <c r="B977" s="61" t="s">
        <v>285</v>
      </c>
      <c r="C977" s="62" t="s">
        <v>1935</v>
      </c>
      <c r="D977" s="62" t="s">
        <v>1936</v>
      </c>
      <c r="E977" s="61" t="s">
        <v>1915</v>
      </c>
      <c r="F977" s="61" t="str">
        <f t="shared" si="30"/>
        <v>SCO STEWART - 14</v>
      </c>
      <c r="G977" s="61" t="str">
        <f t="shared" si="31"/>
        <v>SCO14</v>
      </c>
    </row>
    <row r="978" spans="1:7" ht="15" hidden="1" customHeight="1" x14ac:dyDescent="0.35">
      <c r="A978" s="61">
        <v>15</v>
      </c>
      <c r="B978" s="61" t="s">
        <v>273</v>
      </c>
      <c r="C978" s="62" t="s">
        <v>1003</v>
      </c>
      <c r="D978" s="62" t="s">
        <v>410</v>
      </c>
      <c r="E978" s="61" t="s">
        <v>1915</v>
      </c>
      <c r="F978" s="61" t="str">
        <f t="shared" si="30"/>
        <v>SCO SOUTTAR - 15</v>
      </c>
      <c r="G978" s="61" t="str">
        <f t="shared" si="31"/>
        <v>SCO15</v>
      </c>
    </row>
    <row r="979" spans="1:7" ht="15" hidden="1" customHeight="1" x14ac:dyDescent="0.35">
      <c r="A979" s="61">
        <v>16</v>
      </c>
      <c r="B979" s="61" t="s">
        <v>273</v>
      </c>
      <c r="C979" s="62" t="s">
        <v>1937</v>
      </c>
      <c r="D979" s="62" t="s">
        <v>1938</v>
      </c>
      <c r="E979" s="61" t="s">
        <v>1915</v>
      </c>
      <c r="F979" s="61" t="str">
        <f t="shared" si="30"/>
        <v>SCO HYAM - 16</v>
      </c>
      <c r="G979" s="61" t="str">
        <f t="shared" si="31"/>
        <v>SCO16</v>
      </c>
    </row>
    <row r="980" spans="1:7" ht="15" hidden="1" customHeight="1" x14ac:dyDescent="0.35">
      <c r="A980" s="61">
        <v>17</v>
      </c>
      <c r="B980" s="61" t="s">
        <v>285</v>
      </c>
      <c r="C980" s="62" t="s">
        <v>1667</v>
      </c>
      <c r="D980" s="62" t="s">
        <v>1939</v>
      </c>
      <c r="E980" s="61" t="s">
        <v>1915</v>
      </c>
      <c r="F980" s="61" t="str">
        <f t="shared" si="30"/>
        <v>SCO GANNON-DOAK - 17</v>
      </c>
      <c r="G980" s="61" t="str">
        <f t="shared" si="31"/>
        <v>SCO17</v>
      </c>
    </row>
    <row r="981" spans="1:7" ht="15" hidden="1" customHeight="1" x14ac:dyDescent="0.35">
      <c r="A981" s="61">
        <v>18</v>
      </c>
      <c r="B981" s="61" t="s">
        <v>285</v>
      </c>
      <c r="C981" s="62" t="s">
        <v>1940</v>
      </c>
      <c r="D981" s="62" t="s">
        <v>1941</v>
      </c>
      <c r="E981" s="61" t="s">
        <v>1915</v>
      </c>
      <c r="F981" s="61" t="str">
        <f t="shared" si="30"/>
        <v>SCO HIRST - 18</v>
      </c>
      <c r="G981" s="61" t="str">
        <f t="shared" si="31"/>
        <v>SCO18</v>
      </c>
    </row>
    <row r="982" spans="1:7" ht="15" hidden="1" customHeight="1" x14ac:dyDescent="0.35">
      <c r="A982" s="61">
        <v>19</v>
      </c>
      <c r="B982" s="61" t="s">
        <v>282</v>
      </c>
      <c r="C982" s="62" t="s">
        <v>1942</v>
      </c>
      <c r="D982" s="62" t="s">
        <v>1943</v>
      </c>
      <c r="E982" s="61" t="s">
        <v>1915</v>
      </c>
      <c r="F982" s="61" t="str">
        <f t="shared" si="30"/>
        <v>SCO FERGUSON - 19</v>
      </c>
      <c r="G982" s="61" t="str">
        <f t="shared" si="31"/>
        <v>SCO19</v>
      </c>
    </row>
    <row r="983" spans="1:7" ht="15" hidden="1" customHeight="1" x14ac:dyDescent="0.35">
      <c r="A983" s="61">
        <v>20</v>
      </c>
      <c r="B983" s="61" t="s">
        <v>285</v>
      </c>
      <c r="C983" s="62" t="s">
        <v>1944</v>
      </c>
      <c r="D983" s="62" t="s">
        <v>1945</v>
      </c>
      <c r="E983" s="61" t="s">
        <v>1915</v>
      </c>
      <c r="F983" s="61" t="str">
        <f t="shared" si="30"/>
        <v>SCO SHANKLAND - 20</v>
      </c>
      <c r="G983" s="61" t="str">
        <f t="shared" si="31"/>
        <v>SCO20</v>
      </c>
    </row>
    <row r="984" spans="1:7" ht="15" hidden="1" customHeight="1" x14ac:dyDescent="0.35">
      <c r="A984" s="61">
        <v>21</v>
      </c>
      <c r="B984" s="61" t="s">
        <v>269</v>
      </c>
      <c r="C984" s="62" t="s">
        <v>1946</v>
      </c>
      <c r="D984" s="62" t="s">
        <v>1097</v>
      </c>
      <c r="E984" s="61" t="s">
        <v>1915</v>
      </c>
      <c r="F984" s="61" t="str">
        <f t="shared" si="30"/>
        <v>SCO (GK) GORDON - 21</v>
      </c>
      <c r="G984" s="61" t="str">
        <f t="shared" si="31"/>
        <v>SCO21</v>
      </c>
    </row>
    <row r="985" spans="1:7" ht="15" hidden="1" customHeight="1" x14ac:dyDescent="0.35">
      <c r="A985" s="61">
        <v>22</v>
      </c>
      <c r="B985" s="61" t="s">
        <v>273</v>
      </c>
      <c r="C985" s="62" t="s">
        <v>510</v>
      </c>
      <c r="D985" s="62" t="s">
        <v>1947</v>
      </c>
      <c r="E985" s="61" t="s">
        <v>1915</v>
      </c>
      <c r="F985" s="61" t="str">
        <f t="shared" si="30"/>
        <v>SCO PATTERSON - 22</v>
      </c>
      <c r="G985" s="61" t="str">
        <f t="shared" si="31"/>
        <v>SCO22</v>
      </c>
    </row>
    <row r="986" spans="1:7" ht="15" hidden="1" customHeight="1" x14ac:dyDescent="0.35">
      <c r="A986" s="61">
        <v>23</v>
      </c>
      <c r="B986" s="61" t="s">
        <v>282</v>
      </c>
      <c r="C986" s="62" t="s">
        <v>1948</v>
      </c>
      <c r="D986" s="62" t="s">
        <v>1949</v>
      </c>
      <c r="E986" s="61" t="s">
        <v>1915</v>
      </c>
      <c r="F986" s="61" t="str">
        <f t="shared" si="30"/>
        <v>SCO McLEAN - 23</v>
      </c>
      <c r="G986" s="61" t="str">
        <f t="shared" si="31"/>
        <v>SCO23</v>
      </c>
    </row>
    <row r="987" spans="1:7" ht="15" hidden="1" customHeight="1" x14ac:dyDescent="0.35">
      <c r="A987" s="61">
        <v>24</v>
      </c>
      <c r="B987" s="61" t="s">
        <v>273</v>
      </c>
      <c r="C987" s="62" t="s">
        <v>1001</v>
      </c>
      <c r="D987" s="62" t="s">
        <v>1950</v>
      </c>
      <c r="E987" s="61" t="s">
        <v>1915</v>
      </c>
      <c r="F987" s="61" t="str">
        <f t="shared" si="30"/>
        <v>SCO RALSTON - 24</v>
      </c>
      <c r="G987" s="61" t="str">
        <f t="shared" si="31"/>
        <v>SCO24</v>
      </c>
    </row>
    <row r="988" spans="1:7" ht="15" hidden="1" customHeight="1" x14ac:dyDescent="0.35">
      <c r="A988" s="61">
        <v>25</v>
      </c>
      <c r="B988" s="61" t="s">
        <v>285</v>
      </c>
      <c r="C988" s="62" t="s">
        <v>1951</v>
      </c>
      <c r="D988" s="62" t="s">
        <v>1952</v>
      </c>
      <c r="E988" s="61" t="s">
        <v>1915</v>
      </c>
      <c r="F988" s="61" t="str">
        <f t="shared" si="30"/>
        <v>SCO CURTIS - 25</v>
      </c>
      <c r="G988" s="61" t="str">
        <f t="shared" si="31"/>
        <v>SCO25</v>
      </c>
    </row>
    <row r="989" spans="1:7" ht="15" hidden="1" customHeight="1" x14ac:dyDescent="0.35">
      <c r="A989" s="61">
        <v>26</v>
      </c>
      <c r="B989" s="61" t="s">
        <v>273</v>
      </c>
      <c r="C989" s="62" t="s">
        <v>1919</v>
      </c>
      <c r="D989" s="62" t="s">
        <v>1953</v>
      </c>
      <c r="E989" s="61" t="s">
        <v>1915</v>
      </c>
      <c r="F989" s="61" t="str">
        <f t="shared" si="30"/>
        <v>SCO McKENNA - 26</v>
      </c>
      <c r="G989" s="61" t="str">
        <f t="shared" si="31"/>
        <v>SCO26</v>
      </c>
    </row>
    <row r="990" spans="1:7" ht="15" hidden="1" customHeight="1" x14ac:dyDescent="0.35">
      <c r="A990" s="109">
        <v>1</v>
      </c>
      <c r="B990" s="109" t="s">
        <v>269</v>
      </c>
      <c r="C990" s="110" t="s">
        <v>1954</v>
      </c>
      <c r="D990" s="110" t="s">
        <v>1955</v>
      </c>
      <c r="E990" s="109" t="s">
        <v>1956</v>
      </c>
      <c r="F990" s="109" t="str">
        <f t="shared" si="30"/>
        <v>SEN (GK) DIOUF - 1</v>
      </c>
      <c r="G990" s="109" t="str">
        <f t="shared" si="31"/>
        <v>SEN1</v>
      </c>
    </row>
    <row r="991" spans="1:7" ht="15" hidden="1" customHeight="1" x14ac:dyDescent="0.35">
      <c r="A991" s="109">
        <v>2</v>
      </c>
      <c r="B991" s="109" t="s">
        <v>273</v>
      </c>
      <c r="C991" s="110" t="s">
        <v>1957</v>
      </c>
      <c r="D991" s="110" t="s">
        <v>1958</v>
      </c>
      <c r="E991" s="109" t="s">
        <v>1956</v>
      </c>
      <c r="F991" s="109" t="str">
        <f t="shared" si="30"/>
        <v>SEN SARR - 2</v>
      </c>
      <c r="G991" s="109" t="str">
        <f t="shared" si="31"/>
        <v>SEN2</v>
      </c>
    </row>
    <row r="992" spans="1:7" ht="15" hidden="1" customHeight="1" x14ac:dyDescent="0.35">
      <c r="A992" s="109">
        <v>3</v>
      </c>
      <c r="B992" s="109" t="s">
        <v>273</v>
      </c>
      <c r="C992" s="110" t="s">
        <v>1959</v>
      </c>
      <c r="D992" s="110" t="s">
        <v>1960</v>
      </c>
      <c r="E992" s="109" t="s">
        <v>1956</v>
      </c>
      <c r="F992" s="109" t="str">
        <f t="shared" si="30"/>
        <v>SEN KOULIBALY - 3</v>
      </c>
      <c r="G992" s="109" t="str">
        <f t="shared" si="31"/>
        <v>SEN3</v>
      </c>
    </row>
    <row r="993" spans="1:7" ht="15" hidden="1" customHeight="1" x14ac:dyDescent="0.35">
      <c r="A993" s="109">
        <v>4</v>
      </c>
      <c r="B993" s="109" t="s">
        <v>273</v>
      </c>
      <c r="C993" s="110" t="s">
        <v>1961</v>
      </c>
      <c r="D993" s="110" t="s">
        <v>1962</v>
      </c>
      <c r="E993" s="109" t="s">
        <v>1956</v>
      </c>
      <c r="F993" s="109" t="str">
        <f t="shared" si="30"/>
        <v>SEN SECK - 4</v>
      </c>
      <c r="G993" s="109" t="str">
        <f t="shared" si="31"/>
        <v>SEN4</v>
      </c>
    </row>
    <row r="994" spans="1:7" ht="15" hidden="1" customHeight="1" x14ac:dyDescent="0.35">
      <c r="A994" s="109">
        <v>5</v>
      </c>
      <c r="B994" s="109" t="s">
        <v>282</v>
      </c>
      <c r="C994" s="110" t="s">
        <v>1963</v>
      </c>
      <c r="D994" s="110" t="s">
        <v>1838</v>
      </c>
      <c r="E994" s="109" t="s">
        <v>1956</v>
      </c>
      <c r="F994" s="109" t="str">
        <f t="shared" si="30"/>
        <v>SEN GUEYE - 5</v>
      </c>
      <c r="G994" s="109" t="str">
        <f t="shared" si="31"/>
        <v>SEN5</v>
      </c>
    </row>
    <row r="995" spans="1:7" ht="15" hidden="1" customHeight="1" x14ac:dyDescent="0.35">
      <c r="A995" s="109">
        <v>6</v>
      </c>
      <c r="B995" s="109" t="s">
        <v>282</v>
      </c>
      <c r="C995" s="110" t="s">
        <v>1964</v>
      </c>
      <c r="D995" s="110" t="s">
        <v>1965</v>
      </c>
      <c r="E995" s="109" t="s">
        <v>1956</v>
      </c>
      <c r="F995" s="109" t="str">
        <f t="shared" si="30"/>
        <v>SEN CISS - 6</v>
      </c>
      <c r="G995" s="109" t="str">
        <f t="shared" si="31"/>
        <v>SEN6</v>
      </c>
    </row>
    <row r="996" spans="1:7" ht="15" hidden="1" customHeight="1" x14ac:dyDescent="0.35">
      <c r="A996" s="109">
        <v>7</v>
      </c>
      <c r="B996" s="109" t="s">
        <v>285</v>
      </c>
      <c r="C996" s="110" t="s">
        <v>1966</v>
      </c>
      <c r="D996" s="110" t="s">
        <v>1967</v>
      </c>
      <c r="E996" s="109" t="s">
        <v>1956</v>
      </c>
      <c r="F996" s="109" t="str">
        <f t="shared" si="30"/>
        <v>SEN DIAO - 7</v>
      </c>
      <c r="G996" s="109" t="str">
        <f t="shared" si="31"/>
        <v>SEN7</v>
      </c>
    </row>
    <row r="997" spans="1:7" ht="15" hidden="1" customHeight="1" x14ac:dyDescent="0.35">
      <c r="A997" s="109">
        <v>8</v>
      </c>
      <c r="B997" s="109" t="s">
        <v>282</v>
      </c>
      <c r="C997" s="110" t="s">
        <v>1968</v>
      </c>
      <c r="D997" s="110" t="s">
        <v>1969</v>
      </c>
      <c r="E997" s="109" t="s">
        <v>1956</v>
      </c>
      <c r="F997" s="109" t="str">
        <f t="shared" si="30"/>
        <v>SEN CAMARA - 8</v>
      </c>
      <c r="G997" s="109" t="str">
        <f t="shared" si="31"/>
        <v>SEN8</v>
      </c>
    </row>
    <row r="998" spans="1:7" ht="15" hidden="1" customHeight="1" x14ac:dyDescent="0.35">
      <c r="A998" s="109">
        <v>9</v>
      </c>
      <c r="B998" s="109" t="s">
        <v>285</v>
      </c>
      <c r="C998" s="110" t="s">
        <v>1970</v>
      </c>
      <c r="D998" s="110" t="s">
        <v>1971</v>
      </c>
      <c r="E998" s="109" t="s">
        <v>1956</v>
      </c>
      <c r="F998" s="109" t="str">
        <f t="shared" si="30"/>
        <v>SEN DIENG - 9</v>
      </c>
      <c r="G998" s="109" t="str">
        <f t="shared" si="31"/>
        <v>SEN9</v>
      </c>
    </row>
    <row r="999" spans="1:7" ht="15" hidden="1" customHeight="1" x14ac:dyDescent="0.35">
      <c r="A999" s="109">
        <v>10</v>
      </c>
      <c r="B999" s="109" t="s">
        <v>285</v>
      </c>
      <c r="C999" s="110" t="s">
        <v>1972</v>
      </c>
      <c r="D999" s="110" t="s">
        <v>1973</v>
      </c>
      <c r="E999" s="109" t="s">
        <v>1956</v>
      </c>
      <c r="F999" s="109" t="str">
        <f t="shared" si="30"/>
        <v>SEN MANE - 10</v>
      </c>
      <c r="G999" s="109" t="str">
        <f t="shared" si="31"/>
        <v>SEN10</v>
      </c>
    </row>
    <row r="1000" spans="1:7" ht="15" hidden="1" customHeight="1" x14ac:dyDescent="0.35">
      <c r="A1000" s="109">
        <v>11</v>
      </c>
      <c r="B1000" s="109" t="s">
        <v>285</v>
      </c>
      <c r="C1000" s="110" t="s">
        <v>330</v>
      </c>
      <c r="D1000" s="110" t="s">
        <v>1974</v>
      </c>
      <c r="E1000" s="109" t="s">
        <v>1956</v>
      </c>
      <c r="F1000" s="109" t="str">
        <f t="shared" si="30"/>
        <v>SEN JACKSON - 11</v>
      </c>
      <c r="G1000" s="109" t="str">
        <f t="shared" si="31"/>
        <v>SEN11</v>
      </c>
    </row>
    <row r="1001" spans="1:7" ht="15" hidden="1" customHeight="1" x14ac:dyDescent="0.35">
      <c r="A1001" s="109">
        <v>12</v>
      </c>
      <c r="B1001" s="109" t="s">
        <v>285</v>
      </c>
      <c r="C1001" s="110" t="s">
        <v>1975</v>
      </c>
      <c r="D1001" s="110" t="s">
        <v>1976</v>
      </c>
      <c r="E1001" s="109" t="s">
        <v>1956</v>
      </c>
      <c r="F1001" s="109" t="str">
        <f t="shared" si="30"/>
        <v>SEN NDIAYE - 12</v>
      </c>
      <c r="G1001" s="109" t="str">
        <f t="shared" si="31"/>
        <v>SEN12</v>
      </c>
    </row>
    <row r="1002" spans="1:7" ht="15" hidden="1" customHeight="1" x14ac:dyDescent="0.35">
      <c r="A1002" s="109">
        <v>13</v>
      </c>
      <c r="B1002" s="109" t="s">
        <v>285</v>
      </c>
      <c r="C1002" s="110" t="s">
        <v>1977</v>
      </c>
      <c r="D1002" s="110" t="s">
        <v>1976</v>
      </c>
      <c r="E1002" s="109" t="s">
        <v>1956</v>
      </c>
      <c r="F1002" s="109" t="str">
        <f t="shared" si="30"/>
        <v>SEN NDIAYE - 13</v>
      </c>
      <c r="G1002" s="109" t="str">
        <f t="shared" si="31"/>
        <v>SEN13</v>
      </c>
    </row>
    <row r="1003" spans="1:7" ht="15" hidden="1" customHeight="1" x14ac:dyDescent="0.35">
      <c r="A1003" s="109">
        <v>14</v>
      </c>
      <c r="B1003" s="109" t="s">
        <v>273</v>
      </c>
      <c r="C1003" s="110" t="s">
        <v>1978</v>
      </c>
      <c r="D1003" s="110" t="s">
        <v>1979</v>
      </c>
      <c r="E1003" s="109" t="s">
        <v>1956</v>
      </c>
      <c r="F1003" s="109" t="str">
        <f t="shared" si="30"/>
        <v>SEN JAKOBS - 14</v>
      </c>
      <c r="G1003" s="109" t="str">
        <f t="shared" si="31"/>
        <v>SEN14</v>
      </c>
    </row>
    <row r="1004" spans="1:7" ht="15" hidden="1" customHeight="1" x14ac:dyDescent="0.35">
      <c r="A1004" s="109">
        <v>15</v>
      </c>
      <c r="B1004" s="109" t="s">
        <v>273</v>
      </c>
      <c r="C1004" s="110" t="s">
        <v>1980</v>
      </c>
      <c r="D1004" s="110" t="s">
        <v>1981</v>
      </c>
      <c r="E1004" s="109" t="s">
        <v>1956</v>
      </c>
      <c r="F1004" s="109" t="str">
        <f t="shared" si="30"/>
        <v>SEN DIATTA - 15</v>
      </c>
      <c r="G1004" s="109" t="str">
        <f t="shared" si="31"/>
        <v>SEN15</v>
      </c>
    </row>
    <row r="1005" spans="1:7" ht="15" hidden="1" customHeight="1" x14ac:dyDescent="0.35">
      <c r="A1005" s="109">
        <v>16</v>
      </c>
      <c r="B1005" s="109" t="s">
        <v>269</v>
      </c>
      <c r="C1005" s="110" t="s">
        <v>1982</v>
      </c>
      <c r="D1005" s="110" t="s">
        <v>1983</v>
      </c>
      <c r="E1005" s="109" t="s">
        <v>1956</v>
      </c>
      <c r="F1005" s="109" t="str">
        <f t="shared" si="30"/>
        <v>SEN (GK) MENDY - 16</v>
      </c>
      <c r="G1005" s="109" t="str">
        <f t="shared" si="31"/>
        <v>SEN16</v>
      </c>
    </row>
    <row r="1006" spans="1:7" ht="15" hidden="1" customHeight="1" x14ac:dyDescent="0.35">
      <c r="A1006" s="109">
        <v>17</v>
      </c>
      <c r="B1006" s="109" t="s">
        <v>282</v>
      </c>
      <c r="C1006" s="110" t="s">
        <v>1984</v>
      </c>
      <c r="D1006" s="110" t="s">
        <v>1958</v>
      </c>
      <c r="E1006" s="109" t="s">
        <v>1956</v>
      </c>
      <c r="F1006" s="109" t="str">
        <f t="shared" si="30"/>
        <v>SEN SARR - 17</v>
      </c>
      <c r="G1006" s="109" t="str">
        <f t="shared" si="31"/>
        <v>SEN17</v>
      </c>
    </row>
    <row r="1007" spans="1:7" ht="15" hidden="1" customHeight="1" x14ac:dyDescent="0.35">
      <c r="A1007" s="109">
        <v>18</v>
      </c>
      <c r="B1007" s="109" t="s">
        <v>285</v>
      </c>
      <c r="C1007" s="110" t="s">
        <v>1985</v>
      </c>
      <c r="D1007" s="110" t="s">
        <v>1958</v>
      </c>
      <c r="E1007" s="109" t="s">
        <v>1956</v>
      </c>
      <c r="F1007" s="109" t="str">
        <f t="shared" si="30"/>
        <v>SEN SARR - 18</v>
      </c>
      <c r="G1007" s="109" t="str">
        <f t="shared" si="31"/>
        <v>SEN18</v>
      </c>
    </row>
    <row r="1008" spans="1:7" ht="15" hidden="1" customHeight="1" x14ac:dyDescent="0.35">
      <c r="A1008" s="109">
        <v>19</v>
      </c>
      <c r="B1008" s="109" t="s">
        <v>273</v>
      </c>
      <c r="C1008" s="110" t="s">
        <v>1986</v>
      </c>
      <c r="D1008" s="110" t="s">
        <v>1987</v>
      </c>
      <c r="E1008" s="109" t="s">
        <v>1956</v>
      </c>
      <c r="F1008" s="109" t="str">
        <f t="shared" si="30"/>
        <v>SEN NIAKHATE - 19</v>
      </c>
      <c r="G1008" s="109" t="str">
        <f t="shared" si="31"/>
        <v>SEN19</v>
      </c>
    </row>
    <row r="1009" spans="1:7" ht="15" hidden="1" customHeight="1" x14ac:dyDescent="0.35">
      <c r="A1009" s="109">
        <v>20</v>
      </c>
      <c r="B1009" s="109" t="s">
        <v>285</v>
      </c>
      <c r="C1009" s="110" t="s">
        <v>316</v>
      </c>
      <c r="D1009" s="110" t="s">
        <v>1988</v>
      </c>
      <c r="E1009" s="109" t="s">
        <v>1956</v>
      </c>
      <c r="F1009" s="109" t="str">
        <f t="shared" si="30"/>
        <v>SEN MBAYE - 20</v>
      </c>
      <c r="G1009" s="109" t="str">
        <f t="shared" si="31"/>
        <v>SEN20</v>
      </c>
    </row>
    <row r="1010" spans="1:7" ht="15" hidden="1" customHeight="1" x14ac:dyDescent="0.35">
      <c r="A1010" s="109">
        <v>21</v>
      </c>
      <c r="B1010" s="109" t="s">
        <v>282</v>
      </c>
      <c r="C1010" s="110" t="s">
        <v>1989</v>
      </c>
      <c r="D1010" s="110" t="s">
        <v>1990</v>
      </c>
      <c r="E1010" s="109" t="s">
        <v>1956</v>
      </c>
      <c r="F1010" s="109" t="str">
        <f t="shared" si="30"/>
        <v>SEN DIARRA - 21</v>
      </c>
      <c r="G1010" s="109" t="str">
        <f t="shared" si="31"/>
        <v>SEN21</v>
      </c>
    </row>
    <row r="1011" spans="1:7" ht="15" hidden="1" customHeight="1" x14ac:dyDescent="0.35">
      <c r="A1011" s="109">
        <v>22</v>
      </c>
      <c r="B1011" s="109" t="s">
        <v>282</v>
      </c>
      <c r="C1011" s="110" t="s">
        <v>1991</v>
      </c>
      <c r="D1011" s="110" t="s">
        <v>1976</v>
      </c>
      <c r="E1011" s="109" t="s">
        <v>1956</v>
      </c>
      <c r="F1011" s="109" t="str">
        <f t="shared" si="30"/>
        <v>SEN NDIAYE - 22</v>
      </c>
      <c r="G1011" s="109" t="str">
        <f t="shared" si="31"/>
        <v>SEN22</v>
      </c>
    </row>
    <row r="1012" spans="1:7" ht="15" hidden="1" customHeight="1" x14ac:dyDescent="0.35">
      <c r="A1012" s="109">
        <v>23</v>
      </c>
      <c r="B1012" s="109" t="s">
        <v>269</v>
      </c>
      <c r="C1012" s="110" t="s">
        <v>1992</v>
      </c>
      <c r="D1012" s="110" t="s">
        <v>1993</v>
      </c>
      <c r="E1012" s="109" t="s">
        <v>1956</v>
      </c>
      <c r="F1012" s="109" t="str">
        <f t="shared" si="30"/>
        <v>SEN (GK) DIAW - 23</v>
      </c>
      <c r="G1012" s="109" t="str">
        <f t="shared" si="31"/>
        <v>SEN23</v>
      </c>
    </row>
    <row r="1013" spans="1:7" ht="15" hidden="1" customHeight="1" x14ac:dyDescent="0.35">
      <c r="A1013" s="109">
        <v>24</v>
      </c>
      <c r="B1013" s="109" t="s">
        <v>273</v>
      </c>
      <c r="C1013" s="110" t="s">
        <v>1213</v>
      </c>
      <c r="D1013" s="110" t="s">
        <v>1983</v>
      </c>
      <c r="E1013" s="109" t="s">
        <v>1956</v>
      </c>
      <c r="F1013" s="109" t="str">
        <f t="shared" si="30"/>
        <v>SEN MENDY - 24</v>
      </c>
      <c r="G1013" s="109" t="str">
        <f t="shared" si="31"/>
        <v>SEN24</v>
      </c>
    </row>
    <row r="1014" spans="1:7" ht="15" hidden="1" customHeight="1" x14ac:dyDescent="0.35">
      <c r="A1014" s="109">
        <v>25</v>
      </c>
      <c r="B1014" s="109" t="s">
        <v>273</v>
      </c>
      <c r="C1014" s="110" t="s">
        <v>1994</v>
      </c>
      <c r="D1014" s="110" t="s">
        <v>1955</v>
      </c>
      <c r="E1014" s="109" t="s">
        <v>1956</v>
      </c>
      <c r="F1014" s="109" t="str">
        <f t="shared" si="30"/>
        <v>SEN DIOUF - 25</v>
      </c>
      <c r="G1014" s="109" t="str">
        <f t="shared" si="31"/>
        <v>SEN25</v>
      </c>
    </row>
    <row r="1015" spans="1:7" ht="15" hidden="1" customHeight="1" x14ac:dyDescent="0.35">
      <c r="A1015" s="109">
        <v>26</v>
      </c>
      <c r="B1015" s="109" t="s">
        <v>282</v>
      </c>
      <c r="C1015" s="110" t="s">
        <v>1995</v>
      </c>
      <c r="D1015" s="110" t="s">
        <v>1838</v>
      </c>
      <c r="E1015" s="109" t="s">
        <v>1956</v>
      </c>
      <c r="F1015" s="109" t="str">
        <f t="shared" si="30"/>
        <v>SEN GUEYE - 26</v>
      </c>
      <c r="G1015" s="109" t="str">
        <f t="shared" si="31"/>
        <v>SEN26</v>
      </c>
    </row>
    <row r="1016" spans="1:7" ht="15" hidden="1" customHeight="1" x14ac:dyDescent="0.35">
      <c r="A1016" s="111">
        <v>1</v>
      </c>
      <c r="B1016" s="111" t="s">
        <v>269</v>
      </c>
      <c r="C1016" s="112" t="s">
        <v>1996</v>
      </c>
      <c r="D1016" s="112" t="s">
        <v>1229</v>
      </c>
      <c r="E1016" s="111" t="s">
        <v>1997</v>
      </c>
      <c r="F1016" s="111" t="str">
        <f t="shared" si="30"/>
        <v>ZAF (GK) WILLIAMS - 1</v>
      </c>
      <c r="G1016" s="111" t="str">
        <f t="shared" si="31"/>
        <v>ZAF1</v>
      </c>
    </row>
    <row r="1017" spans="1:7" ht="15" hidden="1" customHeight="1" x14ac:dyDescent="0.35">
      <c r="A1017" s="111">
        <v>2</v>
      </c>
      <c r="B1017" s="111" t="s">
        <v>273</v>
      </c>
      <c r="C1017" s="112" t="s">
        <v>1998</v>
      </c>
      <c r="D1017" s="112" t="s">
        <v>1999</v>
      </c>
      <c r="E1017" s="111" t="s">
        <v>1997</v>
      </c>
      <c r="F1017" s="111" t="str">
        <f t="shared" si="30"/>
        <v>ZAF MATULUDI - 2</v>
      </c>
      <c r="G1017" s="111" t="str">
        <f t="shared" si="31"/>
        <v>ZAF2</v>
      </c>
    </row>
    <row r="1018" spans="1:7" ht="15" hidden="1" customHeight="1" x14ac:dyDescent="0.35">
      <c r="A1018" s="111">
        <v>3</v>
      </c>
      <c r="B1018" s="111" t="s">
        <v>273</v>
      </c>
      <c r="C1018" s="112" t="s">
        <v>2000</v>
      </c>
      <c r="D1018" s="112" t="s">
        <v>2001</v>
      </c>
      <c r="E1018" s="111" t="s">
        <v>1997</v>
      </c>
      <c r="F1018" s="111" t="str">
        <f t="shared" si="30"/>
        <v>ZAF NDAMANE - 3</v>
      </c>
      <c r="G1018" s="111" t="str">
        <f t="shared" si="31"/>
        <v>ZAF3</v>
      </c>
    </row>
    <row r="1019" spans="1:7" ht="15" hidden="1" customHeight="1" x14ac:dyDescent="0.35">
      <c r="A1019" s="111">
        <v>4</v>
      </c>
      <c r="B1019" s="111" t="s">
        <v>282</v>
      </c>
      <c r="C1019" s="112" t="s">
        <v>2002</v>
      </c>
      <c r="D1019" s="112" t="s">
        <v>2003</v>
      </c>
      <c r="E1019" s="111" t="s">
        <v>1997</v>
      </c>
      <c r="F1019" s="111" t="str">
        <f t="shared" si="30"/>
        <v>ZAF MOKOENA - 4</v>
      </c>
      <c r="G1019" s="111" t="str">
        <f t="shared" si="31"/>
        <v>ZAF4</v>
      </c>
    </row>
    <row r="1020" spans="1:7" ht="15" hidden="1" customHeight="1" x14ac:dyDescent="0.35">
      <c r="A1020" s="111">
        <v>5</v>
      </c>
      <c r="B1020" s="111" t="s">
        <v>282</v>
      </c>
      <c r="C1020" s="112" t="s">
        <v>2004</v>
      </c>
      <c r="D1020" s="112" t="s">
        <v>2005</v>
      </c>
      <c r="E1020" s="111" t="s">
        <v>1997</v>
      </c>
      <c r="F1020" s="111" t="str">
        <f t="shared" si="30"/>
        <v>ZAF MBATHA - 5</v>
      </c>
      <c r="G1020" s="111" t="str">
        <f t="shared" si="31"/>
        <v>ZAF5</v>
      </c>
    </row>
    <row r="1021" spans="1:7" ht="15" hidden="1" customHeight="1" x14ac:dyDescent="0.35">
      <c r="A1021" s="111">
        <v>6</v>
      </c>
      <c r="B1021" s="111" t="s">
        <v>273</v>
      </c>
      <c r="C1021" s="112" t="s">
        <v>2006</v>
      </c>
      <c r="D1021" s="112" t="s">
        <v>2007</v>
      </c>
      <c r="E1021" s="111" t="s">
        <v>1997</v>
      </c>
      <c r="F1021" s="111" t="str">
        <f t="shared" si="30"/>
        <v>ZAF MODIBA - 6</v>
      </c>
      <c r="G1021" s="111" t="str">
        <f t="shared" si="31"/>
        <v>ZAF6</v>
      </c>
    </row>
    <row r="1022" spans="1:7" ht="15" hidden="1" customHeight="1" x14ac:dyDescent="0.35">
      <c r="A1022" s="111">
        <v>7</v>
      </c>
      <c r="B1022" s="111" t="s">
        <v>285</v>
      </c>
      <c r="C1022" s="112" t="s">
        <v>2008</v>
      </c>
      <c r="D1022" s="112" t="s">
        <v>2009</v>
      </c>
      <c r="E1022" s="111" t="s">
        <v>1997</v>
      </c>
      <c r="F1022" s="111" t="str">
        <f t="shared" si="30"/>
        <v>ZAF APPOLLIS - 7</v>
      </c>
      <c r="G1022" s="111" t="str">
        <f t="shared" si="31"/>
        <v>ZAF7</v>
      </c>
    </row>
    <row r="1023" spans="1:7" ht="15" hidden="1" customHeight="1" x14ac:dyDescent="0.35">
      <c r="A1023" s="111">
        <v>8</v>
      </c>
      <c r="B1023" s="111" t="s">
        <v>285</v>
      </c>
      <c r="C1023" s="112" t="s">
        <v>2010</v>
      </c>
      <c r="D1023" s="112" t="s">
        <v>2011</v>
      </c>
      <c r="E1023" s="111" t="s">
        <v>1997</v>
      </c>
      <c r="F1023" s="111" t="str">
        <f t="shared" si="30"/>
        <v>ZAF MOREMI - 8</v>
      </c>
      <c r="G1023" s="111" t="str">
        <f t="shared" si="31"/>
        <v>ZAF8</v>
      </c>
    </row>
    <row r="1024" spans="1:7" ht="15" hidden="1" customHeight="1" x14ac:dyDescent="0.35">
      <c r="A1024" s="111">
        <v>9</v>
      </c>
      <c r="B1024" s="111" t="s">
        <v>285</v>
      </c>
      <c r="C1024" s="112" t="s">
        <v>2012</v>
      </c>
      <c r="D1024" s="112" t="s">
        <v>2013</v>
      </c>
      <c r="E1024" s="111" t="s">
        <v>1997</v>
      </c>
      <c r="F1024" s="111" t="str">
        <f t="shared" si="30"/>
        <v>ZAF FOSTER - 9</v>
      </c>
      <c r="G1024" s="111" t="str">
        <f t="shared" si="31"/>
        <v>ZAF9</v>
      </c>
    </row>
    <row r="1025" spans="1:7" ht="15" hidden="1" customHeight="1" x14ac:dyDescent="0.35">
      <c r="A1025" s="111">
        <v>10</v>
      </c>
      <c r="B1025" s="111" t="s">
        <v>285</v>
      </c>
      <c r="C1025" s="112" t="s">
        <v>2014</v>
      </c>
      <c r="D1025" s="112" t="s">
        <v>2015</v>
      </c>
      <c r="E1025" s="111" t="s">
        <v>1997</v>
      </c>
      <c r="F1025" s="111" t="str">
        <f t="shared" si="30"/>
        <v>ZAF MOFOKENG - 10</v>
      </c>
      <c r="G1025" s="111" t="str">
        <f t="shared" si="31"/>
        <v>ZAF10</v>
      </c>
    </row>
    <row r="1026" spans="1:7" ht="15" hidden="1" customHeight="1" x14ac:dyDescent="0.35">
      <c r="A1026" s="111">
        <v>11</v>
      </c>
      <c r="B1026" s="111" t="s">
        <v>282</v>
      </c>
      <c r="C1026" s="112" t="s">
        <v>2016</v>
      </c>
      <c r="D1026" s="112" t="s">
        <v>2017</v>
      </c>
      <c r="E1026" s="111" t="s">
        <v>1997</v>
      </c>
      <c r="F1026" s="111" t="str">
        <f t="shared" si="30"/>
        <v>ZAF ZWANE - 11</v>
      </c>
      <c r="G1026" s="111" t="str">
        <f t="shared" si="31"/>
        <v>ZAF11</v>
      </c>
    </row>
    <row r="1027" spans="1:7" ht="15" hidden="1" customHeight="1" x14ac:dyDescent="0.35">
      <c r="A1027" s="111">
        <v>12</v>
      </c>
      <c r="B1027" s="111" t="s">
        <v>285</v>
      </c>
      <c r="C1027" s="112" t="s">
        <v>2018</v>
      </c>
      <c r="D1027" s="112" t="s">
        <v>2019</v>
      </c>
      <c r="E1027" s="111" t="s">
        <v>1997</v>
      </c>
      <c r="F1027" s="111" t="str">
        <f t="shared" ref="F1027:F1090" si="32">IF(B1027="GK", _xlfn.CONCAT(E1027, " ","(",B1027, ") ",D1027, " - ", A1027),  _xlfn.CONCAT(E1027, " ",D1027, " - ", A1027))</f>
        <v>ZAF MASEKO - 12</v>
      </c>
      <c r="G1027" s="111" t="str">
        <f t="shared" ref="G1027:G1090" si="33">_xlfn.CONCAT(E1027,A1027)</f>
        <v>ZAF12</v>
      </c>
    </row>
    <row r="1028" spans="1:7" ht="15" hidden="1" customHeight="1" x14ac:dyDescent="0.35">
      <c r="A1028" s="111">
        <v>13</v>
      </c>
      <c r="B1028" s="111" t="s">
        <v>282</v>
      </c>
      <c r="C1028" s="112" t="s">
        <v>2020</v>
      </c>
      <c r="D1028" s="112" t="s">
        <v>2021</v>
      </c>
      <c r="E1028" s="111" t="s">
        <v>1997</v>
      </c>
      <c r="F1028" s="111" t="str">
        <f t="shared" si="32"/>
        <v>ZAF SITHOLE - 13</v>
      </c>
      <c r="G1028" s="111" t="str">
        <f t="shared" si="33"/>
        <v>ZAF13</v>
      </c>
    </row>
    <row r="1029" spans="1:7" ht="15" hidden="1" customHeight="1" x14ac:dyDescent="0.35">
      <c r="A1029" s="111">
        <v>14</v>
      </c>
      <c r="B1029" s="111" t="s">
        <v>273</v>
      </c>
      <c r="C1029" s="112" t="s">
        <v>2022</v>
      </c>
      <c r="D1029" s="112" t="s">
        <v>2023</v>
      </c>
      <c r="E1029" s="111" t="s">
        <v>1997</v>
      </c>
      <c r="F1029" s="111" t="str">
        <f t="shared" si="32"/>
        <v>ZAF MBOKAZI - 14</v>
      </c>
      <c r="G1029" s="111" t="str">
        <f t="shared" si="33"/>
        <v>ZAF14</v>
      </c>
    </row>
    <row r="1030" spans="1:7" ht="15" hidden="1" customHeight="1" x14ac:dyDescent="0.35">
      <c r="A1030" s="111">
        <v>15</v>
      </c>
      <c r="B1030" s="111" t="s">
        <v>285</v>
      </c>
      <c r="C1030" s="112" t="s">
        <v>2024</v>
      </c>
      <c r="D1030" s="112" t="s">
        <v>2025</v>
      </c>
      <c r="E1030" s="111" t="s">
        <v>1997</v>
      </c>
      <c r="F1030" s="111" t="str">
        <f t="shared" si="32"/>
        <v>ZAF RAYNERS - 15</v>
      </c>
      <c r="G1030" s="111" t="str">
        <f t="shared" si="33"/>
        <v>ZAF15</v>
      </c>
    </row>
    <row r="1031" spans="1:7" ht="15" hidden="1" customHeight="1" x14ac:dyDescent="0.35">
      <c r="A1031" s="111">
        <v>16</v>
      </c>
      <c r="B1031" s="111" t="s">
        <v>269</v>
      </c>
      <c r="C1031" s="112" t="s">
        <v>2026</v>
      </c>
      <c r="D1031" s="112" t="s">
        <v>2027</v>
      </c>
      <c r="E1031" s="111" t="s">
        <v>1997</v>
      </c>
      <c r="F1031" s="111" t="str">
        <f t="shared" si="32"/>
        <v>ZAF (GK) CHAINE - 16</v>
      </c>
      <c r="G1031" s="111" t="str">
        <f t="shared" si="33"/>
        <v>ZAF16</v>
      </c>
    </row>
    <row r="1032" spans="1:7" ht="15" hidden="1" customHeight="1" x14ac:dyDescent="0.35">
      <c r="A1032" s="111">
        <v>17</v>
      </c>
      <c r="B1032" s="111" t="s">
        <v>285</v>
      </c>
      <c r="C1032" s="112" t="s">
        <v>2028</v>
      </c>
      <c r="D1032" s="112" t="s">
        <v>2029</v>
      </c>
      <c r="E1032" s="111" t="s">
        <v>1997</v>
      </c>
      <c r="F1032" s="111" t="str">
        <f t="shared" si="32"/>
        <v>ZAF MAKGOPA - 17</v>
      </c>
      <c r="G1032" s="111" t="str">
        <f t="shared" si="33"/>
        <v>ZAF17</v>
      </c>
    </row>
    <row r="1033" spans="1:7" ht="15" hidden="1" customHeight="1" x14ac:dyDescent="0.35">
      <c r="A1033" s="111">
        <v>18</v>
      </c>
      <c r="B1033" s="111" t="s">
        <v>273</v>
      </c>
      <c r="C1033" s="112" t="s">
        <v>2030</v>
      </c>
      <c r="D1033" s="112" t="s">
        <v>2031</v>
      </c>
      <c r="E1033" s="111" t="s">
        <v>1997</v>
      </c>
      <c r="F1033" s="111" t="str">
        <f t="shared" si="32"/>
        <v>ZAF KABINI - 18</v>
      </c>
      <c r="G1033" s="111" t="str">
        <f t="shared" si="33"/>
        <v>ZAF18</v>
      </c>
    </row>
    <row r="1034" spans="1:7" ht="15" hidden="1" customHeight="1" x14ac:dyDescent="0.35">
      <c r="A1034" s="111">
        <v>19</v>
      </c>
      <c r="B1034" s="111" t="s">
        <v>273</v>
      </c>
      <c r="C1034" s="112" t="s">
        <v>2032</v>
      </c>
      <c r="D1034" s="112" t="s">
        <v>2033</v>
      </c>
      <c r="E1034" s="111" t="s">
        <v>1997</v>
      </c>
      <c r="F1034" s="111" t="str">
        <f t="shared" si="32"/>
        <v>ZAF SIBISI - 19</v>
      </c>
      <c r="G1034" s="111" t="str">
        <f t="shared" si="33"/>
        <v>ZAF19</v>
      </c>
    </row>
    <row r="1035" spans="1:7" ht="15" hidden="1" customHeight="1" x14ac:dyDescent="0.35">
      <c r="A1035" s="111">
        <v>20</v>
      </c>
      <c r="B1035" s="111" t="s">
        <v>273</v>
      </c>
      <c r="C1035" s="112" t="s">
        <v>2034</v>
      </c>
      <c r="D1035" s="112" t="s">
        <v>2035</v>
      </c>
      <c r="E1035" s="111" t="s">
        <v>1997</v>
      </c>
      <c r="F1035" s="111" t="str">
        <f t="shared" si="32"/>
        <v>ZAF MUDAU - 20</v>
      </c>
      <c r="G1035" s="111" t="str">
        <f t="shared" si="33"/>
        <v>ZAF20</v>
      </c>
    </row>
    <row r="1036" spans="1:7" ht="15" hidden="1" customHeight="1" x14ac:dyDescent="0.35">
      <c r="A1036" s="111">
        <v>21</v>
      </c>
      <c r="B1036" s="111" t="s">
        <v>273</v>
      </c>
      <c r="C1036" s="112" t="s">
        <v>2036</v>
      </c>
      <c r="D1036" s="112" t="s">
        <v>2037</v>
      </c>
      <c r="E1036" s="111" t="s">
        <v>1997</v>
      </c>
      <c r="F1036" s="111" t="str">
        <f t="shared" si="32"/>
        <v>ZAF OKON - 21</v>
      </c>
      <c r="G1036" s="111" t="str">
        <f t="shared" si="33"/>
        <v>ZAF21</v>
      </c>
    </row>
    <row r="1037" spans="1:7" ht="15" hidden="1" customHeight="1" x14ac:dyDescent="0.35">
      <c r="A1037" s="111">
        <v>22</v>
      </c>
      <c r="B1037" s="111" t="s">
        <v>269</v>
      </c>
      <c r="C1037" s="112" t="s">
        <v>1251</v>
      </c>
      <c r="D1037" s="112" t="s">
        <v>2038</v>
      </c>
      <c r="E1037" s="111" t="s">
        <v>1997</v>
      </c>
      <c r="F1037" s="111" t="str">
        <f t="shared" si="32"/>
        <v>ZAF (GK) GOSS - 22</v>
      </c>
      <c r="G1037" s="111" t="str">
        <f t="shared" si="33"/>
        <v>ZAF22</v>
      </c>
    </row>
    <row r="1038" spans="1:7" ht="15" hidden="1" customHeight="1" x14ac:dyDescent="0.35">
      <c r="A1038" s="111">
        <v>23</v>
      </c>
      <c r="B1038" s="111" t="s">
        <v>282</v>
      </c>
      <c r="C1038" s="112" t="s">
        <v>2039</v>
      </c>
      <c r="D1038" s="112" t="s">
        <v>1930</v>
      </c>
      <c r="E1038" s="111" t="s">
        <v>1997</v>
      </c>
      <c r="F1038" s="111" t="str">
        <f t="shared" si="32"/>
        <v>ZAF ADAMS - 23</v>
      </c>
      <c r="G1038" s="111" t="str">
        <f t="shared" si="33"/>
        <v>ZAF23</v>
      </c>
    </row>
    <row r="1039" spans="1:7" ht="15" hidden="1" customHeight="1" x14ac:dyDescent="0.35">
      <c r="A1039" s="111">
        <v>24</v>
      </c>
      <c r="B1039" s="111" t="s">
        <v>273</v>
      </c>
      <c r="C1039" s="112" t="s">
        <v>2040</v>
      </c>
      <c r="D1039" s="112" t="s">
        <v>2041</v>
      </c>
      <c r="E1039" s="111" t="s">
        <v>1997</v>
      </c>
      <c r="F1039" s="111" t="str">
        <f t="shared" si="32"/>
        <v>ZAF MAKHANYA - 24</v>
      </c>
      <c r="G1039" s="111" t="str">
        <f t="shared" si="33"/>
        <v>ZAF24</v>
      </c>
    </row>
    <row r="1040" spans="1:7" ht="15" hidden="1" customHeight="1" x14ac:dyDescent="0.35">
      <c r="A1040" s="111">
        <v>25</v>
      </c>
      <c r="B1040" s="111" t="s">
        <v>285</v>
      </c>
      <c r="C1040" s="112" t="s">
        <v>2042</v>
      </c>
      <c r="D1040" s="112" t="s">
        <v>2043</v>
      </c>
      <c r="E1040" s="111" t="s">
        <v>1997</v>
      </c>
      <c r="F1040" s="111" t="str">
        <f t="shared" si="32"/>
        <v>ZAF SEBELEBELE - 25</v>
      </c>
      <c r="G1040" s="111" t="str">
        <f t="shared" si="33"/>
        <v>ZAF25</v>
      </c>
    </row>
    <row r="1041" spans="1:7" ht="15" hidden="1" customHeight="1" x14ac:dyDescent="0.35">
      <c r="A1041" s="111">
        <v>26</v>
      </c>
      <c r="B1041" s="111" t="s">
        <v>273</v>
      </c>
      <c r="C1041" s="112" t="s">
        <v>1130</v>
      </c>
      <c r="D1041" s="112" t="s">
        <v>2044</v>
      </c>
      <c r="E1041" s="111" t="s">
        <v>1997</v>
      </c>
      <c r="F1041" s="111" t="str">
        <f t="shared" si="32"/>
        <v>ZAF CROSS - 26</v>
      </c>
      <c r="G1041" s="111" t="str">
        <f t="shared" si="33"/>
        <v>ZAF26</v>
      </c>
    </row>
    <row r="1042" spans="1:7" ht="15" hidden="1" customHeight="1" x14ac:dyDescent="0.35">
      <c r="A1042" s="113">
        <v>1</v>
      </c>
      <c r="B1042" s="113" t="s">
        <v>269</v>
      </c>
      <c r="C1042" s="114" t="s">
        <v>425</v>
      </c>
      <c r="D1042" s="114" t="s">
        <v>2045</v>
      </c>
      <c r="E1042" s="113" t="s">
        <v>2046</v>
      </c>
      <c r="F1042" s="113" t="str">
        <f t="shared" si="32"/>
        <v>ESP (GK) RAYA - 1</v>
      </c>
      <c r="G1042" s="113" t="str">
        <f t="shared" si="33"/>
        <v>ESP1</v>
      </c>
    </row>
    <row r="1043" spans="1:7" ht="15" hidden="1" customHeight="1" x14ac:dyDescent="0.35">
      <c r="A1043" s="113">
        <v>2</v>
      </c>
      <c r="B1043" s="113" t="s">
        <v>273</v>
      </c>
      <c r="C1043" s="114" t="s">
        <v>1076</v>
      </c>
      <c r="D1043" s="114" t="s">
        <v>2047</v>
      </c>
      <c r="E1043" s="113" t="s">
        <v>2046</v>
      </c>
      <c r="F1043" s="113" t="str">
        <f t="shared" si="32"/>
        <v>ESP PUBILL - 2</v>
      </c>
      <c r="G1043" s="113" t="str">
        <f t="shared" si="33"/>
        <v>ESP2</v>
      </c>
    </row>
    <row r="1044" spans="1:7" ht="15" hidden="1" customHeight="1" x14ac:dyDescent="0.35">
      <c r="A1044" s="113">
        <v>3</v>
      </c>
      <c r="B1044" s="113" t="s">
        <v>273</v>
      </c>
      <c r="C1044" s="114" t="s">
        <v>1656</v>
      </c>
      <c r="D1044" s="114" t="s">
        <v>2048</v>
      </c>
      <c r="E1044" s="113" t="s">
        <v>2046</v>
      </c>
      <c r="F1044" s="113" t="str">
        <f t="shared" si="32"/>
        <v>ESP GRIMALDO - 3</v>
      </c>
      <c r="G1044" s="113" t="str">
        <f t="shared" si="33"/>
        <v>ESP3</v>
      </c>
    </row>
    <row r="1045" spans="1:7" ht="15" hidden="1" customHeight="1" x14ac:dyDescent="0.35">
      <c r="A1045" s="113">
        <v>4</v>
      </c>
      <c r="B1045" s="113" t="s">
        <v>273</v>
      </c>
      <c r="C1045" s="114" t="s">
        <v>1745</v>
      </c>
      <c r="D1045" s="114" t="s">
        <v>2049</v>
      </c>
      <c r="E1045" s="113" t="s">
        <v>2046</v>
      </c>
      <c r="F1045" s="113" t="str">
        <f t="shared" si="32"/>
        <v>ESP GARCIA - 4</v>
      </c>
      <c r="G1045" s="113" t="str">
        <f t="shared" si="33"/>
        <v>ESP4</v>
      </c>
    </row>
    <row r="1046" spans="1:7" ht="15" hidden="1" customHeight="1" x14ac:dyDescent="0.35">
      <c r="A1046" s="113">
        <v>5</v>
      </c>
      <c r="B1046" s="113" t="s">
        <v>273</v>
      </c>
      <c r="C1046" s="114" t="s">
        <v>2050</v>
      </c>
      <c r="D1046" s="114" t="s">
        <v>2051</v>
      </c>
      <c r="E1046" s="113" t="s">
        <v>2046</v>
      </c>
      <c r="F1046" s="113" t="str">
        <f t="shared" si="32"/>
        <v>ESP LLORENTE - 5</v>
      </c>
      <c r="G1046" s="113" t="str">
        <f t="shared" si="33"/>
        <v>ESP5</v>
      </c>
    </row>
    <row r="1047" spans="1:7" ht="15" hidden="1" customHeight="1" x14ac:dyDescent="0.35">
      <c r="A1047" s="113">
        <v>6</v>
      </c>
      <c r="B1047" s="113" t="s">
        <v>282</v>
      </c>
      <c r="C1047" s="114" t="s">
        <v>2052</v>
      </c>
      <c r="D1047" s="114" t="s">
        <v>2053</v>
      </c>
      <c r="E1047" s="113" t="s">
        <v>2046</v>
      </c>
      <c r="F1047" s="113" t="str">
        <f t="shared" si="32"/>
        <v>ESP MERINO - 6</v>
      </c>
      <c r="G1047" s="113" t="str">
        <f t="shared" si="33"/>
        <v>ESP6</v>
      </c>
    </row>
    <row r="1048" spans="1:7" ht="15" hidden="1" customHeight="1" x14ac:dyDescent="0.35">
      <c r="A1048" s="113">
        <v>7</v>
      </c>
      <c r="B1048" s="113" t="s">
        <v>285</v>
      </c>
      <c r="C1048" s="114" t="s">
        <v>2054</v>
      </c>
      <c r="D1048" s="114" t="s">
        <v>991</v>
      </c>
      <c r="E1048" s="113" t="s">
        <v>2046</v>
      </c>
      <c r="F1048" s="113" t="str">
        <f t="shared" si="32"/>
        <v>ESP TORRES - 7</v>
      </c>
      <c r="G1048" s="113" t="str">
        <f t="shared" si="33"/>
        <v>ESP7</v>
      </c>
    </row>
    <row r="1049" spans="1:7" ht="15" hidden="1" customHeight="1" x14ac:dyDescent="0.35">
      <c r="A1049" s="113">
        <v>8</v>
      </c>
      <c r="B1049" s="113" t="s">
        <v>282</v>
      </c>
      <c r="C1049" s="114" t="s">
        <v>1767</v>
      </c>
      <c r="D1049" s="114" t="s">
        <v>2055</v>
      </c>
      <c r="E1049" s="113" t="s">
        <v>2046</v>
      </c>
      <c r="F1049" s="113" t="str">
        <f t="shared" si="32"/>
        <v>ESP RUIZ - 8</v>
      </c>
      <c r="G1049" s="113" t="str">
        <f t="shared" si="33"/>
        <v>ESP8</v>
      </c>
    </row>
    <row r="1050" spans="1:7" ht="15" hidden="1" customHeight="1" x14ac:dyDescent="0.35">
      <c r="A1050" s="113">
        <v>9</v>
      </c>
      <c r="B1050" s="113" t="s">
        <v>282</v>
      </c>
      <c r="C1050" s="114" t="s">
        <v>2056</v>
      </c>
      <c r="D1050" s="114" t="s">
        <v>2057</v>
      </c>
      <c r="E1050" s="113" t="s">
        <v>2046</v>
      </c>
      <c r="F1050" s="113" t="str">
        <f t="shared" si="32"/>
        <v>ESP GAVI - 9</v>
      </c>
      <c r="G1050" s="113" t="str">
        <f t="shared" si="33"/>
        <v>ESP9</v>
      </c>
    </row>
    <row r="1051" spans="1:7" ht="15" hidden="1" customHeight="1" x14ac:dyDescent="0.35">
      <c r="A1051" s="113">
        <v>10</v>
      </c>
      <c r="B1051" s="113" t="s">
        <v>285</v>
      </c>
      <c r="C1051" s="114" t="s">
        <v>2058</v>
      </c>
      <c r="D1051" s="114" t="s">
        <v>2059</v>
      </c>
      <c r="E1051" s="113" t="s">
        <v>2046</v>
      </c>
      <c r="F1051" s="113" t="str">
        <f t="shared" si="32"/>
        <v>ESP OLMO - 10</v>
      </c>
      <c r="G1051" s="113" t="str">
        <f t="shared" si="33"/>
        <v>ESP10</v>
      </c>
    </row>
    <row r="1052" spans="1:7" ht="15" hidden="1" customHeight="1" x14ac:dyDescent="0.35">
      <c r="A1052" s="113">
        <v>11</v>
      </c>
      <c r="B1052" s="113" t="s">
        <v>285</v>
      </c>
      <c r="C1052" s="114" t="s">
        <v>2060</v>
      </c>
      <c r="D1052" s="114" t="s">
        <v>2061</v>
      </c>
      <c r="E1052" s="113" t="s">
        <v>2046</v>
      </c>
      <c r="F1052" s="113" t="str">
        <f t="shared" si="32"/>
        <v>ESP PINO - 11</v>
      </c>
      <c r="G1052" s="113" t="str">
        <f t="shared" si="33"/>
        <v>ESP11</v>
      </c>
    </row>
    <row r="1053" spans="1:7" ht="15" hidden="1" customHeight="1" x14ac:dyDescent="0.35">
      <c r="A1053" s="113">
        <v>12</v>
      </c>
      <c r="B1053" s="113" t="s">
        <v>273</v>
      </c>
      <c r="C1053" s="114" t="s">
        <v>1012</v>
      </c>
      <c r="D1053" s="114" t="s">
        <v>2062</v>
      </c>
      <c r="E1053" s="113" t="s">
        <v>2046</v>
      </c>
      <c r="F1053" s="113" t="str">
        <f t="shared" si="32"/>
        <v>ESP PORRO - 12</v>
      </c>
      <c r="G1053" s="113" t="str">
        <f t="shared" si="33"/>
        <v>ESP12</v>
      </c>
    </row>
    <row r="1054" spans="1:7" ht="15" hidden="1" customHeight="1" x14ac:dyDescent="0.35">
      <c r="A1054" s="113">
        <v>13</v>
      </c>
      <c r="B1054" s="113" t="s">
        <v>269</v>
      </c>
      <c r="C1054" s="114" t="s">
        <v>2063</v>
      </c>
      <c r="D1054" s="114" t="s">
        <v>2049</v>
      </c>
      <c r="E1054" s="113" t="s">
        <v>2046</v>
      </c>
      <c r="F1054" s="113" t="str">
        <f t="shared" si="32"/>
        <v>ESP (GK) GARCIA - 13</v>
      </c>
      <c r="G1054" s="113" t="str">
        <f t="shared" si="33"/>
        <v>ESP13</v>
      </c>
    </row>
    <row r="1055" spans="1:7" ht="15" hidden="1" customHeight="1" x14ac:dyDescent="0.35">
      <c r="A1055" s="113">
        <v>14</v>
      </c>
      <c r="B1055" s="113" t="s">
        <v>273</v>
      </c>
      <c r="C1055" s="114" t="s">
        <v>2064</v>
      </c>
      <c r="D1055" s="114" t="s">
        <v>2065</v>
      </c>
      <c r="E1055" s="113" t="s">
        <v>2046</v>
      </c>
      <c r="F1055" s="113" t="str">
        <f t="shared" si="32"/>
        <v>ESP LAPORTE - 14</v>
      </c>
      <c r="G1055" s="113" t="str">
        <f t="shared" si="33"/>
        <v>ESP14</v>
      </c>
    </row>
    <row r="1056" spans="1:7" ht="15" hidden="1" customHeight="1" x14ac:dyDescent="0.35">
      <c r="A1056" s="113">
        <v>15</v>
      </c>
      <c r="B1056" s="113" t="s">
        <v>282</v>
      </c>
      <c r="C1056" s="114" t="s">
        <v>1656</v>
      </c>
      <c r="D1056" s="114" t="s">
        <v>2066</v>
      </c>
      <c r="E1056" s="113" t="s">
        <v>2046</v>
      </c>
      <c r="F1056" s="113" t="str">
        <f t="shared" si="32"/>
        <v>ESP BAENA - 15</v>
      </c>
      <c r="G1056" s="113" t="str">
        <f t="shared" si="33"/>
        <v>ESP15</v>
      </c>
    </row>
    <row r="1057" spans="1:7" ht="15" hidden="1" customHeight="1" x14ac:dyDescent="0.35">
      <c r="A1057" s="113">
        <v>16</v>
      </c>
      <c r="B1057" s="113" t="s">
        <v>282</v>
      </c>
      <c r="C1057" s="114" t="s">
        <v>2067</v>
      </c>
      <c r="D1057" s="114" t="s">
        <v>2068</v>
      </c>
      <c r="E1057" s="113" t="s">
        <v>2046</v>
      </c>
      <c r="F1057" s="113" t="str">
        <f t="shared" si="32"/>
        <v>ESP RODRI - 16</v>
      </c>
      <c r="G1057" s="113" t="str">
        <f t="shared" si="33"/>
        <v>ESP16</v>
      </c>
    </row>
    <row r="1058" spans="1:7" ht="15" hidden="1" customHeight="1" x14ac:dyDescent="0.35">
      <c r="A1058" s="113">
        <v>17</v>
      </c>
      <c r="B1058" s="113" t="s">
        <v>285</v>
      </c>
      <c r="C1058" s="114" t="s">
        <v>354</v>
      </c>
      <c r="D1058" s="114" t="s">
        <v>1229</v>
      </c>
      <c r="E1058" s="113" t="s">
        <v>2046</v>
      </c>
      <c r="F1058" s="113" t="str">
        <f t="shared" si="32"/>
        <v>ESP WILLIAMS - 17</v>
      </c>
      <c r="G1058" s="113" t="str">
        <f t="shared" si="33"/>
        <v>ESP17</v>
      </c>
    </row>
    <row r="1059" spans="1:7" ht="15" hidden="1" customHeight="1" x14ac:dyDescent="0.35">
      <c r="A1059" s="113">
        <v>18</v>
      </c>
      <c r="B1059" s="113" t="s">
        <v>282</v>
      </c>
      <c r="C1059" s="114" t="s">
        <v>554</v>
      </c>
      <c r="D1059" s="114" t="s">
        <v>2069</v>
      </c>
      <c r="E1059" s="113" t="s">
        <v>2046</v>
      </c>
      <c r="F1059" s="113" t="str">
        <f t="shared" si="32"/>
        <v>ESP ZUBIMENDI - 18</v>
      </c>
      <c r="G1059" s="113" t="str">
        <f t="shared" si="33"/>
        <v>ESP18</v>
      </c>
    </row>
    <row r="1060" spans="1:7" ht="15" hidden="1" customHeight="1" x14ac:dyDescent="0.35">
      <c r="A1060" s="113">
        <v>19</v>
      </c>
      <c r="B1060" s="113" t="s">
        <v>285</v>
      </c>
      <c r="C1060" s="114" t="s">
        <v>1968</v>
      </c>
      <c r="D1060" s="114" t="s">
        <v>2070</v>
      </c>
      <c r="E1060" s="113" t="s">
        <v>2046</v>
      </c>
      <c r="F1060" s="113" t="str">
        <f t="shared" si="32"/>
        <v>ESP YAMAL - 19</v>
      </c>
      <c r="G1060" s="113" t="str">
        <f t="shared" si="33"/>
        <v>ESP19</v>
      </c>
    </row>
    <row r="1061" spans="1:7" ht="15" hidden="1" customHeight="1" x14ac:dyDescent="0.35">
      <c r="A1061" s="113">
        <v>20</v>
      </c>
      <c r="B1061" s="113" t="s">
        <v>282</v>
      </c>
      <c r="C1061" s="114" t="s">
        <v>2071</v>
      </c>
      <c r="D1061" s="114" t="s">
        <v>2072</v>
      </c>
      <c r="E1061" s="113" t="s">
        <v>2046</v>
      </c>
      <c r="F1061" s="113" t="str">
        <f t="shared" si="32"/>
        <v>ESP PEDRI - 20</v>
      </c>
      <c r="G1061" s="113" t="str">
        <f t="shared" si="33"/>
        <v>ESP20</v>
      </c>
    </row>
    <row r="1062" spans="1:7" ht="15" hidden="1" customHeight="1" x14ac:dyDescent="0.35">
      <c r="A1062" s="113">
        <v>21</v>
      </c>
      <c r="B1062" s="113" t="s">
        <v>285</v>
      </c>
      <c r="C1062" s="114" t="s">
        <v>2052</v>
      </c>
      <c r="D1062" s="114" t="s">
        <v>2073</v>
      </c>
      <c r="E1062" s="113" t="s">
        <v>2046</v>
      </c>
      <c r="F1062" s="113" t="str">
        <f t="shared" si="32"/>
        <v>ESP OYARZABAL - 21</v>
      </c>
      <c r="G1062" s="113" t="str">
        <f t="shared" si="33"/>
        <v>ESP21</v>
      </c>
    </row>
    <row r="1063" spans="1:7" ht="15" hidden="1" customHeight="1" x14ac:dyDescent="0.35">
      <c r="A1063" s="113">
        <v>22</v>
      </c>
      <c r="B1063" s="113" t="s">
        <v>273</v>
      </c>
      <c r="C1063" s="114" t="s">
        <v>2074</v>
      </c>
      <c r="D1063" s="114" t="s">
        <v>2075</v>
      </c>
      <c r="E1063" s="113" t="s">
        <v>2046</v>
      </c>
      <c r="F1063" s="113" t="str">
        <f t="shared" si="32"/>
        <v>ESP CUBARSI - 22</v>
      </c>
      <c r="G1063" s="113" t="str">
        <f t="shared" si="33"/>
        <v>ESP22</v>
      </c>
    </row>
    <row r="1064" spans="1:7" ht="15" hidden="1" customHeight="1" x14ac:dyDescent="0.35">
      <c r="A1064" s="113">
        <v>23</v>
      </c>
      <c r="B1064" s="113" t="s">
        <v>269</v>
      </c>
      <c r="C1064" s="114" t="s">
        <v>2076</v>
      </c>
      <c r="D1064" s="114" t="s">
        <v>1289</v>
      </c>
      <c r="E1064" s="113" t="s">
        <v>2046</v>
      </c>
      <c r="F1064" s="113" t="str">
        <f t="shared" si="32"/>
        <v>ESP (GK) SIMON - 23</v>
      </c>
      <c r="G1064" s="113" t="str">
        <f t="shared" si="33"/>
        <v>ESP23</v>
      </c>
    </row>
    <row r="1065" spans="1:7" ht="15" hidden="1" customHeight="1" x14ac:dyDescent="0.35">
      <c r="A1065" s="113">
        <v>24</v>
      </c>
      <c r="B1065" s="113" t="s">
        <v>273</v>
      </c>
      <c r="C1065" s="114" t="s">
        <v>1076</v>
      </c>
      <c r="D1065" s="114" t="s">
        <v>2077</v>
      </c>
      <c r="E1065" s="113" t="s">
        <v>2046</v>
      </c>
      <c r="F1065" s="113" t="str">
        <f t="shared" si="32"/>
        <v>ESP CUCURELLA - 24</v>
      </c>
      <c r="G1065" s="113" t="str">
        <f t="shared" si="33"/>
        <v>ESP24</v>
      </c>
    </row>
    <row r="1066" spans="1:7" ht="15" hidden="1" customHeight="1" x14ac:dyDescent="0.35">
      <c r="A1066" s="113">
        <v>25</v>
      </c>
      <c r="B1066" s="113" t="s">
        <v>285</v>
      </c>
      <c r="C1066" s="114" t="s">
        <v>2078</v>
      </c>
      <c r="D1066" s="114" t="s">
        <v>720</v>
      </c>
      <c r="E1066" s="113" t="s">
        <v>2046</v>
      </c>
      <c r="F1066" s="113" t="str">
        <f t="shared" si="32"/>
        <v>ESP MUNOZ - 25</v>
      </c>
      <c r="G1066" s="113" t="str">
        <f t="shared" si="33"/>
        <v>ESP25</v>
      </c>
    </row>
    <row r="1067" spans="1:7" ht="15" hidden="1" customHeight="1" x14ac:dyDescent="0.35">
      <c r="A1067" s="113">
        <v>26</v>
      </c>
      <c r="B1067" s="113" t="s">
        <v>285</v>
      </c>
      <c r="C1067" s="114" t="s">
        <v>2079</v>
      </c>
      <c r="D1067" s="114" t="s">
        <v>2080</v>
      </c>
      <c r="E1067" s="113" t="s">
        <v>2046</v>
      </c>
      <c r="F1067" s="113" t="str">
        <f t="shared" si="32"/>
        <v>ESP IGLESIAS - 26</v>
      </c>
      <c r="G1067" s="113" t="str">
        <f t="shared" si="33"/>
        <v>ESP26</v>
      </c>
    </row>
    <row r="1068" spans="1:7" ht="15" hidden="1" customHeight="1" x14ac:dyDescent="0.35">
      <c r="A1068" s="115">
        <v>1</v>
      </c>
      <c r="B1068" s="115" t="s">
        <v>269</v>
      </c>
      <c r="C1068" s="116" t="s">
        <v>381</v>
      </c>
      <c r="D1068" s="116" t="s">
        <v>2081</v>
      </c>
      <c r="E1068" s="115" t="s">
        <v>2082</v>
      </c>
      <c r="F1068" s="115" t="str">
        <f t="shared" si="32"/>
        <v>SWE (GK) WIDELL ZETTERSTROM - 1</v>
      </c>
      <c r="G1068" s="115" t="str">
        <f t="shared" si="33"/>
        <v>SWE1</v>
      </c>
    </row>
    <row r="1069" spans="1:7" ht="15" hidden="1" customHeight="1" x14ac:dyDescent="0.35">
      <c r="A1069" s="115">
        <v>2</v>
      </c>
      <c r="B1069" s="115" t="s">
        <v>273</v>
      </c>
      <c r="C1069" s="116" t="s">
        <v>2083</v>
      </c>
      <c r="D1069" s="116" t="s">
        <v>2084</v>
      </c>
      <c r="E1069" s="115" t="s">
        <v>2082</v>
      </c>
      <c r="F1069" s="115" t="str">
        <f t="shared" si="32"/>
        <v>SWE LAGERBIELKE - 2</v>
      </c>
      <c r="G1069" s="115" t="str">
        <f t="shared" si="33"/>
        <v>SWE2</v>
      </c>
    </row>
    <row r="1070" spans="1:7" ht="15" hidden="1" customHeight="1" x14ac:dyDescent="0.35">
      <c r="A1070" s="115">
        <v>3</v>
      </c>
      <c r="B1070" s="115" t="s">
        <v>273</v>
      </c>
      <c r="C1070" s="116" t="s">
        <v>2078</v>
      </c>
      <c r="D1070" s="116" t="s">
        <v>2085</v>
      </c>
      <c r="E1070" s="115" t="s">
        <v>2082</v>
      </c>
      <c r="F1070" s="115" t="str">
        <f t="shared" si="32"/>
        <v>SWE LINDELOF - 3</v>
      </c>
      <c r="G1070" s="115" t="str">
        <f t="shared" si="33"/>
        <v>SWE3</v>
      </c>
    </row>
    <row r="1071" spans="1:7" ht="15" hidden="1" customHeight="1" x14ac:dyDescent="0.35">
      <c r="A1071" s="115">
        <v>4</v>
      </c>
      <c r="B1071" s="115" t="s">
        <v>273</v>
      </c>
      <c r="C1071" s="116" t="s">
        <v>2086</v>
      </c>
      <c r="D1071" s="116" t="s">
        <v>2087</v>
      </c>
      <c r="E1071" s="115" t="s">
        <v>2082</v>
      </c>
      <c r="F1071" s="115" t="str">
        <f t="shared" si="32"/>
        <v>SWE HIEN - 4</v>
      </c>
      <c r="G1071" s="115" t="str">
        <f t="shared" si="33"/>
        <v>SWE4</v>
      </c>
    </row>
    <row r="1072" spans="1:7" ht="15" hidden="1" customHeight="1" x14ac:dyDescent="0.35">
      <c r="A1072" s="115">
        <v>5</v>
      </c>
      <c r="B1072" s="115" t="s">
        <v>273</v>
      </c>
      <c r="C1072" s="116" t="s">
        <v>569</v>
      </c>
      <c r="D1072" s="116" t="s">
        <v>2088</v>
      </c>
      <c r="E1072" s="115" t="s">
        <v>2082</v>
      </c>
      <c r="F1072" s="115" t="str">
        <f t="shared" si="32"/>
        <v>SWE GUDMUNDSSON - 5</v>
      </c>
      <c r="G1072" s="115" t="str">
        <f t="shared" si="33"/>
        <v>SWE5</v>
      </c>
    </row>
    <row r="1073" spans="1:7" ht="15" hidden="1" customHeight="1" x14ac:dyDescent="0.35">
      <c r="A1073" s="115">
        <v>6</v>
      </c>
      <c r="B1073" s="115" t="s">
        <v>273</v>
      </c>
      <c r="C1073" s="116" t="s">
        <v>2089</v>
      </c>
      <c r="D1073" s="116" t="s">
        <v>2090</v>
      </c>
      <c r="E1073" s="115" t="s">
        <v>2082</v>
      </c>
      <c r="F1073" s="115" t="str">
        <f t="shared" si="32"/>
        <v>SWE JOHANSSON - 6</v>
      </c>
      <c r="G1073" s="115" t="str">
        <f t="shared" si="33"/>
        <v>SWE6</v>
      </c>
    </row>
    <row r="1074" spans="1:7" ht="15" hidden="1" customHeight="1" x14ac:dyDescent="0.35">
      <c r="A1074" s="115">
        <v>7</v>
      </c>
      <c r="B1074" s="115" t="s">
        <v>282</v>
      </c>
      <c r="C1074" s="116" t="s">
        <v>418</v>
      </c>
      <c r="D1074" s="116" t="s">
        <v>2091</v>
      </c>
      <c r="E1074" s="115" t="s">
        <v>2082</v>
      </c>
      <c r="F1074" s="115" t="str">
        <f t="shared" si="32"/>
        <v>SWE BERGVALL - 7</v>
      </c>
      <c r="G1074" s="115" t="str">
        <f t="shared" si="33"/>
        <v>SWE7</v>
      </c>
    </row>
    <row r="1075" spans="1:7" ht="15" hidden="1" customHeight="1" x14ac:dyDescent="0.35">
      <c r="A1075" s="115">
        <v>8</v>
      </c>
      <c r="B1075" s="115" t="s">
        <v>273</v>
      </c>
      <c r="C1075" s="116" t="s">
        <v>719</v>
      </c>
      <c r="D1075" s="116" t="s">
        <v>2092</v>
      </c>
      <c r="E1075" s="115" t="s">
        <v>2082</v>
      </c>
      <c r="F1075" s="115" t="str">
        <f t="shared" si="32"/>
        <v>SWE SVENSSON - 8</v>
      </c>
      <c r="G1075" s="115" t="str">
        <f t="shared" si="33"/>
        <v>SWE8</v>
      </c>
    </row>
    <row r="1076" spans="1:7" ht="15" hidden="1" customHeight="1" x14ac:dyDescent="0.35">
      <c r="A1076" s="115">
        <v>9</v>
      </c>
      <c r="B1076" s="115" t="s">
        <v>285</v>
      </c>
      <c r="C1076" s="116" t="s">
        <v>422</v>
      </c>
      <c r="D1076" s="116" t="s">
        <v>2093</v>
      </c>
      <c r="E1076" s="115" t="s">
        <v>2082</v>
      </c>
      <c r="F1076" s="115" t="str">
        <f t="shared" si="32"/>
        <v>SWE ISAK - 9</v>
      </c>
      <c r="G1076" s="115" t="str">
        <f t="shared" si="33"/>
        <v>SWE9</v>
      </c>
    </row>
    <row r="1077" spans="1:7" ht="15" hidden="1" customHeight="1" x14ac:dyDescent="0.35">
      <c r="A1077" s="115">
        <v>10</v>
      </c>
      <c r="B1077" s="115" t="s">
        <v>282</v>
      </c>
      <c r="C1077" s="116" t="s">
        <v>525</v>
      </c>
      <c r="D1077" s="116" t="s">
        <v>2094</v>
      </c>
      <c r="E1077" s="115" t="s">
        <v>2082</v>
      </c>
      <c r="F1077" s="115" t="str">
        <f t="shared" si="32"/>
        <v>SWE NYGREN - 10</v>
      </c>
      <c r="G1077" s="115" t="str">
        <f t="shared" si="33"/>
        <v>SWE10</v>
      </c>
    </row>
    <row r="1078" spans="1:7" ht="15" hidden="1" customHeight="1" x14ac:dyDescent="0.35">
      <c r="A1078" s="115">
        <v>11</v>
      </c>
      <c r="B1078" s="115" t="s">
        <v>285</v>
      </c>
      <c r="C1078" s="116" t="s">
        <v>1001</v>
      </c>
      <c r="D1078" s="116" t="s">
        <v>2095</v>
      </c>
      <c r="E1078" s="115" t="s">
        <v>2082</v>
      </c>
      <c r="F1078" s="115" t="str">
        <f t="shared" si="32"/>
        <v>SWE ELANGA - 11</v>
      </c>
      <c r="G1078" s="115" t="str">
        <f t="shared" si="33"/>
        <v>SWE11</v>
      </c>
    </row>
    <row r="1079" spans="1:7" ht="15" hidden="1" customHeight="1" x14ac:dyDescent="0.35">
      <c r="A1079" s="115">
        <v>12</v>
      </c>
      <c r="B1079" s="115" t="s">
        <v>269</v>
      </c>
      <c r="C1079" s="116" t="s">
        <v>2096</v>
      </c>
      <c r="D1079" s="116" t="s">
        <v>2090</v>
      </c>
      <c r="E1079" s="115" t="s">
        <v>2082</v>
      </c>
      <c r="F1079" s="115" t="str">
        <f t="shared" si="32"/>
        <v>SWE (GK) JOHANSSON - 12</v>
      </c>
      <c r="G1079" s="115" t="str">
        <f t="shared" si="33"/>
        <v>SWE12</v>
      </c>
    </row>
    <row r="1080" spans="1:7" ht="15" hidden="1" customHeight="1" x14ac:dyDescent="0.35">
      <c r="A1080" s="115">
        <v>13</v>
      </c>
      <c r="B1080" s="115" t="s">
        <v>282</v>
      </c>
      <c r="C1080" s="116" t="s">
        <v>2097</v>
      </c>
      <c r="D1080" s="116" t="s">
        <v>2098</v>
      </c>
      <c r="E1080" s="115" t="s">
        <v>2082</v>
      </c>
      <c r="F1080" s="115" t="str">
        <f t="shared" si="32"/>
        <v>SWE SEMA - 13</v>
      </c>
      <c r="G1080" s="115" t="str">
        <f t="shared" si="33"/>
        <v>SWE13</v>
      </c>
    </row>
    <row r="1081" spans="1:7" ht="15" hidden="1" customHeight="1" x14ac:dyDescent="0.35">
      <c r="A1081" s="115">
        <v>14</v>
      </c>
      <c r="B1081" s="115" t="s">
        <v>273</v>
      </c>
      <c r="C1081" s="116" t="s">
        <v>2099</v>
      </c>
      <c r="D1081" s="116" t="s">
        <v>2100</v>
      </c>
      <c r="E1081" s="115" t="s">
        <v>2082</v>
      </c>
      <c r="F1081" s="115" t="str">
        <f t="shared" si="32"/>
        <v>SWE EKDAL - 14</v>
      </c>
      <c r="G1081" s="115" t="str">
        <f t="shared" si="33"/>
        <v>SWE14</v>
      </c>
    </row>
    <row r="1082" spans="1:7" ht="15" hidden="1" customHeight="1" x14ac:dyDescent="0.35">
      <c r="A1082" s="115">
        <v>15</v>
      </c>
      <c r="B1082" s="115" t="s">
        <v>273</v>
      </c>
      <c r="C1082" s="116" t="s">
        <v>1255</v>
      </c>
      <c r="D1082" s="116" t="s">
        <v>2101</v>
      </c>
      <c r="E1082" s="115" t="s">
        <v>2082</v>
      </c>
      <c r="F1082" s="115" t="str">
        <f t="shared" si="32"/>
        <v>SWE STARFELT - 15</v>
      </c>
      <c r="G1082" s="115" t="str">
        <f t="shared" si="33"/>
        <v>SWE15</v>
      </c>
    </row>
    <row r="1083" spans="1:7" ht="15" hidden="1" customHeight="1" x14ac:dyDescent="0.35">
      <c r="A1083" s="115">
        <v>16</v>
      </c>
      <c r="B1083" s="115" t="s">
        <v>282</v>
      </c>
      <c r="C1083" s="116" t="s">
        <v>2102</v>
      </c>
      <c r="D1083" s="116" t="s">
        <v>2103</v>
      </c>
      <c r="E1083" s="115" t="s">
        <v>2082</v>
      </c>
      <c r="F1083" s="115" t="str">
        <f t="shared" si="32"/>
        <v>SWE KARLSTROM - 16</v>
      </c>
      <c r="G1083" s="115" t="str">
        <f t="shared" si="33"/>
        <v>SWE16</v>
      </c>
    </row>
    <row r="1084" spans="1:7" ht="15" hidden="1" customHeight="1" x14ac:dyDescent="0.35">
      <c r="A1084" s="115">
        <v>17</v>
      </c>
      <c r="B1084" s="115" t="s">
        <v>285</v>
      </c>
      <c r="C1084" s="116" t="s">
        <v>2096</v>
      </c>
      <c r="D1084" s="116" t="s">
        <v>2104</v>
      </c>
      <c r="E1084" s="115" t="s">
        <v>2082</v>
      </c>
      <c r="F1084" s="115" t="str">
        <f t="shared" si="32"/>
        <v>SWE GYOKERES - 17</v>
      </c>
      <c r="G1084" s="115" t="str">
        <f t="shared" si="33"/>
        <v>SWE17</v>
      </c>
    </row>
    <row r="1085" spans="1:7" ht="15" hidden="1" customHeight="1" x14ac:dyDescent="0.35">
      <c r="A1085" s="115">
        <v>18</v>
      </c>
      <c r="B1085" s="115" t="s">
        <v>282</v>
      </c>
      <c r="C1085" s="116" t="s">
        <v>2105</v>
      </c>
      <c r="D1085" s="116" t="s">
        <v>2106</v>
      </c>
      <c r="E1085" s="115" t="s">
        <v>2082</v>
      </c>
      <c r="F1085" s="115" t="str">
        <f t="shared" si="32"/>
        <v>SWE AYARI - 18</v>
      </c>
      <c r="G1085" s="115" t="str">
        <f t="shared" si="33"/>
        <v>SWE18</v>
      </c>
    </row>
    <row r="1086" spans="1:7" ht="15" hidden="1" customHeight="1" x14ac:dyDescent="0.35">
      <c r="A1086" s="115">
        <v>19</v>
      </c>
      <c r="B1086" s="115" t="s">
        <v>282</v>
      </c>
      <c r="C1086" s="116" t="s">
        <v>2107</v>
      </c>
      <c r="D1086" s="116" t="s">
        <v>2108</v>
      </c>
      <c r="E1086" s="115" t="s">
        <v>2082</v>
      </c>
      <c r="F1086" s="115" t="str">
        <f t="shared" si="32"/>
        <v>SWE SVANBERG - 19</v>
      </c>
      <c r="G1086" s="115" t="str">
        <f t="shared" si="33"/>
        <v>SWE19</v>
      </c>
    </row>
    <row r="1087" spans="1:7" ht="15" hidden="1" customHeight="1" x14ac:dyDescent="0.35">
      <c r="A1087" s="115">
        <v>20</v>
      </c>
      <c r="B1087" s="115" t="s">
        <v>273</v>
      </c>
      <c r="C1087" s="116" t="s">
        <v>1745</v>
      </c>
      <c r="D1087" s="116" t="s">
        <v>1681</v>
      </c>
      <c r="E1087" s="115" t="s">
        <v>2082</v>
      </c>
      <c r="F1087" s="115" t="str">
        <f t="shared" si="32"/>
        <v>SWE SMITH - 20</v>
      </c>
      <c r="G1087" s="115" t="str">
        <f t="shared" si="33"/>
        <v>SWE20</v>
      </c>
    </row>
    <row r="1088" spans="1:7" ht="15" hidden="1" customHeight="1" x14ac:dyDescent="0.35">
      <c r="A1088" s="115">
        <v>21</v>
      </c>
      <c r="B1088" s="115" t="s">
        <v>273</v>
      </c>
      <c r="C1088" s="116" t="s">
        <v>422</v>
      </c>
      <c r="D1088" s="116" t="s">
        <v>2109</v>
      </c>
      <c r="E1088" s="115" t="s">
        <v>2082</v>
      </c>
      <c r="F1088" s="115" t="str">
        <f t="shared" si="32"/>
        <v>SWE BERNHARDSSON - 21</v>
      </c>
      <c r="G1088" s="115" t="str">
        <f t="shared" si="33"/>
        <v>SWE21</v>
      </c>
    </row>
    <row r="1089" spans="1:7" ht="15" hidden="1" customHeight="1" x14ac:dyDescent="0.35">
      <c r="A1089" s="115">
        <v>22</v>
      </c>
      <c r="B1089" s="115" t="s">
        <v>282</v>
      </c>
      <c r="C1089" s="116" t="s">
        <v>2110</v>
      </c>
      <c r="D1089" s="116" t="s">
        <v>2111</v>
      </c>
      <c r="E1089" s="115" t="s">
        <v>2082</v>
      </c>
      <c r="F1089" s="115" t="str">
        <f t="shared" si="32"/>
        <v>SWE ZENELI - 22</v>
      </c>
      <c r="G1089" s="115" t="str">
        <f t="shared" si="33"/>
        <v>SWE22</v>
      </c>
    </row>
    <row r="1090" spans="1:7" ht="15" hidden="1" customHeight="1" x14ac:dyDescent="0.35">
      <c r="A1090" s="115">
        <v>23</v>
      </c>
      <c r="B1090" s="115" t="s">
        <v>269</v>
      </c>
      <c r="C1090" s="116" t="s">
        <v>1687</v>
      </c>
      <c r="D1090" s="116" t="s">
        <v>2112</v>
      </c>
      <c r="E1090" s="115" t="s">
        <v>2082</v>
      </c>
      <c r="F1090" s="115" t="str">
        <f t="shared" si="32"/>
        <v>SWE (GK) NORDFELDT - 23</v>
      </c>
      <c r="G1090" s="115" t="str">
        <f t="shared" si="33"/>
        <v>SWE23</v>
      </c>
    </row>
    <row r="1091" spans="1:7" ht="15" hidden="1" customHeight="1" x14ac:dyDescent="0.35">
      <c r="A1091" s="115">
        <v>24</v>
      </c>
      <c r="B1091" s="115" t="s">
        <v>273</v>
      </c>
      <c r="C1091" s="116" t="s">
        <v>1080</v>
      </c>
      <c r="D1091" s="116" t="s">
        <v>2113</v>
      </c>
      <c r="E1091" s="115" t="s">
        <v>2082</v>
      </c>
      <c r="F1091" s="115" t="str">
        <f t="shared" ref="F1091:F1154" si="34">IF(B1091="GK", _xlfn.CONCAT(E1091, " ","(",B1091, ") ",D1091, " - ", A1091),  _xlfn.CONCAT(E1091, " ",D1091, " - ", A1091))</f>
        <v>SWE STROUD - 24</v>
      </c>
      <c r="G1091" s="115" t="str">
        <f t="shared" ref="G1091:G1154" si="35">_xlfn.CONCAT(E1091,A1091)</f>
        <v>SWE24</v>
      </c>
    </row>
    <row r="1092" spans="1:7" ht="15" hidden="1" customHeight="1" x14ac:dyDescent="0.35">
      <c r="A1092" s="115">
        <v>25</v>
      </c>
      <c r="B1092" s="115" t="s">
        <v>285</v>
      </c>
      <c r="C1092" s="116" t="s">
        <v>2083</v>
      </c>
      <c r="D1092" s="116" t="s">
        <v>2114</v>
      </c>
      <c r="E1092" s="115" t="s">
        <v>2082</v>
      </c>
      <c r="F1092" s="115" t="str">
        <f t="shared" si="34"/>
        <v>SWE NILSSON - 25</v>
      </c>
      <c r="G1092" s="115" t="str">
        <f t="shared" si="35"/>
        <v>SWE25</v>
      </c>
    </row>
    <row r="1093" spans="1:7" ht="15" hidden="1" customHeight="1" x14ac:dyDescent="0.35">
      <c r="A1093" s="115">
        <v>26</v>
      </c>
      <c r="B1093" s="115" t="s">
        <v>285</v>
      </c>
      <c r="C1093" s="116" t="s">
        <v>2115</v>
      </c>
      <c r="D1093" s="116" t="s">
        <v>1342</v>
      </c>
      <c r="E1093" s="115" t="s">
        <v>2082</v>
      </c>
      <c r="F1093" s="115" t="str">
        <f t="shared" si="34"/>
        <v>SWE ALI - 26</v>
      </c>
      <c r="G1093" s="115" t="str">
        <f t="shared" si="35"/>
        <v>SWE26</v>
      </c>
    </row>
    <row r="1094" spans="1:7" ht="15" hidden="1" customHeight="1" x14ac:dyDescent="0.35">
      <c r="A1094" s="117">
        <v>1</v>
      </c>
      <c r="B1094" s="117" t="s">
        <v>269</v>
      </c>
      <c r="C1094" s="118" t="s">
        <v>2116</v>
      </c>
      <c r="D1094" s="118" t="s">
        <v>2117</v>
      </c>
      <c r="E1094" s="117" t="s">
        <v>2118</v>
      </c>
      <c r="F1094" s="117" t="str">
        <f t="shared" si="34"/>
        <v>CHE (GK) KOBEL - 1</v>
      </c>
      <c r="G1094" s="117" t="str">
        <f t="shared" si="35"/>
        <v>CHE1</v>
      </c>
    </row>
    <row r="1095" spans="1:7" ht="15" hidden="1" customHeight="1" x14ac:dyDescent="0.35">
      <c r="A1095" s="117">
        <v>2</v>
      </c>
      <c r="B1095" s="117" t="s">
        <v>273</v>
      </c>
      <c r="C1095" s="118" t="s">
        <v>2119</v>
      </c>
      <c r="D1095" s="118" t="s">
        <v>2120</v>
      </c>
      <c r="E1095" s="117" t="s">
        <v>2118</v>
      </c>
      <c r="F1095" s="117" t="str">
        <f t="shared" si="34"/>
        <v>CHE MUHEIM - 2</v>
      </c>
      <c r="G1095" s="117" t="str">
        <f t="shared" si="35"/>
        <v>CHE2</v>
      </c>
    </row>
    <row r="1096" spans="1:7" ht="15" hidden="1" customHeight="1" x14ac:dyDescent="0.35">
      <c r="A1096" s="117">
        <v>3</v>
      </c>
      <c r="B1096" s="117" t="s">
        <v>273</v>
      </c>
      <c r="C1096" s="118" t="s">
        <v>2121</v>
      </c>
      <c r="D1096" s="118" t="s">
        <v>2122</v>
      </c>
      <c r="E1096" s="117" t="s">
        <v>2118</v>
      </c>
      <c r="F1096" s="117" t="str">
        <f t="shared" si="34"/>
        <v>CHE WIDMER - 3</v>
      </c>
      <c r="G1096" s="117" t="str">
        <f t="shared" si="35"/>
        <v>CHE3</v>
      </c>
    </row>
    <row r="1097" spans="1:7" ht="15" hidden="1" customHeight="1" x14ac:dyDescent="0.35">
      <c r="A1097" s="117">
        <v>4</v>
      </c>
      <c r="B1097" s="117" t="s">
        <v>273</v>
      </c>
      <c r="C1097" s="118" t="s">
        <v>354</v>
      </c>
      <c r="D1097" s="118" t="s">
        <v>2123</v>
      </c>
      <c r="E1097" s="117" t="s">
        <v>2118</v>
      </c>
      <c r="F1097" s="117" t="str">
        <f t="shared" si="34"/>
        <v>CHE ELVEDI - 4</v>
      </c>
      <c r="G1097" s="117" t="str">
        <f t="shared" si="35"/>
        <v>CHE4</v>
      </c>
    </row>
    <row r="1098" spans="1:7" ht="15" hidden="1" customHeight="1" x14ac:dyDescent="0.35">
      <c r="A1098" s="117">
        <v>5</v>
      </c>
      <c r="B1098" s="117" t="s">
        <v>273</v>
      </c>
      <c r="C1098" s="118" t="s">
        <v>1151</v>
      </c>
      <c r="D1098" s="118" t="s">
        <v>2124</v>
      </c>
      <c r="E1098" s="117" t="s">
        <v>2118</v>
      </c>
      <c r="F1098" s="117" t="str">
        <f t="shared" si="34"/>
        <v>CHE AKANJI - 5</v>
      </c>
      <c r="G1098" s="117" t="str">
        <f t="shared" si="35"/>
        <v>CHE5</v>
      </c>
    </row>
    <row r="1099" spans="1:7" ht="15" hidden="1" customHeight="1" x14ac:dyDescent="0.35">
      <c r="A1099" s="117">
        <v>6</v>
      </c>
      <c r="B1099" s="117" t="s">
        <v>282</v>
      </c>
      <c r="C1099" s="118" t="s">
        <v>985</v>
      </c>
      <c r="D1099" s="118" t="s">
        <v>1864</v>
      </c>
      <c r="E1099" s="117" t="s">
        <v>2118</v>
      </c>
      <c r="F1099" s="117" t="str">
        <f t="shared" si="34"/>
        <v>CHE ZAKARIA - 6</v>
      </c>
      <c r="G1099" s="117" t="str">
        <f t="shared" si="35"/>
        <v>CHE6</v>
      </c>
    </row>
    <row r="1100" spans="1:7" ht="15" hidden="1" customHeight="1" x14ac:dyDescent="0.35">
      <c r="A1100" s="117">
        <v>7</v>
      </c>
      <c r="B1100" s="117" t="s">
        <v>285</v>
      </c>
      <c r="C1100" s="118" t="s">
        <v>2125</v>
      </c>
      <c r="D1100" s="118" t="s">
        <v>2126</v>
      </c>
      <c r="E1100" s="117" t="s">
        <v>2118</v>
      </c>
      <c r="F1100" s="117" t="str">
        <f t="shared" si="34"/>
        <v>CHE EMBOLO - 7</v>
      </c>
      <c r="G1100" s="117" t="str">
        <f t="shared" si="35"/>
        <v>CHE7</v>
      </c>
    </row>
    <row r="1101" spans="1:7" ht="15" hidden="1" customHeight="1" x14ac:dyDescent="0.35">
      <c r="A1101" s="117">
        <v>8</v>
      </c>
      <c r="B1101" s="117" t="s">
        <v>282</v>
      </c>
      <c r="C1101" s="118" t="s">
        <v>2127</v>
      </c>
      <c r="D1101" s="118" t="s">
        <v>2128</v>
      </c>
      <c r="E1101" s="117" t="s">
        <v>2118</v>
      </c>
      <c r="F1101" s="117" t="str">
        <f t="shared" si="34"/>
        <v>CHE FREULER - 8</v>
      </c>
      <c r="G1101" s="117" t="str">
        <f t="shared" si="35"/>
        <v>CHE8</v>
      </c>
    </row>
    <row r="1102" spans="1:7" ht="15" hidden="1" customHeight="1" x14ac:dyDescent="0.35">
      <c r="A1102" s="117">
        <v>9</v>
      </c>
      <c r="B1102" s="117" t="s">
        <v>282</v>
      </c>
      <c r="C1102" s="118" t="s">
        <v>744</v>
      </c>
      <c r="D1102" s="118" t="s">
        <v>2129</v>
      </c>
      <c r="E1102" s="117" t="s">
        <v>2118</v>
      </c>
      <c r="F1102" s="117" t="str">
        <f t="shared" si="34"/>
        <v>CHE MANZAMBI - 9</v>
      </c>
      <c r="G1102" s="117" t="str">
        <f t="shared" si="35"/>
        <v>CHE9</v>
      </c>
    </row>
    <row r="1103" spans="1:7" ht="15" hidden="1" customHeight="1" x14ac:dyDescent="0.35">
      <c r="A1103" s="117">
        <v>10</v>
      </c>
      <c r="B1103" s="117" t="s">
        <v>282</v>
      </c>
      <c r="C1103" s="118" t="s">
        <v>2130</v>
      </c>
      <c r="D1103" s="118" t="s">
        <v>2131</v>
      </c>
      <c r="E1103" s="117" t="s">
        <v>2118</v>
      </c>
      <c r="F1103" s="117" t="str">
        <f t="shared" si="34"/>
        <v>CHE XHAKA - 10</v>
      </c>
      <c r="G1103" s="117" t="str">
        <f t="shared" si="35"/>
        <v>CHE10</v>
      </c>
    </row>
    <row r="1104" spans="1:7" ht="15" hidden="1" customHeight="1" x14ac:dyDescent="0.35">
      <c r="A1104" s="117">
        <v>11</v>
      </c>
      <c r="B1104" s="117" t="s">
        <v>285</v>
      </c>
      <c r="C1104" s="118" t="s">
        <v>1091</v>
      </c>
      <c r="D1104" s="118" t="s">
        <v>2132</v>
      </c>
      <c r="E1104" s="117" t="s">
        <v>2118</v>
      </c>
      <c r="F1104" s="117" t="str">
        <f t="shared" si="34"/>
        <v>CHE NDOYE - 11</v>
      </c>
      <c r="G1104" s="117" t="str">
        <f t="shared" si="35"/>
        <v>CHE11</v>
      </c>
    </row>
    <row r="1105" spans="1:7" ht="15" hidden="1" customHeight="1" x14ac:dyDescent="0.35">
      <c r="A1105" s="117">
        <v>12</v>
      </c>
      <c r="B1105" s="117" t="s">
        <v>269</v>
      </c>
      <c r="C1105" s="118" t="s">
        <v>2133</v>
      </c>
      <c r="D1105" s="118" t="s">
        <v>2134</v>
      </c>
      <c r="E1105" s="117" t="s">
        <v>2118</v>
      </c>
      <c r="F1105" s="117" t="str">
        <f t="shared" si="34"/>
        <v>CHE (GK) MVOGO - 12</v>
      </c>
      <c r="G1105" s="117" t="str">
        <f t="shared" si="35"/>
        <v>CHE12</v>
      </c>
    </row>
    <row r="1106" spans="1:7" ht="15" hidden="1" customHeight="1" x14ac:dyDescent="0.35">
      <c r="A1106" s="117">
        <v>13</v>
      </c>
      <c r="B1106" s="117" t="s">
        <v>273</v>
      </c>
      <c r="C1106" s="118" t="s">
        <v>1251</v>
      </c>
      <c r="D1106" s="118" t="s">
        <v>734</v>
      </c>
      <c r="E1106" s="117" t="s">
        <v>2118</v>
      </c>
      <c r="F1106" s="117" t="str">
        <f t="shared" si="34"/>
        <v>CHE RODRIGUEZ - 13</v>
      </c>
      <c r="G1106" s="117" t="str">
        <f t="shared" si="35"/>
        <v>CHE13</v>
      </c>
    </row>
    <row r="1107" spans="1:7" ht="15" hidden="1" customHeight="1" x14ac:dyDescent="0.35">
      <c r="A1107" s="117">
        <v>14</v>
      </c>
      <c r="B1107" s="117" t="s">
        <v>282</v>
      </c>
      <c r="C1107" s="118" t="s">
        <v>2135</v>
      </c>
      <c r="D1107" s="118" t="s">
        <v>2136</v>
      </c>
      <c r="E1107" s="117" t="s">
        <v>2118</v>
      </c>
      <c r="F1107" s="117" t="str">
        <f t="shared" si="34"/>
        <v>CHE JASHARI - 14</v>
      </c>
      <c r="G1107" s="117" t="str">
        <f t="shared" si="35"/>
        <v>CHE14</v>
      </c>
    </row>
    <row r="1108" spans="1:7" ht="15" hidden="1" customHeight="1" x14ac:dyDescent="0.35">
      <c r="A1108" s="117">
        <v>15</v>
      </c>
      <c r="B1108" s="117" t="s">
        <v>282</v>
      </c>
      <c r="C1108" s="118" t="s">
        <v>2137</v>
      </c>
      <c r="D1108" s="118" t="s">
        <v>2138</v>
      </c>
      <c r="E1108" s="117" t="s">
        <v>2118</v>
      </c>
      <c r="F1108" s="117" t="str">
        <f t="shared" si="34"/>
        <v>CHE SOW - 15</v>
      </c>
      <c r="G1108" s="117" t="str">
        <f t="shared" si="35"/>
        <v>CHE15</v>
      </c>
    </row>
    <row r="1109" spans="1:7" ht="15" hidden="1" customHeight="1" x14ac:dyDescent="0.35">
      <c r="A1109" s="117">
        <v>16</v>
      </c>
      <c r="B1109" s="117" t="s">
        <v>285</v>
      </c>
      <c r="C1109" s="118" t="s">
        <v>2139</v>
      </c>
      <c r="D1109" s="118" t="s">
        <v>2140</v>
      </c>
      <c r="E1109" s="117" t="s">
        <v>2118</v>
      </c>
      <c r="F1109" s="117" t="str">
        <f t="shared" si="34"/>
        <v>CHE FASSNACHT - 16</v>
      </c>
      <c r="G1109" s="117" t="str">
        <f t="shared" si="35"/>
        <v>CHE16</v>
      </c>
    </row>
    <row r="1110" spans="1:7" ht="15" hidden="1" customHeight="1" x14ac:dyDescent="0.35">
      <c r="A1110" s="117">
        <v>17</v>
      </c>
      <c r="B1110" s="117" t="s">
        <v>285</v>
      </c>
      <c r="C1110" s="118" t="s">
        <v>1269</v>
      </c>
      <c r="D1110" s="118" t="s">
        <v>736</v>
      </c>
      <c r="E1110" s="117" t="s">
        <v>2118</v>
      </c>
      <c r="F1110" s="117" t="str">
        <f t="shared" si="34"/>
        <v>CHE VARGAS - 17</v>
      </c>
      <c r="G1110" s="117" t="str">
        <f t="shared" si="35"/>
        <v>CHE17</v>
      </c>
    </row>
    <row r="1111" spans="1:7" ht="15" hidden="1" customHeight="1" x14ac:dyDescent="0.35">
      <c r="A1111" s="117">
        <v>18</v>
      </c>
      <c r="B1111" s="117" t="s">
        <v>273</v>
      </c>
      <c r="C1111" s="118" t="s">
        <v>2141</v>
      </c>
      <c r="D1111" s="118" t="s">
        <v>2142</v>
      </c>
      <c r="E1111" s="117" t="s">
        <v>2118</v>
      </c>
      <c r="F1111" s="117" t="str">
        <f t="shared" si="34"/>
        <v>CHE COEMERT - 18</v>
      </c>
      <c r="G1111" s="117" t="str">
        <f t="shared" si="35"/>
        <v>CHE18</v>
      </c>
    </row>
    <row r="1112" spans="1:7" ht="15" hidden="1" customHeight="1" x14ac:dyDescent="0.35">
      <c r="A1112" s="117">
        <v>19</v>
      </c>
      <c r="B1112" s="117" t="s">
        <v>285</v>
      </c>
      <c r="C1112" s="118" t="s">
        <v>787</v>
      </c>
      <c r="D1112" s="118" t="s">
        <v>2143</v>
      </c>
      <c r="E1112" s="117" t="s">
        <v>2118</v>
      </c>
      <c r="F1112" s="117" t="str">
        <f t="shared" si="34"/>
        <v>CHE OKAFOR - 19</v>
      </c>
      <c r="G1112" s="117" t="str">
        <f t="shared" si="35"/>
        <v>CHE19</v>
      </c>
    </row>
    <row r="1113" spans="1:7" ht="15" hidden="1" customHeight="1" x14ac:dyDescent="0.35">
      <c r="A1113" s="117">
        <v>20</v>
      </c>
      <c r="B1113" s="117" t="s">
        <v>282</v>
      </c>
      <c r="C1113" s="118" t="s">
        <v>2144</v>
      </c>
      <c r="D1113" s="118" t="s">
        <v>2145</v>
      </c>
      <c r="E1113" s="117" t="s">
        <v>2118</v>
      </c>
      <c r="F1113" s="117" t="str">
        <f t="shared" si="34"/>
        <v>CHE AEBISCHER - 20</v>
      </c>
      <c r="G1113" s="117" t="str">
        <f t="shared" si="35"/>
        <v>CHE20</v>
      </c>
    </row>
    <row r="1114" spans="1:7" ht="15" hidden="1" customHeight="1" x14ac:dyDescent="0.35">
      <c r="A1114" s="117">
        <v>21</v>
      </c>
      <c r="B1114" s="117" t="s">
        <v>269</v>
      </c>
      <c r="C1114" s="118" t="s">
        <v>1242</v>
      </c>
      <c r="D1114" s="118" t="s">
        <v>2146</v>
      </c>
      <c r="E1114" s="117" t="s">
        <v>2118</v>
      </c>
      <c r="F1114" s="117" t="str">
        <f t="shared" si="34"/>
        <v>CHE (GK) KELLER - 21</v>
      </c>
      <c r="G1114" s="117" t="str">
        <f t="shared" si="35"/>
        <v>CHE21</v>
      </c>
    </row>
    <row r="1115" spans="1:7" ht="15" hidden="1" customHeight="1" x14ac:dyDescent="0.35">
      <c r="A1115" s="117">
        <v>22</v>
      </c>
      <c r="B1115" s="117" t="s">
        <v>282</v>
      </c>
      <c r="C1115" s="118" t="s">
        <v>1767</v>
      </c>
      <c r="D1115" s="118" t="s">
        <v>2147</v>
      </c>
      <c r="E1115" s="117" t="s">
        <v>2118</v>
      </c>
      <c r="F1115" s="117" t="str">
        <f t="shared" si="34"/>
        <v>CHE RIEDER - 22</v>
      </c>
      <c r="G1115" s="117" t="str">
        <f t="shared" si="35"/>
        <v>CHE22</v>
      </c>
    </row>
    <row r="1116" spans="1:7" ht="15" hidden="1" customHeight="1" x14ac:dyDescent="0.35">
      <c r="A1116" s="117">
        <v>23</v>
      </c>
      <c r="B1116" s="117" t="s">
        <v>285</v>
      </c>
      <c r="C1116" s="118" t="s">
        <v>2148</v>
      </c>
      <c r="D1116" s="118" t="s">
        <v>2149</v>
      </c>
      <c r="E1116" s="117" t="s">
        <v>2118</v>
      </c>
      <c r="F1116" s="117" t="str">
        <f t="shared" si="34"/>
        <v>CHE AMDOUNI - 23</v>
      </c>
      <c r="G1116" s="117" t="str">
        <f t="shared" si="35"/>
        <v>CHE23</v>
      </c>
    </row>
    <row r="1117" spans="1:7" ht="15" hidden="1" customHeight="1" x14ac:dyDescent="0.35">
      <c r="A1117" s="117">
        <v>24</v>
      </c>
      <c r="B1117" s="117" t="s">
        <v>273</v>
      </c>
      <c r="C1117" s="118" t="s">
        <v>2150</v>
      </c>
      <c r="D1117" s="118" t="s">
        <v>2151</v>
      </c>
      <c r="E1117" s="117" t="s">
        <v>2118</v>
      </c>
      <c r="F1117" s="117" t="str">
        <f t="shared" si="34"/>
        <v>CHE AMENDA - 24</v>
      </c>
      <c r="G1117" s="117" t="str">
        <f t="shared" si="35"/>
        <v>CHE24</v>
      </c>
    </row>
    <row r="1118" spans="1:7" ht="15" hidden="1" customHeight="1" x14ac:dyDescent="0.35">
      <c r="A1118" s="117">
        <v>25</v>
      </c>
      <c r="B1118" s="117" t="s">
        <v>273</v>
      </c>
      <c r="C1118" s="118" t="s">
        <v>318</v>
      </c>
      <c r="D1118" s="118" t="s">
        <v>2152</v>
      </c>
      <c r="E1118" s="117" t="s">
        <v>2118</v>
      </c>
      <c r="F1118" s="117" t="str">
        <f t="shared" si="34"/>
        <v>CHE JAQUEZ - 25</v>
      </c>
      <c r="G1118" s="117" t="str">
        <f t="shared" si="35"/>
        <v>CHE25</v>
      </c>
    </row>
    <row r="1119" spans="1:7" ht="15" hidden="1" customHeight="1" x14ac:dyDescent="0.35">
      <c r="A1119" s="117">
        <v>26</v>
      </c>
      <c r="B1119" s="117" t="s">
        <v>285</v>
      </c>
      <c r="C1119" s="118" t="s">
        <v>791</v>
      </c>
      <c r="D1119" s="118" t="s">
        <v>2153</v>
      </c>
      <c r="E1119" s="117" t="s">
        <v>2118</v>
      </c>
      <c r="F1119" s="117" t="str">
        <f t="shared" si="34"/>
        <v>CHE ITTEN - 26</v>
      </c>
      <c r="G1119" s="117" t="str">
        <f t="shared" si="35"/>
        <v>CHE26</v>
      </c>
    </row>
    <row r="1120" spans="1:7" ht="15" hidden="1" customHeight="1" x14ac:dyDescent="0.35">
      <c r="A1120" s="119">
        <v>1</v>
      </c>
      <c r="B1120" s="119" t="s">
        <v>269</v>
      </c>
      <c r="C1120" s="120" t="s">
        <v>2154</v>
      </c>
      <c r="D1120" s="120" t="s">
        <v>2155</v>
      </c>
      <c r="E1120" s="119" t="s">
        <v>2156</v>
      </c>
      <c r="F1120" s="119" t="str">
        <f t="shared" si="34"/>
        <v>TUN (GK) CHAMAKH - 1</v>
      </c>
      <c r="G1120" s="119" t="str">
        <f t="shared" si="35"/>
        <v>TUN1</v>
      </c>
    </row>
    <row r="1121" spans="1:7" ht="15" hidden="1" customHeight="1" x14ac:dyDescent="0.35">
      <c r="A1121" s="119">
        <v>2</v>
      </c>
      <c r="B1121" s="119" t="s">
        <v>273</v>
      </c>
      <c r="C1121" s="120" t="s">
        <v>706</v>
      </c>
      <c r="D1121" s="120" t="s">
        <v>2157</v>
      </c>
      <c r="E1121" s="119" t="s">
        <v>2156</v>
      </c>
      <c r="F1121" s="119" t="str">
        <f t="shared" si="34"/>
        <v>TUN ABDI - 2</v>
      </c>
      <c r="G1121" s="119" t="str">
        <f t="shared" si="35"/>
        <v>TUN2</v>
      </c>
    </row>
    <row r="1122" spans="1:7" ht="15" hidden="1" customHeight="1" x14ac:dyDescent="0.35">
      <c r="A1122" s="119">
        <v>3</v>
      </c>
      <c r="B1122" s="119" t="s">
        <v>273</v>
      </c>
      <c r="C1122" s="120" t="s">
        <v>2158</v>
      </c>
      <c r="D1122" s="120" t="s">
        <v>1553</v>
      </c>
      <c r="E1122" s="119" t="s">
        <v>2156</v>
      </c>
      <c r="F1122" s="119" t="str">
        <f t="shared" si="34"/>
        <v>TUN TALBI - 3</v>
      </c>
      <c r="G1122" s="119" t="str">
        <f t="shared" si="35"/>
        <v>TUN3</v>
      </c>
    </row>
    <row r="1123" spans="1:7" ht="15" hidden="1" customHeight="1" x14ac:dyDescent="0.35">
      <c r="A1123" s="119">
        <v>4</v>
      </c>
      <c r="B1123" s="119" t="s">
        <v>273</v>
      </c>
      <c r="C1123" s="120" t="s">
        <v>1062</v>
      </c>
      <c r="D1123" s="120" t="s">
        <v>2159</v>
      </c>
      <c r="E1123" s="119" t="s">
        <v>2156</v>
      </c>
      <c r="F1123" s="119" t="str">
        <f t="shared" si="34"/>
        <v>TUN REKIK - 4</v>
      </c>
      <c r="G1123" s="119" t="str">
        <f t="shared" si="35"/>
        <v>TUN4</v>
      </c>
    </row>
    <row r="1124" spans="1:7" ht="15" hidden="1" customHeight="1" x14ac:dyDescent="0.35">
      <c r="A1124" s="119">
        <v>5</v>
      </c>
      <c r="B1124" s="119" t="s">
        <v>273</v>
      </c>
      <c r="C1124" s="120" t="s">
        <v>957</v>
      </c>
      <c r="D1124" s="120" t="s">
        <v>2160</v>
      </c>
      <c r="E1124" s="119" t="s">
        <v>2156</v>
      </c>
      <c r="F1124" s="119" t="str">
        <f t="shared" si="34"/>
        <v>TUN AROUS - 5</v>
      </c>
      <c r="G1124" s="119" t="str">
        <f t="shared" si="35"/>
        <v>TUN5</v>
      </c>
    </row>
    <row r="1125" spans="1:7" ht="15" hidden="1" customHeight="1" x14ac:dyDescent="0.35">
      <c r="A1125" s="119">
        <v>6</v>
      </c>
      <c r="B1125" s="119" t="s">
        <v>273</v>
      </c>
      <c r="C1125" s="120" t="s">
        <v>769</v>
      </c>
      <c r="D1125" s="120" t="s">
        <v>2161</v>
      </c>
      <c r="E1125" s="119" t="s">
        <v>2156</v>
      </c>
      <c r="F1125" s="119" t="str">
        <f t="shared" si="34"/>
        <v>TUN BRONN - 6</v>
      </c>
      <c r="G1125" s="119" t="str">
        <f t="shared" si="35"/>
        <v>TUN6</v>
      </c>
    </row>
    <row r="1126" spans="1:7" ht="15" hidden="1" customHeight="1" x14ac:dyDescent="0.35">
      <c r="A1126" s="119">
        <v>7</v>
      </c>
      <c r="B1126" s="119" t="s">
        <v>285</v>
      </c>
      <c r="C1126" s="120" t="s">
        <v>2162</v>
      </c>
      <c r="D1126" s="120" t="s">
        <v>2163</v>
      </c>
      <c r="E1126" s="119" t="s">
        <v>2156</v>
      </c>
      <c r="F1126" s="119" t="str">
        <f t="shared" si="34"/>
        <v>TUN ACHOURI - 7</v>
      </c>
      <c r="G1126" s="119" t="str">
        <f t="shared" si="35"/>
        <v>TUN7</v>
      </c>
    </row>
    <row r="1127" spans="1:7" ht="15" hidden="1" customHeight="1" x14ac:dyDescent="0.35">
      <c r="A1127" s="119">
        <v>8</v>
      </c>
      <c r="B1127" s="119" t="s">
        <v>285</v>
      </c>
      <c r="C1127" s="120" t="s">
        <v>2162</v>
      </c>
      <c r="D1127" s="120" t="s">
        <v>2164</v>
      </c>
      <c r="E1127" s="119" t="s">
        <v>2156</v>
      </c>
      <c r="F1127" s="119" t="str">
        <f t="shared" si="34"/>
        <v>TUN SAAD - 8</v>
      </c>
      <c r="G1127" s="119" t="str">
        <f t="shared" si="35"/>
        <v>TUN8</v>
      </c>
    </row>
    <row r="1128" spans="1:7" ht="15" hidden="1" customHeight="1" x14ac:dyDescent="0.35">
      <c r="A1128" s="119">
        <v>9</v>
      </c>
      <c r="B1128" s="119" t="s">
        <v>285</v>
      </c>
      <c r="C1128" s="120" t="s">
        <v>2165</v>
      </c>
      <c r="D1128" s="120" t="s">
        <v>2166</v>
      </c>
      <c r="E1128" s="119" t="s">
        <v>2156</v>
      </c>
      <c r="F1128" s="119" t="str">
        <f t="shared" si="34"/>
        <v>TUN MASTOURI - 9</v>
      </c>
      <c r="G1128" s="119" t="str">
        <f t="shared" si="35"/>
        <v>TUN9</v>
      </c>
    </row>
    <row r="1129" spans="1:7" ht="15" hidden="1" customHeight="1" x14ac:dyDescent="0.35">
      <c r="A1129" s="119">
        <v>10</v>
      </c>
      <c r="B1129" s="119" t="s">
        <v>282</v>
      </c>
      <c r="C1129" s="120" t="s">
        <v>2167</v>
      </c>
      <c r="D1129" s="120" t="s">
        <v>2168</v>
      </c>
      <c r="E1129" s="119" t="s">
        <v>2156</v>
      </c>
      <c r="F1129" s="119" t="str">
        <f t="shared" si="34"/>
        <v>TUN MEJBRI - 10</v>
      </c>
      <c r="G1129" s="119" t="str">
        <f t="shared" si="35"/>
        <v>TUN10</v>
      </c>
    </row>
    <row r="1130" spans="1:7" ht="15" hidden="1" customHeight="1" x14ac:dyDescent="0.35">
      <c r="A1130" s="119">
        <v>11</v>
      </c>
      <c r="B1130" s="119" t="s">
        <v>282</v>
      </c>
      <c r="C1130" s="120" t="s">
        <v>683</v>
      </c>
      <c r="D1130" s="120" t="s">
        <v>2169</v>
      </c>
      <c r="E1130" s="119" t="s">
        <v>2156</v>
      </c>
      <c r="F1130" s="119" t="str">
        <f t="shared" si="34"/>
        <v>TUN GHARBI - 11</v>
      </c>
      <c r="G1130" s="119" t="str">
        <f t="shared" si="35"/>
        <v>TUN11</v>
      </c>
    </row>
    <row r="1131" spans="1:7" ht="15" hidden="1" customHeight="1" x14ac:dyDescent="0.35">
      <c r="A1131" s="119">
        <v>12</v>
      </c>
      <c r="B1131" s="119" t="s">
        <v>273</v>
      </c>
      <c r="C1131" s="120" t="s">
        <v>2170</v>
      </c>
      <c r="D1131" s="120" t="s">
        <v>2171</v>
      </c>
      <c r="E1131" s="119" t="s">
        <v>2156</v>
      </c>
      <c r="F1131" s="119" t="str">
        <f t="shared" si="34"/>
        <v>TUN BEN OUANES - 12</v>
      </c>
      <c r="G1131" s="119" t="str">
        <f t="shared" si="35"/>
        <v>TUN12</v>
      </c>
    </row>
    <row r="1132" spans="1:7" ht="15" hidden="1" customHeight="1" x14ac:dyDescent="0.35">
      <c r="A1132" s="119">
        <v>13</v>
      </c>
      <c r="B1132" s="119" t="s">
        <v>282</v>
      </c>
      <c r="C1132" s="120" t="s">
        <v>2172</v>
      </c>
      <c r="D1132" s="120" t="s">
        <v>2173</v>
      </c>
      <c r="E1132" s="119" t="s">
        <v>2156</v>
      </c>
      <c r="F1132" s="119" t="str">
        <f t="shared" si="34"/>
        <v>TUN KHEDIRA - 13</v>
      </c>
      <c r="G1132" s="119" t="str">
        <f t="shared" si="35"/>
        <v>TUN13</v>
      </c>
    </row>
    <row r="1133" spans="1:7" ht="15" hidden="1" customHeight="1" x14ac:dyDescent="0.35">
      <c r="A1133" s="119">
        <v>14</v>
      </c>
      <c r="B1133" s="119" t="s">
        <v>282</v>
      </c>
      <c r="C1133" s="120" t="s">
        <v>2174</v>
      </c>
      <c r="D1133" s="120" t="s">
        <v>2106</v>
      </c>
      <c r="E1133" s="119" t="s">
        <v>2156</v>
      </c>
      <c r="F1133" s="119" t="str">
        <f t="shared" si="34"/>
        <v>TUN AYARI - 14</v>
      </c>
      <c r="G1133" s="119" t="str">
        <f t="shared" si="35"/>
        <v>TUN14</v>
      </c>
    </row>
    <row r="1134" spans="1:7" ht="15" hidden="1" customHeight="1" x14ac:dyDescent="0.35">
      <c r="A1134" s="119">
        <v>15</v>
      </c>
      <c r="B1134" s="119" t="s">
        <v>282</v>
      </c>
      <c r="C1134" s="120" t="s">
        <v>308</v>
      </c>
      <c r="D1134" s="120" t="s">
        <v>2175</v>
      </c>
      <c r="E1134" s="119" t="s">
        <v>2156</v>
      </c>
      <c r="F1134" s="119" t="str">
        <f t="shared" si="34"/>
        <v>TUN HADJ MAHMOUD - 15</v>
      </c>
      <c r="G1134" s="119" t="str">
        <f t="shared" si="35"/>
        <v>TUN15</v>
      </c>
    </row>
    <row r="1135" spans="1:7" ht="15" hidden="1" customHeight="1" x14ac:dyDescent="0.35">
      <c r="A1135" s="119">
        <v>16</v>
      </c>
      <c r="B1135" s="119" t="s">
        <v>269</v>
      </c>
      <c r="C1135" s="120" t="s">
        <v>1361</v>
      </c>
      <c r="D1135" s="120" t="s">
        <v>2176</v>
      </c>
      <c r="E1135" s="119" t="s">
        <v>2156</v>
      </c>
      <c r="F1135" s="119" t="str">
        <f t="shared" si="34"/>
        <v>TUN (GK) DAHMEN - 16</v>
      </c>
      <c r="G1135" s="119" t="str">
        <f t="shared" si="35"/>
        <v>TUN16</v>
      </c>
    </row>
    <row r="1136" spans="1:7" ht="15" hidden="1" customHeight="1" x14ac:dyDescent="0.35">
      <c r="A1136" s="119">
        <v>17</v>
      </c>
      <c r="B1136" s="119" t="s">
        <v>282</v>
      </c>
      <c r="C1136" s="120" t="s">
        <v>2177</v>
      </c>
      <c r="D1136" s="120" t="s">
        <v>2178</v>
      </c>
      <c r="E1136" s="119" t="s">
        <v>2156</v>
      </c>
      <c r="F1136" s="119" t="str">
        <f t="shared" si="34"/>
        <v>TUN SKHIRI - 17</v>
      </c>
      <c r="G1136" s="119" t="str">
        <f t="shared" si="35"/>
        <v>TUN17</v>
      </c>
    </row>
    <row r="1137" spans="1:7" ht="15" hidden="1" customHeight="1" x14ac:dyDescent="0.35">
      <c r="A1137" s="119">
        <v>18</v>
      </c>
      <c r="B1137" s="119" t="s">
        <v>285</v>
      </c>
      <c r="C1137" s="120" t="s">
        <v>302</v>
      </c>
      <c r="D1137" s="120" t="s">
        <v>2179</v>
      </c>
      <c r="E1137" s="119" t="s">
        <v>2156</v>
      </c>
      <c r="F1137" s="119" t="str">
        <f t="shared" si="34"/>
        <v>TUN ELLOUMI - 18</v>
      </c>
      <c r="G1137" s="119" t="str">
        <f t="shared" si="35"/>
        <v>TUN18</v>
      </c>
    </row>
    <row r="1138" spans="1:7" ht="15" hidden="1" customHeight="1" x14ac:dyDescent="0.35">
      <c r="A1138" s="119">
        <v>19</v>
      </c>
      <c r="B1138" s="119" t="s">
        <v>285</v>
      </c>
      <c r="C1138" s="120" t="s">
        <v>2180</v>
      </c>
      <c r="D1138" s="120" t="s">
        <v>2181</v>
      </c>
      <c r="E1138" s="119" t="s">
        <v>2156</v>
      </c>
      <c r="F1138" s="119" t="str">
        <f t="shared" si="34"/>
        <v>TUN CHAOUAT - 19</v>
      </c>
      <c r="G1138" s="119" t="str">
        <f t="shared" si="35"/>
        <v>TUN19</v>
      </c>
    </row>
    <row r="1139" spans="1:7" ht="15" hidden="1" customHeight="1" x14ac:dyDescent="0.35">
      <c r="A1139" s="119">
        <v>20</v>
      </c>
      <c r="B1139" s="119" t="s">
        <v>273</v>
      </c>
      <c r="C1139" s="120" t="s">
        <v>827</v>
      </c>
      <c r="D1139" s="120" t="s">
        <v>2182</v>
      </c>
      <c r="E1139" s="119" t="s">
        <v>2156</v>
      </c>
      <c r="F1139" s="119" t="str">
        <f t="shared" si="34"/>
        <v>TUN VALERY - 20</v>
      </c>
      <c r="G1139" s="119" t="str">
        <f t="shared" si="35"/>
        <v>TUN20</v>
      </c>
    </row>
    <row r="1140" spans="1:7" ht="15" hidden="1" customHeight="1" x14ac:dyDescent="0.35">
      <c r="A1140" s="119">
        <v>21</v>
      </c>
      <c r="B1140" s="119" t="s">
        <v>273</v>
      </c>
      <c r="C1140" s="120" t="s">
        <v>278</v>
      </c>
      <c r="D1140" s="120" t="s">
        <v>2183</v>
      </c>
      <c r="E1140" s="119" t="s">
        <v>2156</v>
      </c>
      <c r="F1140" s="119" t="str">
        <f t="shared" si="34"/>
        <v>TUN BEN HMIDA - 21</v>
      </c>
      <c r="G1140" s="119" t="str">
        <f t="shared" si="35"/>
        <v>TUN21</v>
      </c>
    </row>
    <row r="1141" spans="1:7" ht="15" hidden="1" customHeight="1" x14ac:dyDescent="0.35">
      <c r="A1141" s="119">
        <v>22</v>
      </c>
      <c r="B1141" s="119" t="s">
        <v>269</v>
      </c>
      <c r="C1141" s="120" t="s">
        <v>2184</v>
      </c>
      <c r="D1141" s="120" t="s">
        <v>2185</v>
      </c>
      <c r="E1141" s="119" t="s">
        <v>2156</v>
      </c>
      <c r="F1141" s="119" t="str">
        <f t="shared" si="34"/>
        <v>TUN (GK) BEN HESSEN - 22</v>
      </c>
      <c r="G1141" s="119" t="str">
        <f t="shared" si="35"/>
        <v>TUN22</v>
      </c>
    </row>
    <row r="1142" spans="1:7" ht="15" hidden="1" customHeight="1" x14ac:dyDescent="0.35">
      <c r="A1142" s="119">
        <v>23</v>
      </c>
      <c r="B1142" s="119" t="s">
        <v>273</v>
      </c>
      <c r="C1142" s="120" t="s">
        <v>2186</v>
      </c>
      <c r="D1142" s="120" t="s">
        <v>2187</v>
      </c>
      <c r="E1142" s="119" t="s">
        <v>2156</v>
      </c>
      <c r="F1142" s="119" t="str">
        <f t="shared" si="34"/>
        <v>TUN NEFFATI - 23</v>
      </c>
      <c r="G1142" s="119" t="str">
        <f t="shared" si="35"/>
        <v>TUN23</v>
      </c>
    </row>
    <row r="1143" spans="1:7" ht="15" hidden="1" customHeight="1" x14ac:dyDescent="0.35">
      <c r="A1143" s="119">
        <v>24</v>
      </c>
      <c r="B1143" s="119" t="s">
        <v>273</v>
      </c>
      <c r="C1143" s="120" t="s">
        <v>2188</v>
      </c>
      <c r="D1143" s="120" t="s">
        <v>2189</v>
      </c>
      <c r="E1143" s="119" t="s">
        <v>2156</v>
      </c>
      <c r="F1143" s="119" t="str">
        <f t="shared" si="34"/>
        <v>TUN CHIKHAOUI - 24</v>
      </c>
      <c r="G1143" s="119" t="str">
        <f t="shared" si="35"/>
        <v>TUN24</v>
      </c>
    </row>
    <row r="1144" spans="1:7" ht="15" hidden="1" customHeight="1" x14ac:dyDescent="0.35">
      <c r="A1144" s="119">
        <v>25</v>
      </c>
      <c r="B1144" s="119" t="s">
        <v>282</v>
      </c>
      <c r="C1144" s="120" t="s">
        <v>294</v>
      </c>
      <c r="D1144" s="120" t="s">
        <v>2190</v>
      </c>
      <c r="E1144" s="119" t="s">
        <v>2156</v>
      </c>
      <c r="F1144" s="119" t="str">
        <f t="shared" si="34"/>
        <v>TUN SLIMANE - 25</v>
      </c>
      <c r="G1144" s="119" t="str">
        <f t="shared" si="35"/>
        <v>TUN25</v>
      </c>
    </row>
    <row r="1145" spans="1:7" ht="15" hidden="1" customHeight="1" x14ac:dyDescent="0.35">
      <c r="A1145" s="119">
        <v>26</v>
      </c>
      <c r="B1145" s="119" t="s">
        <v>282</v>
      </c>
      <c r="C1145" s="120" t="s">
        <v>2191</v>
      </c>
      <c r="D1145" s="120" t="s">
        <v>2192</v>
      </c>
      <c r="E1145" s="119" t="s">
        <v>2156</v>
      </c>
      <c r="F1145" s="119" t="str">
        <f t="shared" si="34"/>
        <v>TUN TOUNEKTI - 26</v>
      </c>
      <c r="G1145" s="119" t="str">
        <f t="shared" si="35"/>
        <v>TUN26</v>
      </c>
    </row>
    <row r="1146" spans="1:7" ht="15" hidden="1" customHeight="1" x14ac:dyDescent="0.35">
      <c r="A1146" s="121">
        <v>1</v>
      </c>
      <c r="B1146" s="121" t="s">
        <v>269</v>
      </c>
      <c r="C1146" s="122" t="s">
        <v>2193</v>
      </c>
      <c r="D1146" s="122" t="s">
        <v>2194</v>
      </c>
      <c r="E1146" s="121" t="s">
        <v>2195</v>
      </c>
      <c r="F1146" s="121" t="str">
        <f t="shared" si="34"/>
        <v>TUR (GK) GUNOK - 1</v>
      </c>
      <c r="G1146" s="121" t="str">
        <f t="shared" si="35"/>
        <v>TUR1</v>
      </c>
    </row>
    <row r="1147" spans="1:7" ht="15" hidden="1" customHeight="1" x14ac:dyDescent="0.35">
      <c r="A1147" s="121">
        <v>2</v>
      </c>
      <c r="B1147" s="121" t="s">
        <v>273</v>
      </c>
      <c r="C1147" s="122" t="s">
        <v>2148</v>
      </c>
      <c r="D1147" s="122" t="s">
        <v>559</v>
      </c>
      <c r="E1147" s="121" t="s">
        <v>2195</v>
      </c>
      <c r="F1147" s="121" t="str">
        <f t="shared" si="34"/>
        <v>TUR CELIK - 2</v>
      </c>
      <c r="G1147" s="121" t="str">
        <f t="shared" si="35"/>
        <v>TUR2</v>
      </c>
    </row>
    <row r="1148" spans="1:7" ht="15" hidden="1" customHeight="1" x14ac:dyDescent="0.35">
      <c r="A1148" s="121">
        <v>3</v>
      </c>
      <c r="B1148" s="121" t="s">
        <v>273</v>
      </c>
      <c r="C1148" s="122" t="s">
        <v>2196</v>
      </c>
      <c r="D1148" s="122" t="s">
        <v>2197</v>
      </c>
      <c r="E1148" s="121" t="s">
        <v>2195</v>
      </c>
      <c r="F1148" s="121" t="str">
        <f t="shared" si="34"/>
        <v>TUR DEMIRAL - 3</v>
      </c>
      <c r="G1148" s="121" t="str">
        <f t="shared" si="35"/>
        <v>TUR3</v>
      </c>
    </row>
    <row r="1149" spans="1:7" ht="15" hidden="1" customHeight="1" x14ac:dyDescent="0.35">
      <c r="A1149" s="121">
        <v>4</v>
      </c>
      <c r="B1149" s="121" t="s">
        <v>273</v>
      </c>
      <c r="C1149" s="122" t="s">
        <v>2198</v>
      </c>
      <c r="D1149" s="122" t="s">
        <v>2199</v>
      </c>
      <c r="E1149" s="121" t="s">
        <v>2195</v>
      </c>
      <c r="F1149" s="121" t="str">
        <f t="shared" si="34"/>
        <v>TUR SOYUNCU - 4</v>
      </c>
      <c r="G1149" s="121" t="str">
        <f t="shared" si="35"/>
        <v>TUR4</v>
      </c>
    </row>
    <row r="1150" spans="1:7" ht="15" hidden="1" customHeight="1" x14ac:dyDescent="0.35">
      <c r="A1150" s="121">
        <v>5</v>
      </c>
      <c r="B1150" s="121" t="s">
        <v>282</v>
      </c>
      <c r="C1150" s="122" t="s">
        <v>2200</v>
      </c>
      <c r="D1150" s="122" t="s">
        <v>2201</v>
      </c>
      <c r="E1150" s="121" t="s">
        <v>2195</v>
      </c>
      <c r="F1150" s="121" t="str">
        <f t="shared" si="34"/>
        <v>TUR OZCAN - 5</v>
      </c>
      <c r="G1150" s="121" t="str">
        <f t="shared" si="35"/>
        <v>TUR5</v>
      </c>
    </row>
    <row r="1151" spans="1:7" ht="15" hidden="1" customHeight="1" x14ac:dyDescent="0.35">
      <c r="A1151" s="121">
        <v>6</v>
      </c>
      <c r="B1151" s="121" t="s">
        <v>282</v>
      </c>
      <c r="C1151" s="122" t="s">
        <v>2202</v>
      </c>
      <c r="D1151" s="122" t="s">
        <v>2203</v>
      </c>
      <c r="E1151" s="121" t="s">
        <v>2195</v>
      </c>
      <c r="F1151" s="121" t="str">
        <f t="shared" si="34"/>
        <v>TUR KOKCU - 6</v>
      </c>
      <c r="G1151" s="121" t="str">
        <f t="shared" si="35"/>
        <v>TUR6</v>
      </c>
    </row>
    <row r="1152" spans="1:7" ht="15" hidden="1" customHeight="1" x14ac:dyDescent="0.35">
      <c r="A1152" s="121">
        <v>7</v>
      </c>
      <c r="B1152" s="121" t="s">
        <v>285</v>
      </c>
      <c r="C1152" s="122" t="s">
        <v>2204</v>
      </c>
      <c r="D1152" s="122" t="s">
        <v>2205</v>
      </c>
      <c r="E1152" s="121" t="s">
        <v>2195</v>
      </c>
      <c r="F1152" s="121" t="str">
        <f t="shared" si="34"/>
        <v>TUR AKTURKOGLU - 7</v>
      </c>
      <c r="G1152" s="121" t="str">
        <f t="shared" si="35"/>
        <v>TUR7</v>
      </c>
    </row>
    <row r="1153" spans="1:7" ht="15" hidden="1" customHeight="1" x14ac:dyDescent="0.35">
      <c r="A1153" s="121">
        <v>8</v>
      </c>
      <c r="B1153" s="121" t="s">
        <v>285</v>
      </c>
      <c r="C1153" s="122" t="s">
        <v>2206</v>
      </c>
      <c r="D1153" s="122" t="s">
        <v>2207</v>
      </c>
      <c r="E1153" s="121" t="s">
        <v>2195</v>
      </c>
      <c r="F1153" s="121" t="str">
        <f t="shared" si="34"/>
        <v>TUR GULER - 8</v>
      </c>
      <c r="G1153" s="121" t="str">
        <f t="shared" si="35"/>
        <v>TUR8</v>
      </c>
    </row>
    <row r="1154" spans="1:7" ht="15" hidden="1" customHeight="1" x14ac:dyDescent="0.35">
      <c r="A1154" s="121">
        <v>9</v>
      </c>
      <c r="B1154" s="121" t="s">
        <v>285</v>
      </c>
      <c r="C1154" s="122" t="s">
        <v>1193</v>
      </c>
      <c r="D1154" s="122" t="s">
        <v>2208</v>
      </c>
      <c r="E1154" s="121" t="s">
        <v>2195</v>
      </c>
      <c r="F1154" s="121" t="str">
        <f t="shared" si="34"/>
        <v>TUR GUL - 9</v>
      </c>
      <c r="G1154" s="121" t="str">
        <f t="shared" si="35"/>
        <v>TUR9</v>
      </c>
    </row>
    <row r="1155" spans="1:7" ht="15" hidden="1" customHeight="1" x14ac:dyDescent="0.35">
      <c r="A1155" s="121">
        <v>10</v>
      </c>
      <c r="B1155" s="121" t="s">
        <v>282</v>
      </c>
      <c r="C1155" s="122" t="s">
        <v>2209</v>
      </c>
      <c r="D1155" s="122" t="s">
        <v>2210</v>
      </c>
      <c r="E1155" s="121" t="s">
        <v>2195</v>
      </c>
      <c r="F1155" s="121" t="str">
        <f t="shared" ref="F1155:F1218" si="36">IF(B1155="GK", _xlfn.CONCAT(E1155, " ","(",B1155, ") ",D1155, " - ", A1155),  _xlfn.CONCAT(E1155, " ",D1155, " - ", A1155))</f>
        <v>TUR CALHANOGLU - 10</v>
      </c>
      <c r="G1155" s="121" t="str">
        <f t="shared" ref="G1155:G1218" si="37">_xlfn.CONCAT(E1155,A1155)</f>
        <v>TUR10</v>
      </c>
    </row>
    <row r="1156" spans="1:7" ht="15" hidden="1" customHeight="1" x14ac:dyDescent="0.35">
      <c r="A1156" s="121">
        <v>11</v>
      </c>
      <c r="B1156" s="121" t="s">
        <v>285</v>
      </c>
      <c r="C1156" s="122" t="s">
        <v>2211</v>
      </c>
      <c r="D1156" s="122" t="s">
        <v>2212</v>
      </c>
      <c r="E1156" s="121" t="s">
        <v>2195</v>
      </c>
      <c r="F1156" s="121" t="str">
        <f t="shared" si="36"/>
        <v>TUR YILDIZ - 11</v>
      </c>
      <c r="G1156" s="121" t="str">
        <f t="shared" si="37"/>
        <v>TUR11</v>
      </c>
    </row>
    <row r="1157" spans="1:7" ht="15" hidden="1" customHeight="1" x14ac:dyDescent="0.35">
      <c r="A1157" s="121">
        <v>12</v>
      </c>
      <c r="B1157" s="121" t="s">
        <v>269</v>
      </c>
      <c r="C1157" s="122" t="s">
        <v>2213</v>
      </c>
      <c r="D1157" s="122" t="s">
        <v>2214</v>
      </c>
      <c r="E1157" s="121" t="s">
        <v>2195</v>
      </c>
      <c r="F1157" s="121" t="str">
        <f t="shared" si="36"/>
        <v>TUR (GK) BAYINDIR - 12</v>
      </c>
      <c r="G1157" s="121" t="str">
        <f t="shared" si="37"/>
        <v>TUR12</v>
      </c>
    </row>
    <row r="1158" spans="1:7" ht="15" hidden="1" customHeight="1" x14ac:dyDescent="0.35">
      <c r="A1158" s="121">
        <v>13</v>
      </c>
      <c r="B1158" s="121" t="s">
        <v>273</v>
      </c>
      <c r="C1158" s="122" t="s">
        <v>2215</v>
      </c>
      <c r="D1158" s="122" t="s">
        <v>2216</v>
      </c>
      <c r="E1158" s="121" t="s">
        <v>2195</v>
      </c>
      <c r="F1158" s="121" t="str">
        <f t="shared" si="36"/>
        <v>TUR ELMALI - 13</v>
      </c>
      <c r="G1158" s="121" t="str">
        <f t="shared" si="37"/>
        <v>TUR13</v>
      </c>
    </row>
    <row r="1159" spans="1:7" ht="15" hidden="1" customHeight="1" x14ac:dyDescent="0.35">
      <c r="A1159" s="121">
        <v>14</v>
      </c>
      <c r="B1159" s="121" t="s">
        <v>273</v>
      </c>
      <c r="C1159" s="122" t="s">
        <v>2217</v>
      </c>
      <c r="D1159" s="122" t="s">
        <v>2218</v>
      </c>
      <c r="E1159" s="121" t="s">
        <v>2195</v>
      </c>
      <c r="F1159" s="121" t="str">
        <f t="shared" si="36"/>
        <v>TUR BARDAKCI - 14</v>
      </c>
      <c r="G1159" s="121" t="str">
        <f t="shared" si="37"/>
        <v>TUR14</v>
      </c>
    </row>
    <row r="1160" spans="1:7" ht="15" hidden="1" customHeight="1" x14ac:dyDescent="0.35">
      <c r="A1160" s="121">
        <v>15</v>
      </c>
      <c r="B1160" s="121" t="s">
        <v>273</v>
      </c>
      <c r="C1160" s="122" t="s">
        <v>2219</v>
      </c>
      <c r="D1160" s="122" t="s">
        <v>2220</v>
      </c>
      <c r="E1160" s="121" t="s">
        <v>2195</v>
      </c>
      <c r="F1160" s="121" t="str">
        <f t="shared" si="36"/>
        <v>TUR KABAK - 15</v>
      </c>
      <c r="G1160" s="121" t="str">
        <f t="shared" si="37"/>
        <v>TUR15</v>
      </c>
    </row>
    <row r="1161" spans="1:7" ht="15" hidden="1" customHeight="1" x14ac:dyDescent="0.35">
      <c r="A1161" s="121">
        <v>16</v>
      </c>
      <c r="B1161" s="121" t="s">
        <v>282</v>
      </c>
      <c r="C1161" s="122" t="s">
        <v>1978</v>
      </c>
      <c r="D1161" s="122" t="s">
        <v>2221</v>
      </c>
      <c r="E1161" s="121" t="s">
        <v>2195</v>
      </c>
      <c r="F1161" s="121" t="str">
        <f t="shared" si="36"/>
        <v>TUR YUKSEK - 16</v>
      </c>
      <c r="G1161" s="121" t="str">
        <f t="shared" si="37"/>
        <v>TUR16</v>
      </c>
    </row>
    <row r="1162" spans="1:7" ht="15" hidden="1" customHeight="1" x14ac:dyDescent="0.35">
      <c r="A1162" s="121">
        <v>17</v>
      </c>
      <c r="B1162" s="121" t="s">
        <v>285</v>
      </c>
      <c r="C1162" s="122" t="s">
        <v>2222</v>
      </c>
      <c r="D1162" s="122" t="s">
        <v>2223</v>
      </c>
      <c r="E1162" s="121" t="s">
        <v>2195</v>
      </c>
      <c r="F1162" s="121" t="str">
        <f t="shared" si="36"/>
        <v>TUR KAHVECI - 17</v>
      </c>
      <c r="G1162" s="121" t="str">
        <f t="shared" si="37"/>
        <v>TUR17</v>
      </c>
    </row>
    <row r="1163" spans="1:7" ht="15" hidden="1" customHeight="1" x14ac:dyDescent="0.35">
      <c r="A1163" s="121">
        <v>18</v>
      </c>
      <c r="B1163" s="121" t="s">
        <v>273</v>
      </c>
      <c r="C1163" s="122" t="s">
        <v>2193</v>
      </c>
      <c r="D1163" s="122" t="s">
        <v>2224</v>
      </c>
      <c r="E1163" s="121" t="s">
        <v>2195</v>
      </c>
      <c r="F1163" s="121" t="str">
        <f t="shared" si="36"/>
        <v>TUR MULDUR - 18</v>
      </c>
      <c r="G1163" s="121" t="str">
        <f t="shared" si="37"/>
        <v>TUR18</v>
      </c>
    </row>
    <row r="1164" spans="1:7" ht="15" hidden="1" customHeight="1" x14ac:dyDescent="0.35">
      <c r="A1164" s="121">
        <v>19</v>
      </c>
      <c r="B1164" s="121" t="s">
        <v>285</v>
      </c>
      <c r="C1164" s="122" t="s">
        <v>2225</v>
      </c>
      <c r="D1164" s="122" t="s">
        <v>2226</v>
      </c>
      <c r="E1164" s="121" t="s">
        <v>2195</v>
      </c>
      <c r="F1164" s="121" t="str">
        <f t="shared" si="36"/>
        <v>TUR AKGUN - 19</v>
      </c>
      <c r="G1164" s="121" t="str">
        <f t="shared" si="37"/>
        <v>TUR19</v>
      </c>
    </row>
    <row r="1165" spans="1:7" ht="15" hidden="1" customHeight="1" x14ac:dyDescent="0.35">
      <c r="A1165" s="121">
        <v>20</v>
      </c>
      <c r="B1165" s="121" t="s">
        <v>273</v>
      </c>
      <c r="C1165" s="122" t="s">
        <v>2227</v>
      </c>
      <c r="D1165" s="122" t="s">
        <v>2228</v>
      </c>
      <c r="E1165" s="121" t="s">
        <v>2195</v>
      </c>
      <c r="F1165" s="121" t="str">
        <f t="shared" si="36"/>
        <v>TUR KADIOGLU - 20</v>
      </c>
      <c r="G1165" s="121" t="str">
        <f t="shared" si="37"/>
        <v>TUR20</v>
      </c>
    </row>
    <row r="1166" spans="1:7" ht="15" hidden="1" customHeight="1" x14ac:dyDescent="0.35">
      <c r="A1166" s="121">
        <v>21</v>
      </c>
      <c r="B1166" s="121" t="s">
        <v>285</v>
      </c>
      <c r="C1166" s="122" t="s">
        <v>2229</v>
      </c>
      <c r="D1166" s="122" t="s">
        <v>2230</v>
      </c>
      <c r="E1166" s="121" t="s">
        <v>2195</v>
      </c>
      <c r="F1166" s="121" t="str">
        <f t="shared" si="36"/>
        <v>TUR YILMAZ - 21</v>
      </c>
      <c r="G1166" s="121" t="str">
        <f t="shared" si="37"/>
        <v>TUR21</v>
      </c>
    </row>
    <row r="1167" spans="1:7" ht="15" hidden="1" customHeight="1" x14ac:dyDescent="0.35">
      <c r="A1167" s="121">
        <v>22</v>
      </c>
      <c r="B1167" s="121" t="s">
        <v>282</v>
      </c>
      <c r="C1167" s="122" t="s">
        <v>2231</v>
      </c>
      <c r="D1167" s="122" t="s">
        <v>2232</v>
      </c>
      <c r="E1167" s="121" t="s">
        <v>2195</v>
      </c>
      <c r="F1167" s="121" t="str">
        <f t="shared" si="36"/>
        <v>TUR AYHAN - 22</v>
      </c>
      <c r="G1167" s="121" t="str">
        <f t="shared" si="37"/>
        <v>TUR22</v>
      </c>
    </row>
    <row r="1168" spans="1:7" ht="15" hidden="1" customHeight="1" x14ac:dyDescent="0.35">
      <c r="A1168" s="121">
        <v>23</v>
      </c>
      <c r="B1168" s="121" t="s">
        <v>269</v>
      </c>
      <c r="C1168" s="122" t="s">
        <v>2233</v>
      </c>
      <c r="D1168" s="122" t="s">
        <v>2234</v>
      </c>
      <c r="E1168" s="121" t="s">
        <v>2195</v>
      </c>
      <c r="F1168" s="121" t="str">
        <f t="shared" si="36"/>
        <v>TUR (GK) CAKIR - 23</v>
      </c>
      <c r="G1168" s="121" t="str">
        <f t="shared" si="37"/>
        <v>TUR23</v>
      </c>
    </row>
    <row r="1169" spans="1:7" ht="15" hidden="1" customHeight="1" x14ac:dyDescent="0.35">
      <c r="A1169" s="121">
        <v>24</v>
      </c>
      <c r="B1169" s="121" t="s">
        <v>285</v>
      </c>
      <c r="C1169" s="122" t="s">
        <v>2235</v>
      </c>
      <c r="D1169" s="122" t="s">
        <v>2236</v>
      </c>
      <c r="E1169" s="121" t="s">
        <v>2195</v>
      </c>
      <c r="F1169" s="121" t="str">
        <f t="shared" si="36"/>
        <v>TUR AYDIN - 24</v>
      </c>
      <c r="G1169" s="121" t="str">
        <f t="shared" si="37"/>
        <v>TUR24</v>
      </c>
    </row>
    <row r="1170" spans="1:7" ht="15" hidden="1" customHeight="1" x14ac:dyDescent="0.35">
      <c r="A1170" s="121">
        <v>25</v>
      </c>
      <c r="B1170" s="121" t="s">
        <v>273</v>
      </c>
      <c r="C1170" s="122" t="s">
        <v>2237</v>
      </c>
      <c r="D1170" s="122" t="s">
        <v>2238</v>
      </c>
      <c r="E1170" s="121" t="s">
        <v>2195</v>
      </c>
      <c r="F1170" s="121" t="str">
        <f t="shared" si="36"/>
        <v>TUR AKAYDIN - 25</v>
      </c>
      <c r="G1170" s="121" t="str">
        <f t="shared" si="37"/>
        <v>TUR25</v>
      </c>
    </row>
    <row r="1171" spans="1:7" ht="15" hidden="1" customHeight="1" x14ac:dyDescent="0.35">
      <c r="A1171" s="121">
        <v>26</v>
      </c>
      <c r="B1171" s="121" t="s">
        <v>285</v>
      </c>
      <c r="C1171" s="122" t="s">
        <v>2239</v>
      </c>
      <c r="D1171" s="122" t="s">
        <v>2240</v>
      </c>
      <c r="E1171" s="121" t="s">
        <v>2195</v>
      </c>
      <c r="F1171" s="121" t="str">
        <f t="shared" si="36"/>
        <v>TUR UZUN - 26</v>
      </c>
      <c r="G1171" s="121" t="str">
        <f t="shared" si="37"/>
        <v>TUR26</v>
      </c>
    </row>
    <row r="1172" spans="1:7" ht="15" hidden="1" customHeight="1" x14ac:dyDescent="0.35">
      <c r="A1172" s="123">
        <v>1</v>
      </c>
      <c r="B1172" s="123" t="s">
        <v>269</v>
      </c>
      <c r="C1172" s="124" t="s">
        <v>2241</v>
      </c>
      <c r="D1172" s="124" t="s">
        <v>2242</v>
      </c>
      <c r="E1172" s="123" t="s">
        <v>2243</v>
      </c>
      <c r="F1172" s="123" t="str">
        <f t="shared" si="36"/>
        <v>URY (GK) ROCHET - 1</v>
      </c>
      <c r="G1172" s="123" t="str">
        <f t="shared" si="37"/>
        <v>URY1</v>
      </c>
    </row>
    <row r="1173" spans="1:7" ht="15" hidden="1" customHeight="1" x14ac:dyDescent="0.35">
      <c r="A1173" s="123">
        <v>2</v>
      </c>
      <c r="B1173" s="123" t="s">
        <v>273</v>
      </c>
      <c r="C1173" s="124" t="s">
        <v>2244</v>
      </c>
      <c r="D1173" s="124" t="s">
        <v>1521</v>
      </c>
      <c r="E1173" s="123" t="s">
        <v>2243</v>
      </c>
      <c r="F1173" s="123" t="str">
        <f t="shared" si="36"/>
        <v>URY GIMENEZ - 2</v>
      </c>
      <c r="G1173" s="123" t="str">
        <f t="shared" si="37"/>
        <v>URY2</v>
      </c>
    </row>
    <row r="1174" spans="1:7" ht="15" hidden="1" customHeight="1" x14ac:dyDescent="0.35">
      <c r="A1174" s="123">
        <v>3</v>
      </c>
      <c r="B1174" s="123" t="s">
        <v>273</v>
      </c>
      <c r="C1174" s="124" t="s">
        <v>2191</v>
      </c>
      <c r="D1174" s="124" t="s">
        <v>1766</v>
      </c>
      <c r="E1174" s="123" t="s">
        <v>2243</v>
      </c>
      <c r="F1174" s="123" t="str">
        <f t="shared" si="36"/>
        <v>URY CACERES - 3</v>
      </c>
      <c r="G1174" s="123" t="str">
        <f t="shared" si="37"/>
        <v>URY3</v>
      </c>
    </row>
    <row r="1175" spans="1:7" ht="15" hidden="1" customHeight="1" x14ac:dyDescent="0.35">
      <c r="A1175" s="123">
        <v>4</v>
      </c>
      <c r="B1175" s="123" t="s">
        <v>273</v>
      </c>
      <c r="C1175" s="124" t="s">
        <v>2245</v>
      </c>
      <c r="D1175" s="124" t="s">
        <v>1805</v>
      </c>
      <c r="E1175" s="123" t="s">
        <v>2243</v>
      </c>
      <c r="F1175" s="123" t="str">
        <f t="shared" si="36"/>
        <v>URY ARAUJO - 4</v>
      </c>
      <c r="G1175" s="123" t="str">
        <f t="shared" si="37"/>
        <v>URY4</v>
      </c>
    </row>
    <row r="1176" spans="1:7" ht="15" hidden="1" customHeight="1" x14ac:dyDescent="0.35">
      <c r="A1176" s="123">
        <v>5</v>
      </c>
      <c r="B1176" s="123" t="s">
        <v>282</v>
      </c>
      <c r="C1176" s="124" t="s">
        <v>1151</v>
      </c>
      <c r="D1176" s="124" t="s">
        <v>2246</v>
      </c>
      <c r="E1176" s="123" t="s">
        <v>2243</v>
      </c>
      <c r="F1176" s="123" t="str">
        <f t="shared" si="36"/>
        <v>URY UGARTE - 5</v>
      </c>
      <c r="G1176" s="123" t="str">
        <f t="shared" si="37"/>
        <v>URY5</v>
      </c>
    </row>
    <row r="1177" spans="1:7" ht="15" hidden="1" customHeight="1" x14ac:dyDescent="0.35">
      <c r="A1177" s="123">
        <v>6</v>
      </c>
      <c r="B1177" s="123" t="s">
        <v>282</v>
      </c>
      <c r="C1177" s="124" t="s">
        <v>338</v>
      </c>
      <c r="D1177" s="124" t="s">
        <v>2247</v>
      </c>
      <c r="E1177" s="123" t="s">
        <v>2243</v>
      </c>
      <c r="F1177" s="123" t="str">
        <f t="shared" si="36"/>
        <v>URY BENTANCUR - 6</v>
      </c>
      <c r="G1177" s="123" t="str">
        <f t="shared" si="37"/>
        <v>URY6</v>
      </c>
    </row>
    <row r="1178" spans="1:7" ht="15" hidden="1" customHeight="1" x14ac:dyDescent="0.35">
      <c r="A1178" s="123">
        <v>7</v>
      </c>
      <c r="B1178" s="123" t="s">
        <v>282</v>
      </c>
      <c r="C1178" s="124" t="s">
        <v>330</v>
      </c>
      <c r="D1178" s="124" t="s">
        <v>2248</v>
      </c>
      <c r="E1178" s="123" t="s">
        <v>2243</v>
      </c>
      <c r="F1178" s="123" t="str">
        <f t="shared" si="36"/>
        <v>URY DE LA CRUZ - 7</v>
      </c>
      <c r="G1178" s="123" t="str">
        <f t="shared" si="37"/>
        <v>URY7</v>
      </c>
    </row>
    <row r="1179" spans="1:7" ht="15" hidden="1" customHeight="1" x14ac:dyDescent="0.35">
      <c r="A1179" s="123">
        <v>8</v>
      </c>
      <c r="B1179" s="123" t="s">
        <v>282</v>
      </c>
      <c r="C1179" s="124" t="s">
        <v>2249</v>
      </c>
      <c r="D1179" s="124" t="s">
        <v>2250</v>
      </c>
      <c r="E1179" s="123" t="s">
        <v>2243</v>
      </c>
      <c r="F1179" s="123" t="str">
        <f t="shared" si="36"/>
        <v>URY VALVERDE - 8</v>
      </c>
      <c r="G1179" s="123" t="str">
        <f t="shared" si="37"/>
        <v>URY8</v>
      </c>
    </row>
    <row r="1180" spans="1:7" ht="15" hidden="1" customHeight="1" x14ac:dyDescent="0.35">
      <c r="A1180" s="123">
        <v>9</v>
      </c>
      <c r="B1180" s="123" t="s">
        <v>285</v>
      </c>
      <c r="C1180" s="124" t="s">
        <v>2251</v>
      </c>
      <c r="D1180" s="124" t="s">
        <v>2252</v>
      </c>
      <c r="E1180" s="123" t="s">
        <v>2243</v>
      </c>
      <c r="F1180" s="123" t="str">
        <f t="shared" si="36"/>
        <v>URY NUNEZ - 9</v>
      </c>
      <c r="G1180" s="123" t="str">
        <f t="shared" si="37"/>
        <v>URY9</v>
      </c>
    </row>
    <row r="1181" spans="1:7" ht="15" hidden="1" customHeight="1" x14ac:dyDescent="0.35">
      <c r="A1181" s="123">
        <v>10</v>
      </c>
      <c r="B1181" s="123" t="s">
        <v>282</v>
      </c>
      <c r="C1181" s="124" t="s">
        <v>2253</v>
      </c>
      <c r="D1181" s="124" t="s">
        <v>2254</v>
      </c>
      <c r="E1181" s="123" t="s">
        <v>2243</v>
      </c>
      <c r="F1181" s="123" t="str">
        <f t="shared" si="36"/>
        <v>URY DE ARRASCAETA - 10</v>
      </c>
      <c r="G1181" s="123" t="str">
        <f t="shared" si="37"/>
        <v>URY10</v>
      </c>
    </row>
    <row r="1182" spans="1:7" ht="15" hidden="1" customHeight="1" x14ac:dyDescent="0.35">
      <c r="A1182" s="123">
        <v>11</v>
      </c>
      <c r="B1182" s="123" t="s">
        <v>285</v>
      </c>
      <c r="C1182" s="124" t="s">
        <v>370</v>
      </c>
      <c r="D1182" s="124" t="s">
        <v>2255</v>
      </c>
      <c r="E1182" s="123" t="s">
        <v>2243</v>
      </c>
      <c r="F1182" s="123" t="str">
        <f t="shared" si="36"/>
        <v>URY PELLISTRI - 11</v>
      </c>
      <c r="G1182" s="123" t="str">
        <f t="shared" si="37"/>
        <v>URY11</v>
      </c>
    </row>
    <row r="1183" spans="1:7" ht="15" hidden="1" customHeight="1" x14ac:dyDescent="0.35">
      <c r="A1183" s="123">
        <v>12</v>
      </c>
      <c r="B1183" s="123" t="s">
        <v>269</v>
      </c>
      <c r="C1183" s="124" t="s">
        <v>723</v>
      </c>
      <c r="D1183" s="124" t="s">
        <v>2256</v>
      </c>
      <c r="E1183" s="123" t="s">
        <v>2243</v>
      </c>
      <c r="F1183" s="123" t="str">
        <f t="shared" si="36"/>
        <v>URY (GK) MELE - 12</v>
      </c>
      <c r="G1183" s="123" t="str">
        <f t="shared" si="37"/>
        <v>URY12</v>
      </c>
    </row>
    <row r="1184" spans="1:7" ht="15" hidden="1" customHeight="1" x14ac:dyDescent="0.35">
      <c r="A1184" s="123">
        <v>13</v>
      </c>
      <c r="B1184" s="123" t="s">
        <v>273</v>
      </c>
      <c r="C1184" s="124" t="s">
        <v>1524</v>
      </c>
      <c r="D1184" s="124" t="s">
        <v>2257</v>
      </c>
      <c r="E1184" s="123" t="s">
        <v>2243</v>
      </c>
      <c r="F1184" s="123" t="str">
        <f t="shared" si="36"/>
        <v>URY VARELA - 13</v>
      </c>
      <c r="G1184" s="123" t="str">
        <f t="shared" si="37"/>
        <v>URY13</v>
      </c>
    </row>
    <row r="1185" spans="1:7" ht="15" hidden="1" customHeight="1" x14ac:dyDescent="0.35">
      <c r="A1185" s="123">
        <v>14</v>
      </c>
      <c r="B1185" s="123" t="s">
        <v>282</v>
      </c>
      <c r="C1185" s="124" t="s">
        <v>2258</v>
      </c>
      <c r="D1185" s="124" t="s">
        <v>2259</v>
      </c>
      <c r="E1185" s="123" t="s">
        <v>2243</v>
      </c>
      <c r="F1185" s="123" t="str">
        <f t="shared" si="36"/>
        <v>URY CANOBBIO - 14</v>
      </c>
      <c r="G1185" s="123" t="str">
        <f t="shared" si="37"/>
        <v>URY14</v>
      </c>
    </row>
    <row r="1186" spans="1:7" ht="15" hidden="1" customHeight="1" x14ac:dyDescent="0.35">
      <c r="A1186" s="123">
        <v>15</v>
      </c>
      <c r="B1186" s="123" t="s">
        <v>282</v>
      </c>
      <c r="C1186" s="124" t="s">
        <v>367</v>
      </c>
      <c r="D1186" s="124" t="s">
        <v>337</v>
      </c>
      <c r="E1186" s="123" t="s">
        <v>2243</v>
      </c>
      <c r="F1186" s="123" t="str">
        <f t="shared" si="36"/>
        <v>URY MARTINEZ - 15</v>
      </c>
      <c r="G1186" s="123" t="str">
        <f t="shared" si="37"/>
        <v>URY15</v>
      </c>
    </row>
    <row r="1187" spans="1:7" ht="15" hidden="1" customHeight="1" x14ac:dyDescent="0.35">
      <c r="A1187" s="123">
        <v>16</v>
      </c>
      <c r="B1187" s="123" t="s">
        <v>273</v>
      </c>
      <c r="C1187" s="124" t="s">
        <v>2260</v>
      </c>
      <c r="D1187" s="124" t="s">
        <v>2261</v>
      </c>
      <c r="E1187" s="123" t="s">
        <v>2243</v>
      </c>
      <c r="F1187" s="123" t="str">
        <f t="shared" si="36"/>
        <v>URY OLIVERA - 16</v>
      </c>
      <c r="G1187" s="123" t="str">
        <f t="shared" si="37"/>
        <v>URY16</v>
      </c>
    </row>
    <row r="1188" spans="1:7" ht="15" hidden="1" customHeight="1" x14ac:dyDescent="0.35">
      <c r="A1188" s="123">
        <v>17</v>
      </c>
      <c r="B1188" s="123" t="s">
        <v>273</v>
      </c>
      <c r="C1188" s="124" t="s">
        <v>512</v>
      </c>
      <c r="D1188" s="124" t="s">
        <v>2262</v>
      </c>
      <c r="E1188" s="123" t="s">
        <v>2243</v>
      </c>
      <c r="F1188" s="123" t="str">
        <f t="shared" si="36"/>
        <v>URY VINA - 17</v>
      </c>
      <c r="G1188" s="123" t="str">
        <f t="shared" si="37"/>
        <v>URY17</v>
      </c>
    </row>
    <row r="1189" spans="1:7" ht="15" hidden="1" customHeight="1" x14ac:dyDescent="0.35">
      <c r="A1189" s="123">
        <v>18</v>
      </c>
      <c r="B1189" s="123" t="s">
        <v>285</v>
      </c>
      <c r="C1189" s="124" t="s">
        <v>777</v>
      </c>
      <c r="D1189" s="124" t="s">
        <v>734</v>
      </c>
      <c r="E1189" s="123" t="s">
        <v>2243</v>
      </c>
      <c r="F1189" s="123" t="str">
        <f t="shared" si="36"/>
        <v>URY RODRIGUEZ - 18</v>
      </c>
      <c r="G1189" s="123" t="str">
        <f t="shared" si="37"/>
        <v>URY18</v>
      </c>
    </row>
    <row r="1190" spans="1:7" ht="15" hidden="1" customHeight="1" x14ac:dyDescent="0.35">
      <c r="A1190" s="123">
        <v>19</v>
      </c>
      <c r="B1190" s="123" t="s">
        <v>285</v>
      </c>
      <c r="C1190" s="124" t="s">
        <v>338</v>
      </c>
      <c r="D1190" s="124" t="s">
        <v>2263</v>
      </c>
      <c r="E1190" s="123" t="s">
        <v>2243</v>
      </c>
      <c r="F1190" s="123" t="str">
        <f t="shared" si="36"/>
        <v>URY AGUIRRE - 19</v>
      </c>
      <c r="G1190" s="123" t="str">
        <f t="shared" si="37"/>
        <v>URY19</v>
      </c>
    </row>
    <row r="1191" spans="1:7" ht="15" hidden="1" customHeight="1" x14ac:dyDescent="0.35">
      <c r="A1191" s="123">
        <v>20</v>
      </c>
      <c r="B1191" s="123" t="s">
        <v>282</v>
      </c>
      <c r="C1191" s="124" t="s">
        <v>2264</v>
      </c>
      <c r="D1191" s="124" t="s">
        <v>1805</v>
      </c>
      <c r="E1191" s="123" t="s">
        <v>2243</v>
      </c>
      <c r="F1191" s="123" t="str">
        <f t="shared" si="36"/>
        <v>URY ARAUJO - 20</v>
      </c>
      <c r="G1191" s="123" t="str">
        <f t="shared" si="37"/>
        <v>URY20</v>
      </c>
    </row>
    <row r="1192" spans="1:7" ht="15" hidden="1" customHeight="1" x14ac:dyDescent="0.35">
      <c r="A1192" s="123">
        <v>21</v>
      </c>
      <c r="B1192" s="123" t="s">
        <v>285</v>
      </c>
      <c r="C1192" s="124" t="s">
        <v>2249</v>
      </c>
      <c r="D1192" s="124" t="s">
        <v>2265</v>
      </c>
      <c r="E1192" s="123" t="s">
        <v>2243</v>
      </c>
      <c r="F1192" s="123" t="str">
        <f t="shared" si="36"/>
        <v>URY VINAS - 21</v>
      </c>
      <c r="G1192" s="123" t="str">
        <f t="shared" si="37"/>
        <v>URY21</v>
      </c>
    </row>
    <row r="1193" spans="1:7" ht="15" hidden="1" customHeight="1" x14ac:dyDescent="0.35">
      <c r="A1193" s="123">
        <v>22</v>
      </c>
      <c r="B1193" s="123" t="s">
        <v>282</v>
      </c>
      <c r="C1193" s="124" t="s">
        <v>498</v>
      </c>
      <c r="D1193" s="124" t="s">
        <v>2266</v>
      </c>
      <c r="E1193" s="123" t="s">
        <v>2243</v>
      </c>
      <c r="F1193" s="123" t="str">
        <f t="shared" si="36"/>
        <v>URY PIQUEREZ - 22</v>
      </c>
      <c r="G1193" s="123" t="str">
        <f t="shared" si="37"/>
        <v>URY22</v>
      </c>
    </row>
    <row r="1194" spans="1:7" ht="15" hidden="1" customHeight="1" x14ac:dyDescent="0.35">
      <c r="A1194" s="123">
        <v>23</v>
      </c>
      <c r="B1194" s="123" t="s">
        <v>269</v>
      </c>
      <c r="C1194" s="124" t="s">
        <v>2267</v>
      </c>
      <c r="D1194" s="124" t="s">
        <v>2268</v>
      </c>
      <c r="E1194" s="123" t="s">
        <v>2243</v>
      </c>
      <c r="F1194" s="123" t="str">
        <f t="shared" si="36"/>
        <v>URY (GK) MUSLERA - 23</v>
      </c>
      <c r="G1194" s="123" t="str">
        <f t="shared" si="37"/>
        <v>URY23</v>
      </c>
    </row>
    <row r="1195" spans="1:7" ht="15" hidden="1" customHeight="1" x14ac:dyDescent="0.35">
      <c r="A1195" s="123">
        <v>24</v>
      </c>
      <c r="B1195" s="123" t="s">
        <v>273</v>
      </c>
      <c r="C1195" s="124" t="s">
        <v>723</v>
      </c>
      <c r="D1195" s="124" t="s">
        <v>2269</v>
      </c>
      <c r="E1195" s="123" t="s">
        <v>2243</v>
      </c>
      <c r="F1195" s="123" t="str">
        <f t="shared" si="36"/>
        <v>URY BUENO - 24</v>
      </c>
      <c r="G1195" s="123" t="str">
        <f t="shared" si="37"/>
        <v>URY24</v>
      </c>
    </row>
    <row r="1196" spans="1:7" ht="15" hidden="1" customHeight="1" x14ac:dyDescent="0.35">
      <c r="A1196" s="123">
        <v>25</v>
      </c>
      <c r="B1196" s="123" t="s">
        <v>282</v>
      </c>
      <c r="C1196" s="124" t="s">
        <v>2270</v>
      </c>
      <c r="D1196" s="124" t="s">
        <v>1773</v>
      </c>
      <c r="E1196" s="123" t="s">
        <v>2243</v>
      </c>
      <c r="F1196" s="123" t="str">
        <f t="shared" si="36"/>
        <v>URY SANABRIA - 25</v>
      </c>
      <c r="G1196" s="123" t="str">
        <f t="shared" si="37"/>
        <v>URY25</v>
      </c>
    </row>
    <row r="1197" spans="1:7" ht="15" hidden="1" customHeight="1" x14ac:dyDescent="0.35">
      <c r="A1197" s="123">
        <v>26</v>
      </c>
      <c r="B1197" s="123" t="s">
        <v>282</v>
      </c>
      <c r="C1197" s="124" t="s">
        <v>338</v>
      </c>
      <c r="D1197" s="124" t="s">
        <v>2271</v>
      </c>
      <c r="E1197" s="123" t="s">
        <v>2243</v>
      </c>
      <c r="F1197" s="123" t="str">
        <f t="shared" si="36"/>
        <v>URY ZALAZAR - 26</v>
      </c>
      <c r="G1197" s="123" t="str">
        <f t="shared" si="37"/>
        <v>URY26</v>
      </c>
    </row>
    <row r="1198" spans="1:7" ht="15" customHeight="1" x14ac:dyDescent="0.35">
      <c r="A1198" s="75">
        <v>1</v>
      </c>
      <c r="B1198" s="75" t="s">
        <v>269</v>
      </c>
      <c r="C1198" s="76" t="s">
        <v>2272</v>
      </c>
      <c r="D1198" s="76" t="s">
        <v>2273</v>
      </c>
      <c r="E1198" s="75" t="s">
        <v>2274</v>
      </c>
      <c r="F1198" s="75" t="str">
        <f t="shared" si="36"/>
        <v>USA (GK) TURNER - 1</v>
      </c>
      <c r="G1198" s="75" t="str">
        <f t="shared" si="37"/>
        <v>USA1</v>
      </c>
    </row>
    <row r="1199" spans="1:7" ht="15" customHeight="1" x14ac:dyDescent="0.35">
      <c r="A1199" s="75">
        <v>2</v>
      </c>
      <c r="B1199" s="75" t="s">
        <v>273</v>
      </c>
      <c r="C1199" s="76" t="s">
        <v>2275</v>
      </c>
      <c r="D1199" s="76" t="s">
        <v>2276</v>
      </c>
      <c r="E1199" s="75" t="s">
        <v>2274</v>
      </c>
      <c r="F1199" s="75" t="str">
        <f t="shared" si="36"/>
        <v>USA DEST - 2</v>
      </c>
      <c r="G1199" s="75" t="str">
        <f t="shared" si="37"/>
        <v>USA2</v>
      </c>
    </row>
    <row r="1200" spans="1:7" ht="15" customHeight="1" x14ac:dyDescent="0.35">
      <c r="A1200" s="75">
        <v>3</v>
      </c>
      <c r="B1200" s="75" t="s">
        <v>273</v>
      </c>
      <c r="C1200" s="76" t="s">
        <v>1650</v>
      </c>
      <c r="D1200" s="76" t="s">
        <v>2277</v>
      </c>
      <c r="E1200" s="75" t="s">
        <v>2274</v>
      </c>
      <c r="F1200" s="75" t="str">
        <f t="shared" si="36"/>
        <v>USA RICHARDS - 3</v>
      </c>
      <c r="G1200" s="75" t="str">
        <f t="shared" si="37"/>
        <v>USA3</v>
      </c>
    </row>
    <row r="1201" spans="1:7" ht="15" customHeight="1" x14ac:dyDescent="0.35">
      <c r="A1201" s="75">
        <v>4</v>
      </c>
      <c r="B1201" s="75" t="s">
        <v>282</v>
      </c>
      <c r="C1201" s="76" t="s">
        <v>1642</v>
      </c>
      <c r="D1201" s="76" t="s">
        <v>1930</v>
      </c>
      <c r="E1201" s="75" t="s">
        <v>2274</v>
      </c>
      <c r="F1201" s="75" t="str">
        <f t="shared" si="36"/>
        <v>USA ADAMS - 4</v>
      </c>
      <c r="G1201" s="75" t="str">
        <f t="shared" si="37"/>
        <v>USA4</v>
      </c>
    </row>
    <row r="1202" spans="1:7" ht="15" customHeight="1" x14ac:dyDescent="0.35">
      <c r="A1202" s="75">
        <v>5</v>
      </c>
      <c r="B1202" s="75" t="s">
        <v>273</v>
      </c>
      <c r="C1202" s="76" t="s">
        <v>2278</v>
      </c>
      <c r="D1202" s="76" t="s">
        <v>2279</v>
      </c>
      <c r="E1202" s="75" t="s">
        <v>2274</v>
      </c>
      <c r="F1202" s="75" t="str">
        <f t="shared" si="36"/>
        <v>USA ROBINSON - 5</v>
      </c>
      <c r="G1202" s="75" t="str">
        <f t="shared" si="37"/>
        <v>USA5</v>
      </c>
    </row>
    <row r="1203" spans="1:7" ht="15" customHeight="1" x14ac:dyDescent="0.35">
      <c r="A1203" s="75">
        <v>6</v>
      </c>
      <c r="B1203" s="75" t="s">
        <v>273</v>
      </c>
      <c r="C1203" s="76" t="s">
        <v>2280</v>
      </c>
      <c r="D1203" s="76" t="s">
        <v>2281</v>
      </c>
      <c r="E1203" s="75" t="s">
        <v>2274</v>
      </c>
      <c r="F1203" s="75" t="str">
        <f t="shared" si="36"/>
        <v>USA TRUSTY - 6</v>
      </c>
      <c r="G1203" s="75" t="str">
        <f t="shared" si="37"/>
        <v>USA6</v>
      </c>
    </row>
    <row r="1204" spans="1:7" ht="15" customHeight="1" x14ac:dyDescent="0.35">
      <c r="A1204" s="75">
        <v>7</v>
      </c>
      <c r="B1204" s="75" t="s">
        <v>282</v>
      </c>
      <c r="C1204" s="76" t="s">
        <v>2282</v>
      </c>
      <c r="D1204" s="76" t="s">
        <v>2283</v>
      </c>
      <c r="E1204" s="75" t="s">
        <v>2274</v>
      </c>
      <c r="F1204" s="75" t="str">
        <f t="shared" si="36"/>
        <v>USA REYNA - 7</v>
      </c>
      <c r="G1204" s="75" t="str">
        <f t="shared" si="37"/>
        <v>USA7</v>
      </c>
    </row>
    <row r="1205" spans="1:7" ht="15" customHeight="1" x14ac:dyDescent="0.35">
      <c r="A1205" s="75">
        <v>8</v>
      </c>
      <c r="B1205" s="75" t="s">
        <v>282</v>
      </c>
      <c r="C1205" s="76" t="s">
        <v>2284</v>
      </c>
      <c r="D1205" s="76" t="s">
        <v>2285</v>
      </c>
      <c r="E1205" s="75" t="s">
        <v>2274</v>
      </c>
      <c r="F1205" s="75" t="str">
        <f t="shared" si="36"/>
        <v>USA McKENNIE - 8</v>
      </c>
      <c r="G1205" s="75" t="str">
        <f t="shared" si="37"/>
        <v>USA8</v>
      </c>
    </row>
    <row r="1206" spans="1:7" ht="15" customHeight="1" x14ac:dyDescent="0.35">
      <c r="A1206" s="75">
        <v>9</v>
      </c>
      <c r="B1206" s="75" t="s">
        <v>285</v>
      </c>
      <c r="C1206" s="76" t="s">
        <v>1251</v>
      </c>
      <c r="D1206" s="76" t="s">
        <v>2286</v>
      </c>
      <c r="E1206" s="75" t="s">
        <v>2274</v>
      </c>
      <c r="F1206" s="75" t="str">
        <f t="shared" si="36"/>
        <v>USA PEPI - 9</v>
      </c>
      <c r="G1206" s="75" t="str">
        <f t="shared" si="37"/>
        <v>USA9</v>
      </c>
    </row>
    <row r="1207" spans="1:7" ht="15" customHeight="1" x14ac:dyDescent="0.35">
      <c r="A1207" s="75">
        <v>10</v>
      </c>
      <c r="B1207" s="75" t="s">
        <v>285</v>
      </c>
      <c r="C1207" s="76" t="s">
        <v>2139</v>
      </c>
      <c r="D1207" s="76" t="s">
        <v>2287</v>
      </c>
      <c r="E1207" s="75" t="s">
        <v>2274</v>
      </c>
      <c r="F1207" s="75" t="str">
        <f t="shared" si="36"/>
        <v>USA PULISIC - 10</v>
      </c>
      <c r="G1207" s="75" t="str">
        <f t="shared" si="37"/>
        <v>USA10</v>
      </c>
    </row>
    <row r="1208" spans="1:7" ht="15" customHeight="1" x14ac:dyDescent="0.35">
      <c r="A1208" s="75">
        <v>11</v>
      </c>
      <c r="B1208" s="75" t="s">
        <v>285</v>
      </c>
      <c r="C1208" s="76" t="s">
        <v>2288</v>
      </c>
      <c r="D1208" s="76" t="s">
        <v>2289</v>
      </c>
      <c r="E1208" s="75" t="s">
        <v>2274</v>
      </c>
      <c r="F1208" s="75" t="str">
        <f t="shared" si="36"/>
        <v>USA AARONSON - 11</v>
      </c>
      <c r="G1208" s="75" t="str">
        <f t="shared" si="37"/>
        <v>USA11</v>
      </c>
    </row>
    <row r="1209" spans="1:7" ht="15" customHeight="1" x14ac:dyDescent="0.35">
      <c r="A1209" s="75">
        <v>12</v>
      </c>
      <c r="B1209" s="75" t="s">
        <v>273</v>
      </c>
      <c r="C1209" s="76" t="s">
        <v>2290</v>
      </c>
      <c r="D1209" s="76" t="s">
        <v>2279</v>
      </c>
      <c r="E1209" s="75" t="s">
        <v>2274</v>
      </c>
      <c r="F1209" s="75" t="str">
        <f t="shared" si="36"/>
        <v>USA ROBINSON - 12</v>
      </c>
      <c r="G1209" s="75" t="str">
        <f t="shared" si="37"/>
        <v>USA12</v>
      </c>
    </row>
    <row r="1210" spans="1:7" ht="15" customHeight="1" x14ac:dyDescent="0.35">
      <c r="A1210" s="75">
        <v>13</v>
      </c>
      <c r="B1210" s="75" t="s">
        <v>273</v>
      </c>
      <c r="C1210" s="76" t="s">
        <v>1638</v>
      </c>
      <c r="D1210" s="76" t="s">
        <v>2291</v>
      </c>
      <c r="E1210" s="75" t="s">
        <v>2274</v>
      </c>
      <c r="F1210" s="75" t="str">
        <f t="shared" si="36"/>
        <v>USA REAM - 13</v>
      </c>
      <c r="G1210" s="75" t="str">
        <f t="shared" si="37"/>
        <v>USA13</v>
      </c>
    </row>
    <row r="1211" spans="1:7" ht="15" customHeight="1" x14ac:dyDescent="0.35">
      <c r="A1211" s="75">
        <v>14</v>
      </c>
      <c r="B1211" s="75" t="s">
        <v>282</v>
      </c>
      <c r="C1211" s="76" t="s">
        <v>2191</v>
      </c>
      <c r="D1211" s="76" t="s">
        <v>2292</v>
      </c>
      <c r="E1211" s="75" t="s">
        <v>2274</v>
      </c>
      <c r="F1211" s="75" t="str">
        <f t="shared" si="36"/>
        <v>USA BERHALTER - 14</v>
      </c>
      <c r="G1211" s="75" t="str">
        <f t="shared" si="37"/>
        <v>USA14</v>
      </c>
    </row>
    <row r="1212" spans="1:7" ht="15" customHeight="1" x14ac:dyDescent="0.35">
      <c r="A1212" s="75">
        <v>15</v>
      </c>
      <c r="B1212" s="75" t="s">
        <v>282</v>
      </c>
      <c r="C1212" s="76" t="s">
        <v>350</v>
      </c>
      <c r="D1212" s="76" t="s">
        <v>2293</v>
      </c>
      <c r="E1212" s="75" t="s">
        <v>2274</v>
      </c>
      <c r="F1212" s="75" t="str">
        <f t="shared" si="36"/>
        <v>USA ROLDAN - 15</v>
      </c>
      <c r="G1212" s="75" t="str">
        <f t="shared" si="37"/>
        <v>USA15</v>
      </c>
    </row>
    <row r="1213" spans="1:7" ht="15" customHeight="1" x14ac:dyDescent="0.35">
      <c r="A1213" s="75">
        <v>16</v>
      </c>
      <c r="B1213" s="75" t="s">
        <v>273</v>
      </c>
      <c r="C1213" s="76" t="s">
        <v>1656</v>
      </c>
      <c r="D1213" s="76" t="s">
        <v>2294</v>
      </c>
      <c r="E1213" s="75" t="s">
        <v>2274</v>
      </c>
      <c r="F1213" s="75" t="str">
        <f t="shared" si="36"/>
        <v>USA FREEMAN - 16</v>
      </c>
      <c r="G1213" s="75" t="str">
        <f t="shared" si="37"/>
        <v>USA16</v>
      </c>
    </row>
    <row r="1214" spans="1:7" ht="15" customHeight="1" x14ac:dyDescent="0.35">
      <c r="A1214" s="75">
        <v>17</v>
      </c>
      <c r="B1214" s="75" t="s">
        <v>282</v>
      </c>
      <c r="C1214" s="76" t="s">
        <v>2295</v>
      </c>
      <c r="D1214" s="76" t="s">
        <v>2296</v>
      </c>
      <c r="E1214" s="75" t="s">
        <v>2274</v>
      </c>
      <c r="F1214" s="75" t="str">
        <f t="shared" si="36"/>
        <v>USA TILLMAN - 17</v>
      </c>
      <c r="G1214" s="75" t="str">
        <f t="shared" si="37"/>
        <v>USA17</v>
      </c>
    </row>
    <row r="1215" spans="1:7" ht="15" customHeight="1" x14ac:dyDescent="0.35">
      <c r="A1215" s="75">
        <v>18</v>
      </c>
      <c r="B1215" s="75" t="s">
        <v>273</v>
      </c>
      <c r="C1215" s="76" t="s">
        <v>1635</v>
      </c>
      <c r="D1215" s="76" t="s">
        <v>2297</v>
      </c>
      <c r="E1215" s="75" t="s">
        <v>2274</v>
      </c>
      <c r="F1215" s="75" t="str">
        <f t="shared" si="36"/>
        <v>USA ARFSTEN - 18</v>
      </c>
      <c r="G1215" s="75" t="str">
        <f t="shared" si="37"/>
        <v>USA18</v>
      </c>
    </row>
    <row r="1216" spans="1:7" ht="15" customHeight="1" x14ac:dyDescent="0.35">
      <c r="A1216" s="75">
        <v>19</v>
      </c>
      <c r="B1216" s="75" t="s">
        <v>285</v>
      </c>
      <c r="C1216" s="76" t="s">
        <v>2298</v>
      </c>
      <c r="D1216" s="76" t="s">
        <v>2299</v>
      </c>
      <c r="E1216" s="75" t="s">
        <v>2274</v>
      </c>
      <c r="F1216" s="75" t="str">
        <f t="shared" si="36"/>
        <v>USA WRIGHT - 19</v>
      </c>
      <c r="G1216" s="75" t="str">
        <f t="shared" si="37"/>
        <v>USA19</v>
      </c>
    </row>
    <row r="1217" spans="1:7" ht="15" customHeight="1" x14ac:dyDescent="0.35">
      <c r="A1217" s="75">
        <v>20</v>
      </c>
      <c r="B1217" s="75" t="s">
        <v>285</v>
      </c>
      <c r="C1217" s="76" t="s">
        <v>2300</v>
      </c>
      <c r="D1217" s="76" t="s">
        <v>2301</v>
      </c>
      <c r="E1217" s="75" t="s">
        <v>2274</v>
      </c>
      <c r="F1217" s="75" t="str">
        <f t="shared" si="36"/>
        <v>USA BALOGUN - 20</v>
      </c>
      <c r="G1217" s="75" t="str">
        <f t="shared" si="37"/>
        <v>USA20</v>
      </c>
    </row>
    <row r="1218" spans="1:7" ht="15" customHeight="1" x14ac:dyDescent="0.35">
      <c r="A1218" s="75">
        <v>21</v>
      </c>
      <c r="B1218" s="75" t="s">
        <v>285</v>
      </c>
      <c r="C1218" s="76" t="s">
        <v>504</v>
      </c>
      <c r="D1218" s="76" t="s">
        <v>2302</v>
      </c>
      <c r="E1218" s="75" t="s">
        <v>2274</v>
      </c>
      <c r="F1218" s="75" t="str">
        <f t="shared" si="36"/>
        <v>USA WEAH - 21</v>
      </c>
      <c r="G1218" s="75" t="str">
        <f t="shared" si="37"/>
        <v>USA21</v>
      </c>
    </row>
    <row r="1219" spans="1:7" ht="15" customHeight="1" x14ac:dyDescent="0.35">
      <c r="A1219" s="75">
        <v>22</v>
      </c>
      <c r="B1219" s="75" t="s">
        <v>273</v>
      </c>
      <c r="C1219" s="76" t="s">
        <v>1628</v>
      </c>
      <c r="D1219" s="76" t="s">
        <v>2303</v>
      </c>
      <c r="E1219" s="75" t="s">
        <v>2274</v>
      </c>
      <c r="F1219" s="75" t="str">
        <f t="shared" ref="F1219:F1249" si="38">IF(B1219="GK", _xlfn.CONCAT(E1219, " ","(",B1219, ") ",D1219, " - ", A1219),  _xlfn.CONCAT(E1219, " ",D1219, " - ", A1219))</f>
        <v>USA McKENZIE - 22</v>
      </c>
      <c r="G1219" s="75" t="str">
        <f t="shared" ref="G1219:G1249" si="39">_xlfn.CONCAT(E1219,A1219)</f>
        <v>USA22</v>
      </c>
    </row>
    <row r="1220" spans="1:7" ht="15" customHeight="1" x14ac:dyDescent="0.35">
      <c r="A1220" s="75">
        <v>23</v>
      </c>
      <c r="B1220" s="75" t="s">
        <v>273</v>
      </c>
      <c r="C1220" s="76" t="s">
        <v>1645</v>
      </c>
      <c r="D1220" s="76" t="s">
        <v>2304</v>
      </c>
      <c r="E1220" s="75" t="s">
        <v>2274</v>
      </c>
      <c r="F1220" s="75" t="str">
        <f t="shared" si="38"/>
        <v>USA SCALLY - 23</v>
      </c>
      <c r="G1220" s="75" t="str">
        <f t="shared" si="39"/>
        <v>USA23</v>
      </c>
    </row>
    <row r="1221" spans="1:7" ht="15" customHeight="1" x14ac:dyDescent="0.35">
      <c r="A1221" s="75">
        <v>24</v>
      </c>
      <c r="B1221" s="75" t="s">
        <v>269</v>
      </c>
      <c r="C1221" s="76" t="s">
        <v>2272</v>
      </c>
      <c r="D1221" s="76" t="s">
        <v>2305</v>
      </c>
      <c r="E1221" s="75" t="s">
        <v>2274</v>
      </c>
      <c r="F1221" s="75" t="str">
        <f t="shared" si="38"/>
        <v>USA (GK) FREESE - 24</v>
      </c>
      <c r="G1221" s="75" t="str">
        <f t="shared" si="39"/>
        <v>USA24</v>
      </c>
    </row>
    <row r="1222" spans="1:7" ht="15" customHeight="1" x14ac:dyDescent="0.35">
      <c r="A1222" s="75">
        <v>25</v>
      </c>
      <c r="B1222" s="75" t="s">
        <v>269</v>
      </c>
      <c r="C1222" s="76" t="s">
        <v>1650</v>
      </c>
      <c r="D1222" s="76" t="s">
        <v>2306</v>
      </c>
      <c r="E1222" s="75" t="s">
        <v>2274</v>
      </c>
      <c r="F1222" s="75" t="str">
        <f t="shared" si="38"/>
        <v>USA (GK) BRADY - 25</v>
      </c>
      <c r="G1222" s="75" t="str">
        <f t="shared" si="39"/>
        <v>USA25</v>
      </c>
    </row>
    <row r="1223" spans="1:7" ht="15" customHeight="1" x14ac:dyDescent="0.35">
      <c r="A1223" s="75">
        <v>26</v>
      </c>
      <c r="B1223" s="75" t="s">
        <v>285</v>
      </c>
      <c r="C1223" s="76" t="s">
        <v>1656</v>
      </c>
      <c r="D1223" s="76" t="s">
        <v>2307</v>
      </c>
      <c r="E1223" s="75" t="s">
        <v>2274</v>
      </c>
      <c r="F1223" s="75" t="str">
        <f t="shared" si="38"/>
        <v>USA ZENDEJAS - 26</v>
      </c>
      <c r="G1223" s="75" t="str">
        <f t="shared" si="39"/>
        <v>USA26</v>
      </c>
    </row>
    <row r="1224" spans="1:7" ht="15" hidden="1" customHeight="1" x14ac:dyDescent="0.35">
      <c r="A1224" s="125">
        <v>1</v>
      </c>
      <c r="B1224" s="125" t="s">
        <v>269</v>
      </c>
      <c r="C1224" s="126" t="s">
        <v>2308</v>
      </c>
      <c r="D1224" s="126" t="s">
        <v>2309</v>
      </c>
      <c r="E1224" s="125" t="s">
        <v>2310</v>
      </c>
      <c r="F1224" s="125" t="str">
        <f t="shared" si="38"/>
        <v>UZB (GK) YUSUPOV - 1</v>
      </c>
      <c r="G1224" s="125" t="str">
        <f t="shared" si="39"/>
        <v>UZB1</v>
      </c>
    </row>
    <row r="1225" spans="1:7" ht="15" hidden="1" customHeight="1" x14ac:dyDescent="0.35">
      <c r="A1225" s="125">
        <v>2</v>
      </c>
      <c r="B1225" s="125" t="s">
        <v>273</v>
      </c>
      <c r="C1225" s="126" t="s">
        <v>2311</v>
      </c>
      <c r="D1225" s="126" t="s">
        <v>2312</v>
      </c>
      <c r="E1225" s="125" t="s">
        <v>2310</v>
      </c>
      <c r="F1225" s="125" t="str">
        <f t="shared" si="38"/>
        <v>UZB KHUSANOV - 2</v>
      </c>
      <c r="G1225" s="125" t="str">
        <f t="shared" si="39"/>
        <v>UZB2</v>
      </c>
    </row>
    <row r="1226" spans="1:7" ht="15" hidden="1" customHeight="1" x14ac:dyDescent="0.35">
      <c r="A1226" s="125">
        <v>3</v>
      </c>
      <c r="B1226" s="125" t="s">
        <v>273</v>
      </c>
      <c r="C1226" s="126" t="s">
        <v>2313</v>
      </c>
      <c r="D1226" s="126" t="s">
        <v>2314</v>
      </c>
      <c r="E1226" s="125" t="s">
        <v>2310</v>
      </c>
      <c r="F1226" s="125" t="str">
        <f t="shared" si="38"/>
        <v>UZB ALIJONOV - 3</v>
      </c>
      <c r="G1226" s="125" t="str">
        <f t="shared" si="39"/>
        <v>UZB3</v>
      </c>
    </row>
    <row r="1227" spans="1:7" ht="15" hidden="1" customHeight="1" x14ac:dyDescent="0.35">
      <c r="A1227" s="125">
        <v>4</v>
      </c>
      <c r="B1227" s="125" t="s">
        <v>273</v>
      </c>
      <c r="C1227" s="126" t="s">
        <v>2315</v>
      </c>
      <c r="D1227" s="126" t="s">
        <v>2316</v>
      </c>
      <c r="E1227" s="125" t="s">
        <v>2310</v>
      </c>
      <c r="F1227" s="125" t="str">
        <f t="shared" si="38"/>
        <v>UZB SAYFIEV - 4</v>
      </c>
      <c r="G1227" s="125" t="str">
        <f t="shared" si="39"/>
        <v>UZB4</v>
      </c>
    </row>
    <row r="1228" spans="1:7" ht="15" hidden="1" customHeight="1" x14ac:dyDescent="0.35">
      <c r="A1228" s="125">
        <v>5</v>
      </c>
      <c r="B1228" s="125" t="s">
        <v>273</v>
      </c>
      <c r="C1228" s="126" t="s">
        <v>2317</v>
      </c>
      <c r="D1228" s="126" t="s">
        <v>2318</v>
      </c>
      <c r="E1228" s="125" t="s">
        <v>2310</v>
      </c>
      <c r="F1228" s="125" t="str">
        <f t="shared" si="38"/>
        <v>UZB ASHURMATOV - 5</v>
      </c>
      <c r="G1228" s="125" t="str">
        <f t="shared" si="39"/>
        <v>UZB5</v>
      </c>
    </row>
    <row r="1229" spans="1:7" ht="15" hidden="1" customHeight="1" x14ac:dyDescent="0.35">
      <c r="A1229" s="125">
        <v>6</v>
      </c>
      <c r="B1229" s="125" t="s">
        <v>282</v>
      </c>
      <c r="C1229" s="126" t="s">
        <v>2319</v>
      </c>
      <c r="D1229" s="126" t="s">
        <v>2320</v>
      </c>
      <c r="E1229" s="125" t="s">
        <v>2310</v>
      </c>
      <c r="F1229" s="125" t="str">
        <f t="shared" si="38"/>
        <v>UZB MOZGOVOY - 6</v>
      </c>
      <c r="G1229" s="125" t="str">
        <f t="shared" si="39"/>
        <v>UZB6</v>
      </c>
    </row>
    <row r="1230" spans="1:7" ht="15" hidden="1" customHeight="1" x14ac:dyDescent="0.35">
      <c r="A1230" s="125">
        <v>7</v>
      </c>
      <c r="B1230" s="125" t="s">
        <v>282</v>
      </c>
      <c r="C1230" s="126" t="s">
        <v>2321</v>
      </c>
      <c r="D1230" s="126" t="s">
        <v>2322</v>
      </c>
      <c r="E1230" s="125" t="s">
        <v>2310</v>
      </c>
      <c r="F1230" s="125" t="str">
        <f t="shared" si="38"/>
        <v>UZB SHUKUROV - 7</v>
      </c>
      <c r="G1230" s="125" t="str">
        <f t="shared" si="39"/>
        <v>UZB7</v>
      </c>
    </row>
    <row r="1231" spans="1:7" ht="15" hidden="1" customHeight="1" x14ac:dyDescent="0.35">
      <c r="A1231" s="125">
        <v>8</v>
      </c>
      <c r="B1231" s="125" t="s">
        <v>282</v>
      </c>
      <c r="C1231" s="126" t="s">
        <v>2323</v>
      </c>
      <c r="D1231" s="126" t="s">
        <v>2324</v>
      </c>
      <c r="E1231" s="125" t="s">
        <v>2310</v>
      </c>
      <c r="F1231" s="125" t="str">
        <f t="shared" si="38"/>
        <v>UZB ISKANDEROV - 8</v>
      </c>
      <c r="G1231" s="125" t="str">
        <f t="shared" si="39"/>
        <v>UZB8</v>
      </c>
    </row>
    <row r="1232" spans="1:7" ht="15" hidden="1" customHeight="1" x14ac:dyDescent="0.35">
      <c r="A1232" s="125">
        <v>9</v>
      </c>
      <c r="B1232" s="125" t="s">
        <v>282</v>
      </c>
      <c r="C1232" s="126" t="s">
        <v>2325</v>
      </c>
      <c r="D1232" s="126" t="s">
        <v>2326</v>
      </c>
      <c r="E1232" s="125" t="s">
        <v>2310</v>
      </c>
      <c r="F1232" s="125" t="str">
        <f t="shared" si="38"/>
        <v>UZB XAMROBEKOV - 9</v>
      </c>
      <c r="G1232" s="125" t="str">
        <f t="shared" si="39"/>
        <v>UZB9</v>
      </c>
    </row>
    <row r="1233" spans="1:7" ht="15" hidden="1" customHeight="1" x14ac:dyDescent="0.35">
      <c r="A1233" s="125">
        <v>10</v>
      </c>
      <c r="B1233" s="125" t="s">
        <v>282</v>
      </c>
      <c r="C1233" s="126" t="s">
        <v>2327</v>
      </c>
      <c r="D1233" s="126" t="s">
        <v>2328</v>
      </c>
      <c r="E1233" s="125" t="s">
        <v>2310</v>
      </c>
      <c r="F1233" s="125" t="str">
        <f t="shared" si="38"/>
        <v>UZB MASHARIPOV - 10</v>
      </c>
      <c r="G1233" s="125" t="str">
        <f t="shared" si="39"/>
        <v>UZB10</v>
      </c>
    </row>
    <row r="1234" spans="1:7" ht="15" hidden="1" customHeight="1" x14ac:dyDescent="0.35">
      <c r="A1234" s="125">
        <v>11</v>
      </c>
      <c r="B1234" s="125" t="s">
        <v>282</v>
      </c>
      <c r="C1234" s="126" t="s">
        <v>2329</v>
      </c>
      <c r="D1234" s="126" t="s">
        <v>2330</v>
      </c>
      <c r="E1234" s="125" t="s">
        <v>2310</v>
      </c>
      <c r="F1234" s="125" t="str">
        <f t="shared" si="38"/>
        <v>UZB URUNOV - 11</v>
      </c>
      <c r="G1234" s="125" t="str">
        <f t="shared" si="39"/>
        <v>UZB11</v>
      </c>
    </row>
    <row r="1235" spans="1:7" ht="15" hidden="1" customHeight="1" x14ac:dyDescent="0.35">
      <c r="A1235" s="125">
        <v>12</v>
      </c>
      <c r="B1235" s="125" t="s">
        <v>269</v>
      </c>
      <c r="C1235" s="126" t="s">
        <v>2331</v>
      </c>
      <c r="D1235" s="126" t="s">
        <v>2332</v>
      </c>
      <c r="E1235" s="125" t="s">
        <v>2310</v>
      </c>
      <c r="F1235" s="125" t="str">
        <f t="shared" si="38"/>
        <v>UZB (GK) NEMATOV - 12</v>
      </c>
      <c r="G1235" s="125" t="str">
        <f t="shared" si="39"/>
        <v>UZB12</v>
      </c>
    </row>
    <row r="1236" spans="1:7" ht="15" hidden="1" customHeight="1" x14ac:dyDescent="0.35">
      <c r="A1236" s="125">
        <v>13</v>
      </c>
      <c r="B1236" s="125" t="s">
        <v>273</v>
      </c>
      <c r="C1236" s="126" t="s">
        <v>2333</v>
      </c>
      <c r="D1236" s="126" t="s">
        <v>2334</v>
      </c>
      <c r="E1236" s="125" t="s">
        <v>2310</v>
      </c>
      <c r="F1236" s="125" t="str">
        <f t="shared" si="38"/>
        <v>UZB NASRULLAEV - 13</v>
      </c>
      <c r="G1236" s="125" t="str">
        <f t="shared" si="39"/>
        <v>UZB13</v>
      </c>
    </row>
    <row r="1237" spans="1:7" ht="15" hidden="1" customHeight="1" x14ac:dyDescent="0.35">
      <c r="A1237" s="125">
        <v>14</v>
      </c>
      <c r="B1237" s="125" t="s">
        <v>285</v>
      </c>
      <c r="C1237" s="126" t="s">
        <v>2335</v>
      </c>
      <c r="D1237" s="126" t="s">
        <v>2336</v>
      </c>
      <c r="E1237" s="125" t="s">
        <v>2310</v>
      </c>
      <c r="F1237" s="125" t="str">
        <f t="shared" si="38"/>
        <v>UZB SHOMURODOV - 14</v>
      </c>
      <c r="G1237" s="125" t="str">
        <f t="shared" si="39"/>
        <v>UZB14</v>
      </c>
    </row>
    <row r="1238" spans="1:7" ht="15" hidden="1" customHeight="1" x14ac:dyDescent="0.35">
      <c r="A1238" s="125">
        <v>15</v>
      </c>
      <c r="B1238" s="125" t="s">
        <v>273</v>
      </c>
      <c r="C1238" s="126" t="s">
        <v>2337</v>
      </c>
      <c r="D1238" s="126" t="s">
        <v>2338</v>
      </c>
      <c r="E1238" s="125" t="s">
        <v>2310</v>
      </c>
      <c r="F1238" s="125" t="str">
        <f t="shared" si="38"/>
        <v>UZB ESHMURODOV - 15</v>
      </c>
      <c r="G1238" s="125" t="str">
        <f t="shared" si="39"/>
        <v>UZB15</v>
      </c>
    </row>
    <row r="1239" spans="1:7" ht="15" hidden="1" customHeight="1" x14ac:dyDescent="0.35">
      <c r="A1239" s="125">
        <v>16</v>
      </c>
      <c r="B1239" s="125" t="s">
        <v>269</v>
      </c>
      <c r="C1239" s="126" t="s">
        <v>2339</v>
      </c>
      <c r="D1239" s="126" t="s">
        <v>2340</v>
      </c>
      <c r="E1239" s="125" t="s">
        <v>2310</v>
      </c>
      <c r="F1239" s="125" t="str">
        <f t="shared" si="38"/>
        <v>UZB (GK) ERGASHEV - 16</v>
      </c>
      <c r="G1239" s="125" t="str">
        <f t="shared" si="39"/>
        <v>UZB16</v>
      </c>
    </row>
    <row r="1240" spans="1:7" ht="15" hidden="1" customHeight="1" x14ac:dyDescent="0.35">
      <c r="A1240" s="125">
        <v>17</v>
      </c>
      <c r="B1240" s="125" t="s">
        <v>282</v>
      </c>
      <c r="C1240" s="126" t="s">
        <v>2341</v>
      </c>
      <c r="D1240" s="126" t="s">
        <v>2342</v>
      </c>
      <c r="E1240" s="125" t="s">
        <v>2310</v>
      </c>
      <c r="F1240" s="125" t="str">
        <f t="shared" si="38"/>
        <v>UZB KHAMDAMOV - 17</v>
      </c>
      <c r="G1240" s="125" t="str">
        <f t="shared" si="39"/>
        <v>UZB17</v>
      </c>
    </row>
    <row r="1241" spans="1:7" ht="15" hidden="1" customHeight="1" x14ac:dyDescent="0.35">
      <c r="A1241" s="125">
        <v>18</v>
      </c>
      <c r="B1241" s="125" t="s">
        <v>273</v>
      </c>
      <c r="C1241" s="126" t="s">
        <v>2343</v>
      </c>
      <c r="D1241" s="126" t="s">
        <v>2344</v>
      </c>
      <c r="E1241" s="125" t="s">
        <v>2310</v>
      </c>
      <c r="F1241" s="125" t="str">
        <f t="shared" si="38"/>
        <v>UZB ABDULLAEV - 18</v>
      </c>
      <c r="G1241" s="125" t="str">
        <f t="shared" si="39"/>
        <v>UZB18</v>
      </c>
    </row>
    <row r="1242" spans="1:7" ht="15" hidden="1" customHeight="1" x14ac:dyDescent="0.35">
      <c r="A1242" s="125">
        <v>19</v>
      </c>
      <c r="B1242" s="125" t="s">
        <v>282</v>
      </c>
      <c r="C1242" s="126" t="s">
        <v>2345</v>
      </c>
      <c r="D1242" s="126" t="s">
        <v>2346</v>
      </c>
      <c r="E1242" s="125" t="s">
        <v>2310</v>
      </c>
      <c r="F1242" s="125" t="str">
        <f t="shared" si="38"/>
        <v>UZB GANIEV - 19</v>
      </c>
      <c r="G1242" s="125" t="str">
        <f t="shared" si="39"/>
        <v>UZB19</v>
      </c>
    </row>
    <row r="1243" spans="1:7" ht="15" hidden="1" customHeight="1" x14ac:dyDescent="0.35">
      <c r="A1243" s="125">
        <v>20</v>
      </c>
      <c r="B1243" s="125" t="s">
        <v>285</v>
      </c>
      <c r="C1243" s="126" t="s">
        <v>2347</v>
      </c>
      <c r="D1243" s="126" t="s">
        <v>2348</v>
      </c>
      <c r="E1243" s="125" t="s">
        <v>2310</v>
      </c>
      <c r="F1243" s="125" t="str">
        <f t="shared" si="38"/>
        <v>UZB AMONOV - 20</v>
      </c>
      <c r="G1243" s="125" t="str">
        <f t="shared" si="39"/>
        <v>UZB20</v>
      </c>
    </row>
    <row r="1244" spans="1:7" ht="15" hidden="1" customHeight="1" x14ac:dyDescent="0.35">
      <c r="A1244" s="125">
        <v>21</v>
      </c>
      <c r="B1244" s="125" t="s">
        <v>285</v>
      </c>
      <c r="C1244" s="126" t="s">
        <v>887</v>
      </c>
      <c r="D1244" s="126" t="s">
        <v>2349</v>
      </c>
      <c r="E1244" s="125" t="s">
        <v>2310</v>
      </c>
      <c r="F1244" s="125" t="str">
        <f t="shared" si="38"/>
        <v>UZB SERGEEV - 21</v>
      </c>
      <c r="G1244" s="125" t="str">
        <f t="shared" si="39"/>
        <v>UZB21</v>
      </c>
    </row>
    <row r="1245" spans="1:7" ht="15" hidden="1" customHeight="1" x14ac:dyDescent="0.35">
      <c r="A1245" s="125">
        <v>22</v>
      </c>
      <c r="B1245" s="125" t="s">
        <v>282</v>
      </c>
      <c r="C1245" s="126" t="s">
        <v>2350</v>
      </c>
      <c r="D1245" s="126" t="s">
        <v>2351</v>
      </c>
      <c r="E1245" s="125" t="s">
        <v>2310</v>
      </c>
      <c r="F1245" s="125" t="str">
        <f t="shared" si="38"/>
        <v>UZB FAYZULLAEV - 22</v>
      </c>
      <c r="G1245" s="125" t="str">
        <f t="shared" si="39"/>
        <v>UZB22</v>
      </c>
    </row>
    <row r="1246" spans="1:7" ht="15" hidden="1" customHeight="1" x14ac:dyDescent="0.35">
      <c r="A1246" s="125">
        <v>23</v>
      </c>
      <c r="B1246" s="125" t="s">
        <v>282</v>
      </c>
      <c r="C1246" s="126" t="s">
        <v>2333</v>
      </c>
      <c r="D1246" s="126" t="s">
        <v>2352</v>
      </c>
      <c r="E1246" s="125" t="s">
        <v>2310</v>
      </c>
      <c r="F1246" s="125" t="str">
        <f t="shared" si="38"/>
        <v>UZB ESANOV - 23</v>
      </c>
      <c r="G1246" s="125" t="str">
        <f t="shared" si="39"/>
        <v>UZB23</v>
      </c>
    </row>
    <row r="1247" spans="1:7" ht="15" hidden="1" customHeight="1" x14ac:dyDescent="0.35">
      <c r="A1247" s="125">
        <v>24</v>
      </c>
      <c r="B1247" s="125" t="s">
        <v>273</v>
      </c>
      <c r="C1247" s="126" t="s">
        <v>2353</v>
      </c>
      <c r="D1247" s="126" t="s">
        <v>2354</v>
      </c>
      <c r="E1247" s="125" t="s">
        <v>2310</v>
      </c>
      <c r="F1247" s="125" t="str">
        <f t="shared" si="38"/>
        <v>UZB KARIMOV - 24</v>
      </c>
      <c r="G1247" s="125" t="str">
        <f t="shared" si="39"/>
        <v>UZB24</v>
      </c>
    </row>
    <row r="1248" spans="1:7" ht="15" hidden="1" customHeight="1" x14ac:dyDescent="0.35">
      <c r="A1248" s="125">
        <v>25</v>
      </c>
      <c r="B1248" s="125" t="s">
        <v>273</v>
      </c>
      <c r="C1248" s="126" t="s">
        <v>2355</v>
      </c>
      <c r="D1248" s="126" t="s">
        <v>2356</v>
      </c>
      <c r="E1248" s="125" t="s">
        <v>2310</v>
      </c>
      <c r="F1248" s="125" t="str">
        <f t="shared" si="38"/>
        <v>UZB ULMASALIYEV - 25</v>
      </c>
      <c r="G1248" s="125" t="str">
        <f t="shared" si="39"/>
        <v>UZB25</v>
      </c>
    </row>
    <row r="1249" spans="1:7" ht="15" hidden="1" customHeight="1" x14ac:dyDescent="0.35">
      <c r="A1249" s="125">
        <v>26</v>
      </c>
      <c r="B1249" s="125" t="s">
        <v>273</v>
      </c>
      <c r="C1249" s="126" t="s">
        <v>2357</v>
      </c>
      <c r="D1249" s="126" t="s">
        <v>2358</v>
      </c>
      <c r="E1249" s="125" t="s">
        <v>2310</v>
      </c>
      <c r="F1249" s="125" t="str">
        <f t="shared" si="38"/>
        <v>UZB UROZOV - 26</v>
      </c>
      <c r="G1249" s="125" t="str">
        <f t="shared" si="39"/>
        <v>UZB26</v>
      </c>
    </row>
  </sheetData>
  <autoFilter ref="A1:E1249" xr:uid="{00000000-0009-0000-0000-000001000000}">
    <filterColumn colId="4">
      <filters>
        <filter val="BIH"/>
        <filter val="CAN"/>
        <filter val="PRY"/>
        <filter val="US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2026-06-13T05:29:23Z</dcterms:modified>
</cp:coreProperties>
</file>