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389" documentId="13_ncr:1_{AD0E7F59-3B0E-407E-93E9-FE21F83F93C7}" xr6:coauthVersionLast="47" xr6:coauthVersionMax="47" xr10:uidLastSave="{0D4D8271-5994-481D-8266-3890DD250E76}"/>
  <bookViews>
    <workbookView xWindow="28680" yWindow="-120" windowWidth="29040" windowHeight="1572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49" i="2" l="1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I26" i="1" a="1"/>
  <c r="I26" i="1" s="1"/>
  <c r="I27" i="1" a="1"/>
  <c r="I27" i="1" s="1"/>
  <c r="I28" i="1" a="1"/>
  <c r="I28" i="1" s="1"/>
  <c r="I29" i="1" a="1"/>
  <c r="I29" i="1" s="1"/>
  <c r="I30" i="1" a="1"/>
  <c r="I30" i="1"/>
  <c r="I31" i="1" a="1"/>
  <c r="I31" i="1" s="1"/>
  <c r="I32" i="1" a="1"/>
  <c r="I32" i="1" s="1"/>
  <c r="I33" i="1" a="1"/>
  <c r="I33" i="1" s="1"/>
  <c r="I34" i="1" a="1"/>
  <c r="I34" i="1"/>
  <c r="I35" i="1" a="1"/>
  <c r="I35" i="1" s="1"/>
  <c r="I36" i="1" a="1"/>
  <c r="I36" i="1"/>
  <c r="I37" i="1" a="1"/>
  <c r="I37" i="1"/>
  <c r="I38" i="1" a="1"/>
  <c r="I38" i="1" s="1"/>
  <c r="I39" i="1" a="1"/>
  <c r="I39" i="1" s="1"/>
  <c r="I40" i="1" a="1"/>
  <c r="I40" i="1" s="1"/>
  <c r="I41" i="1" a="1"/>
  <c r="I41" i="1"/>
  <c r="I42" i="1" a="1"/>
  <c r="I42" i="1" s="1"/>
  <c r="I43" i="1" a="1"/>
  <c r="I43" i="1"/>
  <c r="I44" i="1" a="1"/>
  <c r="I44" i="1" s="1"/>
  <c r="I45" i="1" a="1"/>
  <c r="I45" i="1" s="1"/>
  <c r="I46" i="1" a="1"/>
  <c r="I46" i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/>
  <c r="I54" i="1" a="1"/>
  <c r="I54" i="1" s="1"/>
  <c r="I55" i="1" a="1"/>
  <c r="I55" i="1"/>
  <c r="I56" i="1" a="1"/>
  <c r="I56" i="1" s="1"/>
  <c r="I57" i="1" a="1"/>
  <c r="I57" i="1" s="1"/>
  <c r="I58" i="1" a="1"/>
  <c r="I58" i="1" s="1"/>
  <c r="I59" i="1" a="1"/>
  <c r="I59" i="1" s="1"/>
  <c r="I60" i="1" a="1"/>
  <c r="I60" i="1"/>
  <c r="I61" i="1" a="1"/>
  <c r="I61" i="1" s="1"/>
  <c r="I62" i="1" a="1"/>
  <c r="I62" i="1" s="1"/>
  <c r="I63" i="1" a="1"/>
  <c r="I63" i="1" s="1"/>
  <c r="I64" i="1" a="1"/>
  <c r="I64" i="1"/>
  <c r="I65" i="1" a="1"/>
  <c r="I65" i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/>
  <c r="I72" i="1" a="1"/>
  <c r="I72" i="1"/>
  <c r="I73" i="1" a="1"/>
  <c r="I73" i="1" s="1"/>
  <c r="I74" i="1" a="1"/>
  <c r="I74" i="1"/>
  <c r="I75" i="1" a="1"/>
  <c r="I75" i="1" s="1"/>
  <c r="I76" i="1" a="1"/>
  <c r="I76" i="1" s="1"/>
  <c r="I77" i="1" a="1"/>
  <c r="I77" i="1" s="1"/>
  <c r="I78" i="1" a="1"/>
  <c r="I78" i="1"/>
  <c r="I79" i="1" a="1"/>
  <c r="I79" i="1"/>
  <c r="I80" i="1" a="1"/>
  <c r="I80" i="1" s="1"/>
  <c r="I81" i="1" a="1"/>
  <c r="I81" i="1"/>
  <c r="I82" i="1" a="1"/>
  <c r="I82" i="1" s="1"/>
  <c r="I83" i="1" a="1"/>
  <c r="I83" i="1"/>
  <c r="I84" i="1" a="1"/>
  <c r="I84" i="1" s="1"/>
  <c r="I85" i="1" a="1"/>
  <c r="I85" i="1" s="1"/>
  <c r="I86" i="1" a="1"/>
  <c r="I86" i="1"/>
  <c r="I87" i="1" a="1"/>
  <c r="I87" i="1" s="1"/>
  <c r="I88" i="1" a="1"/>
  <c r="I88" i="1"/>
  <c r="I89" i="1" a="1"/>
  <c r="I89" i="1" s="1"/>
  <c r="I90" i="1" a="1"/>
  <c r="I90" i="1"/>
  <c r="I91" i="1" a="1"/>
  <c r="I91" i="1" s="1"/>
  <c r="I92" i="1" a="1"/>
  <c r="I92" i="1" s="1"/>
  <c r="I93" i="1" a="1"/>
  <c r="I93" i="1" s="1"/>
  <c r="I94" i="1" a="1"/>
  <c r="I94" i="1" s="1"/>
  <c r="I95" i="1" a="1"/>
  <c r="I95" i="1"/>
  <c r="I96" i="1" a="1"/>
  <c r="I96" i="1" s="1"/>
  <c r="I97" i="1" a="1"/>
  <c r="I97" i="1"/>
  <c r="I98" i="1" a="1"/>
  <c r="I98" i="1" s="1"/>
  <c r="I99" i="1" a="1"/>
  <c r="I99" i="1"/>
  <c r="I100" i="1" a="1"/>
  <c r="I100" i="1"/>
  <c r="I101" i="1" a="1"/>
  <c r="I101" i="1" s="1"/>
  <c r="I102" i="1" a="1"/>
  <c r="I102" i="1" s="1"/>
  <c r="I103" i="1" a="1"/>
  <c r="I103" i="1" s="1"/>
  <c r="I104" i="1" a="1"/>
  <c r="I104" i="1"/>
  <c r="I105" i="1" a="1"/>
  <c r="I105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4" i="1" a="1"/>
  <c r="I4" i="1" s="1"/>
  <c r="I3" i="1" a="1"/>
  <c r="I3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/>
  <c r="I13" i="1" a="1"/>
  <c r="I13" i="1" s="1"/>
  <c r="I14" i="1" a="1"/>
  <c r="I14" i="1" s="1"/>
  <c r="I15" i="1" a="1"/>
  <c r="I15" i="1" s="1"/>
  <c r="I16" i="1" a="1"/>
  <c r="I16" i="1" s="1"/>
  <c r="I17" i="1" a="1"/>
  <c r="I17" i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<sst xmlns="http://schemas.openxmlformats.org/spreadsheetml/2006/main" count="8178" uniqueCount="3820">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</sst>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24" activePane="bottomLeft" state="frozen"/>
      <selection pane="bottomLeft" activeCell="D30" sqref="D30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3" customWidth="1"/>
    <col min="8" max="8" width="38.08984375" style="163" customWidth="1"/>
    <col min="9" max="9" width="20.7265625" customWidth="1"/>
    <col min="10" max="10" width="19.7265625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45" t="s">
        <v>2458</v>
      </c>
      <c r="H1" s="1" t="s">
        <v>2459</v>
      </c>
      <c r="I1" s="1" t="s">
        <v>2428</v>
      </c>
      <c r="J1" s="1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46" t="s">
        <v>2454</v>
      </c>
      <c r="H2" s="2" t="s">
        <v>2456</v>
      </c>
      <c r="I2" s="3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46" t="s">
        <v>2455</v>
      </c>
      <c r="H3" s="2" t="s">
        <v>2457</v>
      </c>
      <c r="I3" s="3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46"/>
      <c r="H4" s="2"/>
      <c r="I4" s="3" t="e" cm="1">
        <f t="array" ref="I4">_xlfn.IFS(LEFT(G4,1)-RIGHT(G4,1)&gt;0,"W1",LEFT(G4,1)-RIGHT(G4,1)=0,"D",LEFT(G4,1)-RIGHT(G4,1)&lt;0,"W2",ISBLANK(G4),"")</f>
        <v>#VALUE!</v>
      </c>
      <c r="J4" s="3" t="e">
        <f t="shared" ref="J4:J24" si="0">LEFT(G4,1)-RIGHT(G4,1)</f>
        <v>#VALUE!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46"/>
      <c r="H5" s="2"/>
      <c r="I5" s="3" t="e" cm="1">
        <f t="array" ref="I5">_xlfn.IFS(LEFT(G5,1)-RIGHT(G5,1) &gt; 0, "W1",LEFT(G5,1)-RIGHT(G5,1) = 0, "D",LEFT(G5,1)-RIGHT(G5,1) &lt; 0, "W2", ISBLANK(G5), "")</f>
        <v>#VALUE!</v>
      </c>
      <c r="J5" s="3" t="e">
        <f t="shared" si="0"/>
        <v>#VALUE!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46"/>
      <c r="H6" s="2"/>
      <c r="I6" s="3" t="e" cm="1">
        <f t="array" ref="I6">_xlfn.IFS(LEFT(G6,1)-RIGHT(G6,1) &gt; 0, "W1",LEFT(G6,1)-RIGHT(G6,1) = 0, "D",LEFT(G6,1)-RIGHT(G6,1) &lt; 0, "W2", ISBLANK(G6), "")</f>
        <v>#VALUE!</v>
      </c>
      <c r="J6" s="3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46"/>
      <c r="H7" s="2"/>
      <c r="I7" s="3" t="e" cm="1">
        <f t="array" ref="I7">_xlfn.IFS(LEFT(G7,1)-RIGHT(G7,1) &gt; 0, "W1",LEFT(G7,1)-RIGHT(G7,1) = 0, "D",LEFT(G7,1)-RIGHT(G7,1) &lt; 0, "W2", ISBLANK(G7), "")</f>
        <v>#VALUE!</v>
      </c>
      <c r="J7" s="3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47" t="s">
        <v>2461</v>
      </c>
      <c r="H8" s="4" t="s">
        <v>2463</v>
      </c>
      <c r="I8" s="5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47" t="s">
        <v>2461</v>
      </c>
      <c r="H9" s="4" t="s">
        <v>2473</v>
      </c>
      <c r="I9" s="5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47"/>
      <c r="H10" s="4"/>
      <c r="I10" s="5" t="e" cm="1">
        <f t="array" ref="I10">_xlfn.IFS(LEFT(G10,1)-RIGHT(G10,1) &gt; 0, "W1",LEFT(G10,1)-RIGHT(G10,1) = 0, "D",LEFT(G10,1)-RIGHT(G10,1) &lt; 0, "W2", ISBLANK(G10), "")</f>
        <v>#VALUE!</v>
      </c>
      <c r="J10" s="5" t="e">
        <f t="shared" si="0"/>
        <v>#VALUE!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47"/>
      <c r="H11" s="4"/>
      <c r="I11" s="5" t="e" cm="1">
        <f t="array" ref="I11">_xlfn.IFS(LEFT(G11,1)-RIGHT(G11,1) &gt; 0, "W1",LEFT(G11,1)-RIGHT(G11,1) = 0, "D",LEFT(G11,1)-RIGHT(G11,1) &lt; 0, "W2", ISBLANK(G11), "")</f>
        <v>#VALUE!</v>
      </c>
      <c r="J11" s="5" t="e">
        <f t="shared" si="0"/>
        <v>#VALUE!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47"/>
      <c r="H12" s="4"/>
      <c r="I12" s="5" t="e" cm="1">
        <f t="array" ref="I12">_xlfn.IFS(LEFT(G12,1)-RIGHT(G12,1) &gt; 0, "W1",LEFT(G12,1)-RIGHT(G12,1) = 0, "D",LEFT(G12,1)-RIGHT(G12,1) &lt; 0, "W2", ISBLANK(G12), "")</f>
        <v>#VALUE!</v>
      </c>
      <c r="J12" s="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47"/>
      <c r="H13" s="4"/>
      <c r="I13" s="5" t="e" cm="1">
        <f t="array" ref="I13">_xlfn.IFS(LEFT(G13,1)-RIGHT(G13,1) &gt; 0, "W1",LEFT(G13,1)-RIGHT(G13,1) = 0, "D",LEFT(G13,1)-RIGHT(G13,1) &lt; 0, "W2", ISBLANK(G13), "")</f>
        <v>#VALUE!</v>
      </c>
      <c r="J13" s="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48" t="s">
        <v>2461</v>
      </c>
      <c r="H14" s="6" t="s">
        <v>2474</v>
      </c>
      <c r="I14" s="7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48" t="s">
        <v>2471</v>
      </c>
      <c r="H15" s="6" t="s">
        <v>2472</v>
      </c>
      <c r="I15" s="7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48"/>
      <c r="H16" s="6"/>
      <c r="I16" s="7" t="e" cm="1">
        <f t="array" ref="I16">_xlfn.IFS(LEFT(G16,1)-RIGHT(G16,1) &gt; 0, "W1",LEFT(G16,1)-RIGHT(G16,1) = 0, "D",LEFT(G16,1)-RIGHT(G16,1) &lt; 0, "W2", ISBLANK(G16), "")</f>
        <v>#VALUE!</v>
      </c>
      <c r="J16" s="7" t="e">
        <f t="shared" si="0"/>
        <v>#VALUE!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48"/>
      <c r="H17" s="6"/>
      <c r="I17" s="7" t="e" cm="1">
        <f t="array" ref="I17">_xlfn.IFS(LEFT(G17,1)-RIGHT(G17,1) &gt; 0, "W1",LEFT(G17,1)-RIGHT(G17,1) = 0, "D",LEFT(G17,1)-RIGHT(G17,1) &lt; 0, "W2", ISBLANK(G17), "")</f>
        <v>#VALUE!</v>
      </c>
      <c r="J17" s="7" t="e">
        <f t="shared" si="0"/>
        <v>#VALUE!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48"/>
      <c r="H18" s="6"/>
      <c r="I18" s="7" t="e" cm="1">
        <f t="array" ref="I18">_xlfn.IFS(LEFT(G18,1)-RIGHT(G18,1) &gt; 0, "W1",LEFT(G18,1)-RIGHT(G18,1) = 0, "D",LEFT(G18,1)-RIGHT(G18,1) &lt; 0, "W2", ISBLANK(G18), "")</f>
        <v>#VALUE!</v>
      </c>
      <c r="J18" s="7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48"/>
      <c r="H19" s="6"/>
      <c r="I19" s="7" t="e" cm="1">
        <f t="array" ref="I19">_xlfn.IFS(LEFT(G19,1)-RIGHT(G19,1) &gt; 0, "W1",LEFT(G19,1)-RIGHT(G19,1) = 0, "D",LEFT(G19,1)-RIGHT(G19,1) &lt; 0, "W2", ISBLANK(G19), "")</f>
        <v>#VALUE!</v>
      </c>
      <c r="J19" s="7" t="e">
        <f t="shared" si="0"/>
        <v>#VALUE!</v>
      </c>
    </row>
    <row r="20" spans="1:10" ht="25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49" t="s">
        <v>2462</v>
      </c>
      <c r="H20" s="8" t="s">
        <v>2464</v>
      </c>
      <c r="I20" s="9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49" t="s">
        <v>2454</v>
      </c>
      <c r="H21" s="8" t="s">
        <v>2475</v>
      </c>
      <c r="I21" s="9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49"/>
      <c r="H22" s="8"/>
      <c r="I22" s="9" t="e" cm="1">
        <f t="array" ref="I22">_xlfn.IFS(LEFT(G22,1)-RIGHT(G22,1) &gt; 0, "W1",LEFT(G22,1)-RIGHT(G22,1) = 0, "D",LEFT(G22,1)-RIGHT(G22,1) &lt; 0, "W2", ISBLANK(G22), "")</f>
        <v>#VALUE!</v>
      </c>
      <c r="J22" s="9" t="e">
        <f t="shared" si="0"/>
        <v>#VALUE!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49"/>
      <c r="H23" s="8"/>
      <c r="I23" s="9" t="e" cm="1">
        <f t="array" ref="I23">_xlfn.IFS(LEFT(G23,1)-RIGHT(G23,1) &gt; 0, "W1",LEFT(G23,1)-RIGHT(G23,1) = 0, "D",LEFT(G23,1)-RIGHT(G23,1) &lt; 0, "W2", ISBLANK(G23), "")</f>
        <v>#VALUE!</v>
      </c>
      <c r="J23" s="9" t="e">
        <f t="shared" si="0"/>
        <v>#VALUE!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49"/>
      <c r="H24" s="8"/>
      <c r="I24" s="9" t="e" cm="1">
        <f t="array" ref="I24">_xlfn.IFS(LEFT(G24,1)-RIGHT(G24,1) &gt; 0, "W1",LEFT(G24,1)-RIGHT(G24,1) = 0, "D",LEFT(G24,1)-RIGHT(G24,1) &lt; 0, "W2", ISBLANK(G24), "")</f>
        <v>#VALUE!</v>
      </c>
      <c r="J24" s="9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49"/>
      <c r="H25" s="8"/>
      <c r="I25" s="9" t="e" cm="1">
        <f t="array" ref="I25">_xlfn.IFS(LEFT(G25,1)-RIGHT(G25,1) &gt; 0, "W1",LEFT(G25,1)-RIGHT(G25,1) = 0, "D",LEFT(G25,1)-RIGHT(G25,1) &lt; 0, "W2", ISBLANK(G25), "")</f>
        <v>#VALUE!</v>
      </c>
      <c r="J25" s="9" t="e">
        <f>LEFT(G25,1)-RIGHT(G25,1)</f>
        <v>#VALUE!</v>
      </c>
    </row>
    <row r="26" spans="1:10" ht="32" customHeight="1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50" t="s">
        <v>2477</v>
      </c>
      <c r="H26" s="10" t="s">
        <v>2476</v>
      </c>
      <c r="I26" s="11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50" t="s">
        <v>2478</v>
      </c>
      <c r="H27" s="10" t="s">
        <v>2479</v>
      </c>
      <c r="I27" s="11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50"/>
      <c r="H28" s="10"/>
      <c r="I28" s="11" t="e" cm="1">
        <f t="array" ref="I28">_xlfn.IFS(LEFT(G28,1)-RIGHT(G28,1) &gt; 0, "W1",LEFT(G28,1)-RIGHT(G28,1) = 0, "D",LEFT(G28,1)-RIGHT(G28,1) &lt; 0, "W2", ISBLANK(G28), "")</f>
        <v>#VALUE!</v>
      </c>
      <c r="J28" s="11" t="e">
        <f t="shared" si="1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50"/>
      <c r="H29" s="10"/>
      <c r="I29" s="11" t="e" cm="1">
        <f t="array" ref="I29">_xlfn.IFS(LEFT(G29,1)-RIGHT(G29,1) &gt; 0, "W1",LEFT(G29,1)-RIGHT(G29,1) = 0, "D",LEFT(G29,1)-RIGHT(G29,1) &lt; 0, "W2", ISBLANK(G29), "")</f>
        <v>#VALUE!</v>
      </c>
      <c r="J29" s="11" t="e">
        <f t="shared" si="1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50"/>
      <c r="H30" s="10"/>
      <c r="I30" s="11" t="e" cm="1">
        <f t="array" ref="I30">_xlfn.IFS(LEFT(G30,1)-RIGHT(G30,1) &gt; 0, "W1",LEFT(G30,1)-RIGHT(G30,1) = 0, "D",LEFT(G30,1)-RIGHT(G30,1) &lt; 0, "W2", ISBLANK(G30), "")</f>
        <v>#VALUE!</v>
      </c>
      <c r="J30" s="11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50"/>
      <c r="H31" s="10"/>
      <c r="I31" s="11" t="e" cm="1">
        <f t="array" ref="I31">_xlfn.IFS(LEFT(G31,1)-RIGHT(G31,1) &gt; 0, "W1",LEFT(G31,1)-RIGHT(G31,1) = 0, "D",LEFT(G31,1)-RIGHT(G31,1) &lt; 0, "W2", ISBLANK(G31), "")</f>
        <v>#VALUE!</v>
      </c>
      <c r="J31" s="11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151" t="s">
        <v>2480</v>
      </c>
      <c r="H32" s="12" t="s">
        <v>2483</v>
      </c>
      <c r="I32" s="13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151" t="s">
        <v>2482</v>
      </c>
      <c r="H33" s="12" t="s">
        <v>2481</v>
      </c>
      <c r="I33" s="13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151"/>
      <c r="H34" s="12"/>
      <c r="I34" s="13" t="e" cm="1">
        <f t="array" ref="I34">_xlfn.IFS(LEFT(G34,1)-RIGHT(G34,1) &gt; 0, "W1",LEFT(G34,1)-RIGHT(G34,1) = 0, "D",LEFT(G34,1)-RIGHT(G34,1) &lt; 0, "W2", ISBLANK(G34), "")</f>
        <v>#VALUE!</v>
      </c>
      <c r="J34" s="13" t="e">
        <f t="shared" si="1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151"/>
      <c r="H35" s="12"/>
      <c r="I35" s="13" t="e" cm="1">
        <f t="array" ref="I35">_xlfn.IFS(LEFT(G35,1)-RIGHT(G35,1) &gt; 0, "W1",LEFT(G35,1)-RIGHT(G35,1) = 0, "D",LEFT(G35,1)-RIGHT(G35,1) &lt; 0, "W2", ISBLANK(G35), "")</f>
        <v>#VALUE!</v>
      </c>
      <c r="J35" s="13" t="e">
        <f t="shared" si="1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151"/>
      <c r="H36" s="12"/>
      <c r="I36" s="13" t="e" cm="1">
        <f t="array" ref="I36">_xlfn.IFS(LEFT(G36,1)-RIGHT(G36,1) &gt; 0, "W1",LEFT(G36,1)-RIGHT(G36,1) = 0, "D",LEFT(G36,1)-RIGHT(G36,1) &lt; 0, "W2", ISBLANK(G36), "")</f>
        <v>#VALUE!</v>
      </c>
      <c r="J36" s="13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151"/>
      <c r="H37" s="12"/>
      <c r="I37" s="13" t="e" cm="1">
        <f t="array" ref="I37">_xlfn.IFS(LEFT(G37,1)-RIGHT(G37,1) &gt; 0, "W1",LEFT(G37,1)-RIGHT(G37,1) = 0, "D",LEFT(G37,1)-RIGHT(G37,1) &lt; 0, "W2", ISBLANK(G37), "")</f>
        <v>#VALUE!</v>
      </c>
      <c r="J37" s="13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152" t="s">
        <v>2461</v>
      </c>
      <c r="H38" s="14" t="s">
        <v>2486</v>
      </c>
      <c r="I38" s="15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152" t="s">
        <v>2480</v>
      </c>
      <c r="H39" s="14" t="s">
        <v>2487</v>
      </c>
      <c r="I39" s="15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152"/>
      <c r="H40" s="14"/>
      <c r="I40" s="15" t="e" cm="1">
        <f t="array" ref="I40">_xlfn.IFS(LEFT(G40,1)-RIGHT(G40,1) &gt; 0, "W1",LEFT(G40,1)-RIGHT(G40,1) = 0, "D",LEFT(G40,1)-RIGHT(G40,1) &lt; 0, "W2", ISBLANK(G40), "")</f>
        <v>#VALUE!</v>
      </c>
      <c r="J40" s="15" t="e">
        <f t="shared" si="1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152"/>
      <c r="H41" s="14"/>
      <c r="I41" s="15" t="e" cm="1">
        <f t="array" ref="I41">_xlfn.IFS(LEFT(G41,1)-RIGHT(G41,1) &gt; 0, "W1",LEFT(G41,1)-RIGHT(G41,1) = 0, "D",LEFT(G41,1)-RIGHT(G41,1) &lt; 0, "W2", ISBLANK(G41), "")</f>
        <v>#VALUE!</v>
      </c>
      <c r="J41" s="15" t="e">
        <f t="shared" si="1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152"/>
      <c r="H42" s="14"/>
      <c r="I42" s="15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152"/>
      <c r="H43" s="14"/>
      <c r="I43" s="15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153" t="s">
        <v>2484</v>
      </c>
      <c r="H44" s="16"/>
      <c r="I44" s="17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153" t="s">
        <v>2461</v>
      </c>
      <c r="H45" s="16" t="s">
        <v>2485</v>
      </c>
      <c r="I45" s="17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153"/>
      <c r="H46" s="16"/>
      <c r="I46" s="17" t="e" cm="1">
        <f t="array" ref="I46">_xlfn.IFS(LEFT(G46,1)-RIGHT(G46,1) &gt; 0, "W1",LEFT(G46,1)-RIGHT(G46,1) = 0, "D",LEFT(G46,1)-RIGHT(G46,1) &lt; 0, "W2", ISBLANK(G46), "")</f>
        <v>#VALUE!</v>
      </c>
      <c r="J46" s="17" t="e">
        <f t="shared" si="1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153"/>
      <c r="H47" s="16"/>
      <c r="I47" s="17" t="e" cm="1">
        <f t="array" ref="I47">_xlfn.IFS(LEFT(G47,1)-RIGHT(G47,1) &gt; 0, "W1",LEFT(G47,1)-RIGHT(G47,1) = 0, "D",LEFT(G47,1)-RIGHT(G47,1) &lt; 0, "W2", ISBLANK(G47), "")</f>
        <v>#VALUE!</v>
      </c>
      <c r="J47" s="17" t="e">
        <f t="shared" si="1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153"/>
      <c r="H48" s="16"/>
      <c r="I48" s="17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153"/>
      <c r="H49" s="16"/>
      <c r="I49" s="17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154" t="s">
        <v>3809</v>
      </c>
      <c r="H50" s="18" t="s">
        <v>3812</v>
      </c>
      <c r="I50" s="19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154" t="s">
        <v>3810</v>
      </c>
      <c r="H51" s="18" t="s">
        <v>3811</v>
      </c>
      <c r="I51" s="19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154"/>
      <c r="H52" s="18"/>
      <c r="I52" s="19" t="e" cm="1">
        <f t="array" ref="I52">_xlfn.IFS(LEFT(G52,1)-RIGHT(G52,1) &gt; 0, "W1",LEFT(G52,1)-RIGHT(G52,1) = 0, "D",LEFT(G52,1)-RIGHT(G52,1) &lt; 0, "W2", ISBLANK(G52), "")</f>
        <v>#VALUE!</v>
      </c>
      <c r="J52" s="19" t="e">
        <f t="shared" si="1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154"/>
      <c r="H53" s="18"/>
      <c r="I53" s="19" t="e" cm="1">
        <f t="array" ref="I53">_xlfn.IFS(LEFT(G53,1)-RIGHT(G53,1) &gt; 0, "W1",LEFT(G53,1)-RIGHT(G53,1) = 0, "D",LEFT(G53,1)-RIGHT(G53,1) &lt; 0, "W2", ISBLANK(G53), "")</f>
        <v>#VALUE!</v>
      </c>
      <c r="J53" s="19" t="e">
        <f t="shared" si="1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154"/>
      <c r="H54" s="18"/>
      <c r="I54" s="19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154"/>
      <c r="H55" s="18"/>
      <c r="I55" s="19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155" t="s">
        <v>3807</v>
      </c>
      <c r="H56" s="20" t="s">
        <v>3808</v>
      </c>
      <c r="I56" s="21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155" t="s">
        <v>3809</v>
      </c>
      <c r="H57" s="20" t="s">
        <v>3813</v>
      </c>
      <c r="I57" s="21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155"/>
      <c r="H58" s="20"/>
      <c r="I58" s="21" t="e" cm="1">
        <f t="array" ref="I58">_xlfn.IFS(LEFT(G58,1)-RIGHT(G58,1) &gt; 0, "W1",LEFT(G58,1)-RIGHT(G58,1) = 0, "D",LEFT(G58,1)-RIGHT(G58,1) &lt; 0, "W2", ISBLANK(G58), "")</f>
        <v>#VALUE!</v>
      </c>
      <c r="J58" s="21" t="e">
        <f t="shared" si="1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155"/>
      <c r="H59" s="20"/>
      <c r="I59" s="21" t="e" cm="1">
        <f t="array" ref="I59">_xlfn.IFS(LEFT(G59,1)-RIGHT(G59,1) &gt; 0, "W1",LEFT(G59,1)-RIGHT(G59,1) = 0, "D",LEFT(G59,1)-RIGHT(G59,1) &lt; 0, "W2", ISBLANK(G59), "")</f>
        <v>#VALUE!</v>
      </c>
      <c r="J59" s="21" t="e">
        <f t="shared" si="1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155"/>
      <c r="H60" s="20"/>
      <c r="I60" s="21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155"/>
      <c r="H61" s="20"/>
      <c r="I61" s="21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156" t="s">
        <v>2461</v>
      </c>
      <c r="H62" s="22" t="s">
        <v>3814</v>
      </c>
      <c r="I62" s="23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156" t="s">
        <v>3818</v>
      </c>
      <c r="H63" s="22" t="s">
        <v>3819</v>
      </c>
      <c r="I63" s="23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156"/>
      <c r="H64" s="22"/>
      <c r="I64" s="23" t="e" cm="1">
        <f t="array" ref="I64">_xlfn.IFS(LEFT(G64,1)-RIGHT(G64,1) &gt; 0, "W1",LEFT(G64,1)-RIGHT(G64,1) = 0, "D",LEFT(G64,1)-RIGHT(G64,1) &lt; 0, "W2", ISBLANK(G64), "")</f>
        <v>#VALUE!</v>
      </c>
      <c r="J64" s="23" t="e">
        <f t="shared" si="1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156"/>
      <c r="H65" s="22"/>
      <c r="I65" s="23" t="e" cm="1">
        <f t="array" ref="I65">_xlfn.IFS(LEFT(G65,1)-RIGHT(G65,1) &gt; 0, "W1",LEFT(G65,1)-RIGHT(G65,1) = 0, "D",LEFT(G65,1)-RIGHT(G65,1) &lt; 0, "W2", ISBLANK(G65), "")</f>
        <v>#VALUE!</v>
      </c>
      <c r="J65" s="23" t="e">
        <f t="shared" si="1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156"/>
      <c r="H66" s="22"/>
      <c r="I66" s="23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156"/>
      <c r="H67" s="22"/>
      <c r="I67" s="23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</row>
    <row r="68" spans="1:10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157" t="s">
        <v>3815</v>
      </c>
      <c r="H68" s="24" t="s">
        <v>3817</v>
      </c>
      <c r="I68" s="25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157" t="s">
        <v>2478</v>
      </c>
      <c r="H69" s="24" t="s">
        <v>3816</v>
      </c>
      <c r="I69" s="25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157"/>
      <c r="H70" s="24"/>
      <c r="I70" s="25" t="e" cm="1">
        <f t="array" ref="I70">_xlfn.IFS(LEFT(G70,1)-RIGHT(G70,1) &gt; 0, "W1",LEFT(G70,1)-RIGHT(G70,1) = 0, "D",LEFT(G70,1)-RIGHT(G70,1) &lt; 0, "W2", ISBLANK(G70), "")</f>
        <v>#VALUE!</v>
      </c>
      <c r="J70" s="2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157"/>
      <c r="H71" s="24"/>
      <c r="I71" s="25" t="e" cm="1">
        <f t="array" ref="I71">_xlfn.IFS(LEFT(G71,1)-RIGHT(G71,1) &gt; 0, "W1",LEFT(G71,1)-RIGHT(G71,1) = 0, "D",LEFT(G71,1)-RIGHT(G71,1) &lt; 0, "W2", ISBLANK(G71), "")</f>
        <v>#VALUE!</v>
      </c>
      <c r="J71" s="2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157"/>
      <c r="H72" s="24"/>
      <c r="I72" s="25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157"/>
      <c r="H73" s="24"/>
      <c r="I73" s="25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158"/>
      <c r="H74" s="26"/>
      <c r="I74" s="27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158"/>
      <c r="H75" s="26"/>
      <c r="I75" s="27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158"/>
      <c r="H76" s="26"/>
      <c r="I76" s="27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158"/>
      <c r="H77" s="26"/>
      <c r="I77" s="27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158"/>
      <c r="H78" s="26"/>
      <c r="I78" s="27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158"/>
      <c r="H79" s="26"/>
      <c r="I79" s="27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158"/>
      <c r="H80" s="26"/>
      <c r="I80" s="27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158"/>
      <c r="H81" s="26"/>
      <c r="I81" s="27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158"/>
      <c r="H82" s="26"/>
      <c r="I82" s="27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158"/>
      <c r="H83" s="26"/>
      <c r="I83" s="27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158"/>
      <c r="H84" s="26"/>
      <c r="I84" s="27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158"/>
      <c r="H85" s="26"/>
      <c r="I85" s="27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158"/>
      <c r="H86" s="26"/>
      <c r="I86" s="27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158"/>
      <c r="H87" s="26"/>
      <c r="I87" s="27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158"/>
      <c r="H88" s="26"/>
      <c r="I88" s="27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158"/>
      <c r="H89" s="26"/>
      <c r="I89" s="27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159"/>
      <c r="H90" s="28"/>
      <c r="I90" s="29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159"/>
      <c r="H91" s="28"/>
      <c r="I91" s="29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159"/>
      <c r="H92" s="28"/>
      <c r="I92" s="29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159"/>
      <c r="H93" s="28"/>
      <c r="I93" s="29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159"/>
      <c r="H94" s="28"/>
      <c r="I94" s="29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159"/>
      <c r="H95" s="28"/>
      <c r="I95" s="29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159"/>
      <c r="H96" s="28"/>
      <c r="I96" s="29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159"/>
      <c r="H97" s="28"/>
      <c r="I97" s="29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160"/>
      <c r="H98" s="30"/>
      <c r="I98" s="31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160"/>
      <c r="H99" s="30"/>
      <c r="I99" s="31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160"/>
      <c r="H100" s="30"/>
      <c r="I100" s="31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160"/>
      <c r="H101" s="30"/>
      <c r="I101" s="31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161"/>
      <c r="H102" s="32"/>
      <c r="I102" s="33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161"/>
      <c r="H103" s="32"/>
      <c r="I103" s="33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162"/>
      <c r="H104" s="34"/>
      <c r="I104" s="35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158"/>
      <c r="H105" s="26"/>
      <c r="I105" s="27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216" activePane="bottomLeft" state="frozen"/>
      <selection pane="bottomLeft" activeCell="F236" sqref="F23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262</v>
      </c>
      <c r="B1" s="144" t="s">
        <v>263</v>
      </c>
      <c r="C1" s="144" t="s">
        <v>264</v>
      </c>
      <c r="D1" s="144" t="s">
        <v>265</v>
      </c>
      <c r="E1" s="144" t="s">
        <v>266</v>
      </c>
      <c r="F1" s="144" t="s">
        <v>2510</v>
      </c>
      <c r="G1" s="144" t="s">
        <v>2511</v>
      </c>
      <c r="H1" s="144" t="s">
        <v>2512</v>
      </c>
      <c r="I1" s="144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37" t="s">
        <v>2513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37" t="s">
        <v>2513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37" t="s">
        <v>2513</v>
      </c>
      <c r="G4" s="37" t="str">
        <f t="shared" si="0"/>
        <v>Achraf ABADA - Algeria</v>
      </c>
      <c r="H4" s="37" t="str">
        <f t="shared" si="1"/>
        <v>DZA3</v>
      </c>
      <c r="I4" s="37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37" t="s">
        <v>2513</v>
      </c>
      <c r="G5" s="37" t="str">
        <f t="shared" si="0"/>
        <v>Mohamed Amine TOUGAI - Algeria</v>
      </c>
      <c r="H5" s="37" t="str">
        <f t="shared" si="1"/>
        <v>DZA4</v>
      </c>
      <c r="I5" s="37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37" t="s">
        <v>2513</v>
      </c>
      <c r="G6" s="37" t="str">
        <f t="shared" si="0"/>
        <v>Zineddine BELAID - Algeria</v>
      </c>
      <c r="H6" s="37" t="str">
        <f t="shared" si="1"/>
        <v>DZA5</v>
      </c>
      <c r="I6" s="37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37" t="s">
        <v>2513</v>
      </c>
      <c r="G7" s="37" t="str">
        <f t="shared" si="0"/>
        <v>Ramiz ZERROUKI - Algeria</v>
      </c>
      <c r="H7" s="37" t="str">
        <f t="shared" si="1"/>
        <v>DZA6</v>
      </c>
      <c r="I7" s="3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37" t="s">
        <v>2513</v>
      </c>
      <c r="G8" s="37" t="str">
        <f t="shared" si="0"/>
        <v>Riyad MAHREZ - Algeria</v>
      </c>
      <c r="H8" s="37" t="str">
        <f t="shared" si="1"/>
        <v>DZA7</v>
      </c>
      <c r="I8" s="37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37" t="s">
        <v>2513</v>
      </c>
      <c r="G9" s="37" t="str">
        <f t="shared" si="0"/>
        <v>Houssem AOUAR - Algeria</v>
      </c>
      <c r="H9" s="37" t="str">
        <f t="shared" si="1"/>
        <v>DZA8</v>
      </c>
      <c r="I9" s="37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37" t="s">
        <v>2513</v>
      </c>
      <c r="G10" s="37" t="str">
        <f t="shared" si="0"/>
        <v>Amine GOUIRI - Algeria</v>
      </c>
      <c r="H10" s="37" t="str">
        <f t="shared" si="1"/>
        <v>DZA9</v>
      </c>
      <c r="I10" s="37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37" t="s">
        <v>2513</v>
      </c>
      <c r="G11" s="37" t="str">
        <f t="shared" si="0"/>
        <v>Fares CHAIBI - Algeria</v>
      </c>
      <c r="H11" s="37" t="str">
        <f t="shared" si="1"/>
        <v>DZA10</v>
      </c>
      <c r="I11" s="37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37" t="s">
        <v>2513</v>
      </c>
      <c r="G12" s="37" t="str">
        <f t="shared" si="0"/>
        <v>Anis HADJ MOUSSA - Algeria</v>
      </c>
      <c r="H12" s="37" t="str">
        <f t="shared" si="1"/>
        <v>DZA11</v>
      </c>
      <c r="I12" s="37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37" t="s">
        <v>2513</v>
      </c>
      <c r="G13" s="37" t="str">
        <f t="shared" si="0"/>
        <v>Nadhir BENBOUALI - Algeria</v>
      </c>
      <c r="H13" s="37" t="str">
        <f t="shared" si="1"/>
        <v>DZA12</v>
      </c>
      <c r="I13" s="37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37" t="s">
        <v>2513</v>
      </c>
      <c r="G14" s="37" t="str">
        <f t="shared" si="0"/>
        <v>Jaouen HADJAM - Algeria</v>
      </c>
      <c r="H14" s="37" t="str">
        <f t="shared" si="1"/>
        <v>DZA13</v>
      </c>
      <c r="I14" s="37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37" t="s">
        <v>2513</v>
      </c>
      <c r="G15" s="37" t="str">
        <f t="shared" si="0"/>
        <v>Hicham BOUDAOUI - Algeria</v>
      </c>
      <c r="H15" s="37" t="str">
        <f t="shared" si="1"/>
        <v>DZA14</v>
      </c>
      <c r="I15" s="37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37" t="s">
        <v>2513</v>
      </c>
      <c r="G16" s="37" t="str">
        <f t="shared" si="0"/>
        <v>Rayan AIT-NOURI - Algeria</v>
      </c>
      <c r="H16" s="37" t="str">
        <f t="shared" si="1"/>
        <v>DZA15</v>
      </c>
      <c r="I16" s="37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37" t="s">
        <v>2513</v>
      </c>
      <c r="G17" s="37" t="str">
        <f t="shared" si="0"/>
        <v>Oussama BENBOT - Algeria</v>
      </c>
      <c r="H17" s="37" t="str">
        <f t="shared" si="1"/>
        <v>DZA16</v>
      </c>
      <c r="I17" s="3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37" t="s">
        <v>2513</v>
      </c>
      <c r="G18" s="37" t="str">
        <f t="shared" si="0"/>
        <v>Rak BELGHALI - Algeria</v>
      </c>
      <c r="H18" s="37" t="str">
        <f t="shared" si="1"/>
        <v>DZA17</v>
      </c>
      <c r="I18" s="37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37" t="s">
        <v>2513</v>
      </c>
      <c r="G19" s="37" t="str">
        <f t="shared" si="0"/>
        <v>Mohamed AMOURA - Algeria</v>
      </c>
      <c r="H19" s="37" t="str">
        <f t="shared" si="1"/>
        <v>DZA18</v>
      </c>
      <c r="I19" s="37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37" t="s">
        <v>2513</v>
      </c>
      <c r="G20" s="37" t="str">
        <f t="shared" si="0"/>
        <v>Nabil BENTALEB - Algeria</v>
      </c>
      <c r="H20" s="37" t="str">
        <f t="shared" si="1"/>
        <v>DZA19</v>
      </c>
      <c r="I20" s="37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37" t="s">
        <v>2513</v>
      </c>
      <c r="G21" s="37" t="str">
        <f t="shared" si="0"/>
        <v>Adil BOULBINA - Algeria</v>
      </c>
      <c r="H21" s="37" t="str">
        <f t="shared" si="1"/>
        <v>DZA20</v>
      </c>
      <c r="I21" s="37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37" t="s">
        <v>2513</v>
      </c>
      <c r="G22" s="37" t="str">
        <f t="shared" si="0"/>
        <v>Ramy BENSEBAINI - Algeria</v>
      </c>
      <c r="H22" s="37" t="str">
        <f t="shared" si="1"/>
        <v>DZA21</v>
      </c>
      <c r="I22" s="37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37" t="s">
        <v>2513</v>
      </c>
      <c r="G23" s="37" t="str">
        <f t="shared" si="0"/>
        <v>Ibrahim MAZA - Algeria</v>
      </c>
      <c r="H23" s="37" t="str">
        <f t="shared" si="1"/>
        <v>DZA22</v>
      </c>
      <c r="I23" s="37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37" t="s">
        <v>2513</v>
      </c>
      <c r="G24" s="37" t="str">
        <f t="shared" si="0"/>
        <v>Luca ZIDANE - Algeria</v>
      </c>
      <c r="H24" s="37" t="str">
        <f t="shared" si="1"/>
        <v>DZA23</v>
      </c>
      <c r="I24" s="37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37" t="s">
        <v>2513</v>
      </c>
      <c r="G25" s="37" t="str">
        <f t="shared" si="0"/>
        <v>Yassine TITRAOUI - Algeria</v>
      </c>
      <c r="H25" s="37" t="str">
        <f t="shared" si="1"/>
        <v>DZA24</v>
      </c>
      <c r="I25" s="37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37" t="s">
        <v>2513</v>
      </c>
      <c r="G26" s="37" t="str">
        <f t="shared" si="0"/>
        <v>Fares GHEDJEMIS - Algeria</v>
      </c>
      <c r="H26" s="37" t="str">
        <f t="shared" si="1"/>
        <v>DZA25</v>
      </c>
      <c r="I26" s="37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37" t="s">
        <v>2513</v>
      </c>
      <c r="G27" s="37" t="str">
        <f t="shared" si="0"/>
        <v>Samir CHERGUI - Algeria</v>
      </c>
      <c r="H27" s="37" t="str">
        <f t="shared" si="1"/>
        <v>DZA26</v>
      </c>
      <c r="I27" s="3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39" t="s">
        <v>2540</v>
      </c>
      <c r="G28" s="39" t="str">
        <f t="shared" si="0"/>
        <v>Juan MUSSO - Argentina</v>
      </c>
      <c r="H28" s="39" t="str">
        <f t="shared" si="1"/>
        <v>ARG1</v>
      </c>
      <c r="I28" s="39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39" t="s">
        <v>2540</v>
      </c>
      <c r="G29" s="39" t="str">
        <f t="shared" si="0"/>
        <v>Marcos SENESI - Argentina</v>
      </c>
      <c r="H29" s="39" t="str">
        <f t="shared" si="1"/>
        <v>ARG2</v>
      </c>
      <c r="I29" s="3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39" t="s">
        <v>2540</v>
      </c>
      <c r="G30" s="39" t="str">
        <f t="shared" si="0"/>
        <v>Nicolas TAGLIAFICO - Argentina</v>
      </c>
      <c r="H30" s="39" t="str">
        <f t="shared" si="1"/>
        <v>ARG3</v>
      </c>
      <c r="I30" s="39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39" t="s">
        <v>2540</v>
      </c>
      <c r="G31" s="39" t="str">
        <f t="shared" si="0"/>
        <v>Gonzalo MONTIEL - Argentina</v>
      </c>
      <c r="H31" s="39" t="str">
        <f t="shared" si="1"/>
        <v>ARG4</v>
      </c>
      <c r="I31" s="39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39" t="s">
        <v>2540</v>
      </c>
      <c r="G32" s="39" t="str">
        <f t="shared" si="0"/>
        <v>Leandro PAREDES - Argentina</v>
      </c>
      <c r="H32" s="39" t="str">
        <f t="shared" si="1"/>
        <v>ARG5</v>
      </c>
      <c r="I32" s="39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39" t="s">
        <v>2540</v>
      </c>
      <c r="G33" s="39" t="str">
        <f t="shared" si="0"/>
        <v>Lisandro MARTINEZ - Argentina</v>
      </c>
      <c r="H33" s="39" t="str">
        <f t="shared" si="1"/>
        <v>ARG6</v>
      </c>
      <c r="I33" s="39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39" t="s">
        <v>2540</v>
      </c>
      <c r="G34" s="39" t="str">
        <f t="shared" si="0"/>
        <v>Rodrigo DE PAUL - Argentina</v>
      </c>
      <c r="H34" s="39" t="str">
        <f t="shared" si="1"/>
        <v>ARG7</v>
      </c>
      <c r="I34" s="39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39" t="s">
        <v>2540</v>
      </c>
      <c r="G35" s="39" t="str">
        <f t="shared" si="0"/>
        <v>Valentin BARCO - Argentina</v>
      </c>
      <c r="H35" s="39" t="str">
        <f t="shared" si="1"/>
        <v>ARG8</v>
      </c>
      <c r="I35" s="39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39" t="s">
        <v>2540</v>
      </c>
      <c r="G36" s="39" t="str">
        <f t="shared" si="0"/>
        <v>Julian ALVAREZ - Argentina</v>
      </c>
      <c r="H36" s="39" t="str">
        <f t="shared" si="1"/>
        <v>ARG9</v>
      </c>
      <c r="I36" s="39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39" t="s">
        <v>2540</v>
      </c>
      <c r="G37" s="39" t="str">
        <f t="shared" si="0"/>
        <v>Lionel MESSI - Argentina</v>
      </c>
      <c r="H37" s="39" t="str">
        <f t="shared" si="1"/>
        <v>ARG10</v>
      </c>
      <c r="I37" s="39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39" t="s">
        <v>2540</v>
      </c>
      <c r="G38" s="39" t="str">
        <f t="shared" si="0"/>
        <v>Giovani LO CELSO - Argentina</v>
      </c>
      <c r="H38" s="39" t="str">
        <f t="shared" si="1"/>
        <v>ARG11</v>
      </c>
      <c r="I38" s="39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39" t="s">
        <v>2540</v>
      </c>
      <c r="G39" s="39" t="str">
        <f t="shared" si="0"/>
        <v>Geronimo RULLI - Argentina</v>
      </c>
      <c r="H39" s="39" t="str">
        <f t="shared" si="1"/>
        <v>ARG12</v>
      </c>
      <c r="I39" s="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39" t="s">
        <v>2540</v>
      </c>
      <c r="G40" s="39" t="str">
        <f t="shared" si="0"/>
        <v>Cristian ROMERO - Argentina</v>
      </c>
      <c r="H40" s="39" t="str">
        <f t="shared" si="1"/>
        <v>ARG13</v>
      </c>
      <c r="I40" s="39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39" t="s">
        <v>2540</v>
      </c>
      <c r="G41" s="39" t="str">
        <f t="shared" si="0"/>
        <v>Exequiel PALACIOS - Argentina</v>
      </c>
      <c r="H41" s="39" t="str">
        <f t="shared" si="1"/>
        <v>ARG14</v>
      </c>
      <c r="I41" s="39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39" t="s">
        <v>2540</v>
      </c>
      <c r="G42" s="39" t="str">
        <f t="shared" si="0"/>
        <v>Nico GONZALEZ - Argentina</v>
      </c>
      <c r="H42" s="39" t="str">
        <f t="shared" si="1"/>
        <v>ARG15</v>
      </c>
      <c r="I42" s="39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39" t="s">
        <v>2540</v>
      </c>
      <c r="G43" s="39" t="str">
        <f t="shared" si="0"/>
        <v>Thiago ALMADA - Argentina</v>
      </c>
      <c r="H43" s="39" t="str">
        <f t="shared" si="1"/>
        <v>ARG16</v>
      </c>
      <c r="I43" s="39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39" t="s">
        <v>2540</v>
      </c>
      <c r="G44" s="39" t="str">
        <f t="shared" si="0"/>
        <v>Giuliano SIMEONE - Argentina</v>
      </c>
      <c r="H44" s="39" t="str">
        <f t="shared" si="1"/>
        <v>ARG17</v>
      </c>
      <c r="I44" s="39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39" t="s">
        <v>2540</v>
      </c>
      <c r="G45" s="39" t="str">
        <f t="shared" si="0"/>
        <v>Nico PAZ - Argentina</v>
      </c>
      <c r="H45" s="39" t="str">
        <f t="shared" si="1"/>
        <v>ARG18</v>
      </c>
      <c r="I45" s="39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39" t="s">
        <v>2540</v>
      </c>
      <c r="G46" s="39" t="str">
        <f t="shared" si="0"/>
        <v>Nicolas OTAMENDI - Argentina</v>
      </c>
      <c r="H46" s="39" t="str">
        <f t="shared" si="1"/>
        <v>ARG19</v>
      </c>
      <c r="I46" s="39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39" t="s">
        <v>2540</v>
      </c>
      <c r="G47" s="39" t="str">
        <f t="shared" si="0"/>
        <v>Alexis MAC ALLISTER - Argentina</v>
      </c>
      <c r="H47" s="39" t="str">
        <f t="shared" si="1"/>
        <v>ARG20</v>
      </c>
      <c r="I47" s="39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39" t="s">
        <v>2540</v>
      </c>
      <c r="G48" s="39" t="str">
        <f t="shared" si="0"/>
        <v>Jose Manuel LOPEZ - Argentina</v>
      </c>
      <c r="H48" s="39" t="str">
        <f t="shared" si="1"/>
        <v>ARG21</v>
      </c>
      <c r="I48" s="39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39" t="s">
        <v>2540</v>
      </c>
      <c r="G49" s="39" t="str">
        <f t="shared" si="0"/>
        <v>Lautaro MARTINEZ - Argentina</v>
      </c>
      <c r="H49" s="39" t="str">
        <f t="shared" si="1"/>
        <v>ARG22</v>
      </c>
      <c r="I49" s="3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39" t="s">
        <v>2540</v>
      </c>
      <c r="G50" s="39" t="str">
        <f t="shared" si="0"/>
        <v>Emiliano MARTINEZ - Argentina</v>
      </c>
      <c r="H50" s="39" t="str">
        <f t="shared" si="1"/>
        <v>ARG23</v>
      </c>
      <c r="I50" s="39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39" t="s">
        <v>2540</v>
      </c>
      <c r="G51" s="39" t="str">
        <f t="shared" si="0"/>
        <v>Enzo FERNANDEZ - Argentina</v>
      </c>
      <c r="H51" s="39" t="str">
        <f t="shared" si="1"/>
        <v>ARG24</v>
      </c>
      <c r="I51" s="39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39" t="s">
        <v>2540</v>
      </c>
      <c r="G52" s="39" t="str">
        <f t="shared" si="0"/>
        <v>Facundo MEDINA - Argentina</v>
      </c>
      <c r="H52" s="39" t="str">
        <f t="shared" si="1"/>
        <v>ARG25</v>
      </c>
      <c r="I52" s="39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39" t="s">
        <v>2540</v>
      </c>
      <c r="G53" s="39" t="str">
        <f t="shared" si="0"/>
        <v>Nahuel MOLINA - Argentina</v>
      </c>
      <c r="H53" s="39" t="str">
        <f t="shared" si="1"/>
        <v>ARG26</v>
      </c>
      <c r="I53" s="39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41" t="s">
        <v>2567</v>
      </c>
      <c r="G54" s="41" t="str">
        <f t="shared" si="0"/>
        <v>Mathew RYAN - Australia</v>
      </c>
      <c r="H54" s="41" t="str">
        <f t="shared" si="1"/>
        <v>AUS1</v>
      </c>
      <c r="I54" s="41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41" t="s">
        <v>2567</v>
      </c>
      <c r="G55" s="41" t="str">
        <f t="shared" si="0"/>
        <v>Milos DEGENEK - Australia</v>
      </c>
      <c r="H55" s="41" t="str">
        <f t="shared" si="1"/>
        <v>AUS2</v>
      </c>
      <c r="I55" s="41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41" t="s">
        <v>2567</v>
      </c>
      <c r="G56" s="41" t="str">
        <f t="shared" si="0"/>
        <v>Alessandro CIRCATI - Australia</v>
      </c>
      <c r="H56" s="41" t="str">
        <f t="shared" si="1"/>
        <v>AUS3</v>
      </c>
      <c r="I56" s="41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41" t="s">
        <v>2567</v>
      </c>
      <c r="G57" s="41" t="str">
        <f t="shared" si="0"/>
        <v>Jacob ITALIANO - Australia</v>
      </c>
      <c r="H57" s="41" t="str">
        <f t="shared" si="1"/>
        <v>AUS4</v>
      </c>
      <c r="I57" s="41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41" t="s">
        <v>2567</v>
      </c>
      <c r="G58" s="41" t="str">
        <f t="shared" si="0"/>
        <v>Jordan BOS - Australia</v>
      </c>
      <c r="H58" s="41" t="str">
        <f t="shared" si="1"/>
        <v>AUS5</v>
      </c>
      <c r="I58" s="41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41" t="s">
        <v>2567</v>
      </c>
      <c r="G59" s="41" t="str">
        <f t="shared" si="0"/>
        <v>Jason GERIA - Australia</v>
      </c>
      <c r="H59" s="41" t="str">
        <f t="shared" si="1"/>
        <v>AUS6</v>
      </c>
      <c r="I59" s="41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41" t="s">
        <v>2567</v>
      </c>
      <c r="G60" s="41" t="str">
        <f t="shared" si="0"/>
        <v>Mathew LECKIE - Australia</v>
      </c>
      <c r="H60" s="41" t="str">
        <f t="shared" si="1"/>
        <v>AUS7</v>
      </c>
      <c r="I60" s="41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41" t="s">
        <v>2567</v>
      </c>
      <c r="G61" s="41" t="str">
        <f t="shared" si="0"/>
        <v>Connor METCALFE - Australia</v>
      </c>
      <c r="H61" s="41" t="str">
        <f t="shared" si="1"/>
        <v>AUS8</v>
      </c>
      <c r="I61" s="4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41" t="s">
        <v>2567</v>
      </c>
      <c r="G62" s="41" t="str">
        <f t="shared" si="0"/>
        <v>Mohamed TOURE - Australia</v>
      </c>
      <c r="H62" s="41" t="str">
        <f t="shared" si="1"/>
        <v>AUS9</v>
      </c>
      <c r="I62" s="41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41" t="s">
        <v>2567</v>
      </c>
      <c r="G63" s="41" t="str">
        <f t="shared" si="0"/>
        <v>Ajdin HRUSTIC - Australia</v>
      </c>
      <c r="H63" s="41" t="str">
        <f t="shared" si="1"/>
        <v>AUS10</v>
      </c>
      <c r="I63" s="41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41" t="s">
        <v>2567</v>
      </c>
      <c r="G64" s="41" t="str">
        <f t="shared" si="0"/>
        <v>Awer MABIL - Australia</v>
      </c>
      <c r="H64" s="41" t="str">
        <f t="shared" si="1"/>
        <v>AUS11</v>
      </c>
      <c r="I64" s="41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41" t="s">
        <v>2567</v>
      </c>
      <c r="G65" s="41" t="str">
        <f t="shared" si="0"/>
        <v>Paul IZZO - Australia</v>
      </c>
      <c r="H65" s="41" t="str">
        <f t="shared" si="1"/>
        <v>AUS12</v>
      </c>
      <c r="I65" s="41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41" t="s">
        <v>2567</v>
      </c>
      <c r="G66" s="41" t="str">
        <f t="shared" si="0"/>
        <v>Aiden ONEILL - Australia</v>
      </c>
      <c r="H66" s="41" t="str">
        <f t="shared" si="1"/>
        <v>AUS13</v>
      </c>
      <c r="I66" s="41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41" t="s">
        <v>2567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41" t="s">
        <v>2567</v>
      </c>
      <c r="G68" s="41" t="str">
        <f t="shared" si="2"/>
        <v>Kai TREWIN - Australia</v>
      </c>
      <c r="H68" s="41" t="str">
        <f t="shared" si="3"/>
        <v>AUS15</v>
      </c>
      <c r="I68" s="41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41" t="s">
        <v>2567</v>
      </c>
      <c r="G69" s="41" t="str">
        <f t="shared" si="2"/>
        <v>Aziz BEHICH - Australia</v>
      </c>
      <c r="H69" s="41" t="str">
        <f t="shared" si="3"/>
        <v>AUS16</v>
      </c>
      <c r="I69" s="41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41" t="s">
        <v>2567</v>
      </c>
      <c r="G70" s="41" t="str">
        <f t="shared" si="2"/>
        <v>Nestory IRANKUNDA - Australia</v>
      </c>
      <c r="H70" s="41" t="str">
        <f t="shared" si="3"/>
        <v>AUS17</v>
      </c>
      <c r="I70" s="41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41" t="s">
        <v>2567</v>
      </c>
      <c r="G71" s="41" t="str">
        <f t="shared" si="2"/>
        <v>Patrick BEACH - Australia</v>
      </c>
      <c r="H71" s="41" t="str">
        <f t="shared" si="3"/>
        <v>AUS18</v>
      </c>
      <c r="I71" s="4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41" t="s">
        <v>2567</v>
      </c>
      <c r="G72" s="41" t="str">
        <f t="shared" si="2"/>
        <v>Harry SOUTTAR - Australia</v>
      </c>
      <c r="H72" s="41" t="str">
        <f t="shared" si="3"/>
        <v>AUS19</v>
      </c>
      <c r="I72" s="41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41" t="s">
        <v>2567</v>
      </c>
      <c r="G73" s="41" t="str">
        <f t="shared" si="2"/>
        <v>Cristian VOLPATO - Australia</v>
      </c>
      <c r="H73" s="41" t="str">
        <f t="shared" si="3"/>
        <v>AUS20</v>
      </c>
      <c r="I73" s="41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41" t="s">
        <v>2567</v>
      </c>
      <c r="G74" s="41" t="str">
        <f t="shared" si="2"/>
        <v>Cameron BURGESS - Australia</v>
      </c>
      <c r="H74" s="41" t="str">
        <f t="shared" si="3"/>
        <v>AUS21</v>
      </c>
      <c r="I74" s="41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41" t="s">
        <v>2567</v>
      </c>
      <c r="G75" s="41" t="str">
        <f t="shared" si="2"/>
        <v>Jackson IRVINE - Australia</v>
      </c>
      <c r="H75" s="41" t="str">
        <f t="shared" si="3"/>
        <v>AUS22</v>
      </c>
      <c r="I75" s="41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41" t="s">
        <v>2567</v>
      </c>
      <c r="G76" s="41" t="str">
        <f t="shared" si="2"/>
        <v>Nishan VELUPILLAY - Australia</v>
      </c>
      <c r="H76" s="41" t="str">
        <f t="shared" si="3"/>
        <v>AUS23</v>
      </c>
      <c r="I76" s="41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41" t="s">
        <v>2567</v>
      </c>
      <c r="G77" s="41" t="str">
        <f t="shared" si="2"/>
        <v>Paul OKON-ENGSTLER - Australia</v>
      </c>
      <c r="H77" s="41" t="str">
        <f t="shared" si="3"/>
        <v>AUS24</v>
      </c>
      <c r="I77" s="41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41" t="s">
        <v>2567</v>
      </c>
      <c r="G78" s="41" t="str">
        <f t="shared" si="2"/>
        <v>Lucas HERRINGTON - Australia</v>
      </c>
      <c r="H78" s="41" t="str">
        <f t="shared" si="3"/>
        <v>AUS25</v>
      </c>
      <c r="I78" s="41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41" t="s">
        <v>2567</v>
      </c>
      <c r="G79" s="41" t="str">
        <f t="shared" si="2"/>
        <v>Tete YENGI - Australia</v>
      </c>
      <c r="H79" s="41" t="str">
        <f t="shared" si="3"/>
        <v>AUS26</v>
      </c>
      <c r="I79" s="41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43" t="s">
        <v>2594</v>
      </c>
      <c r="G80" s="43" t="str">
        <f t="shared" si="2"/>
        <v>Alexander SCHLAGER - Austria</v>
      </c>
      <c r="H80" s="43" t="str">
        <f t="shared" si="3"/>
        <v>AUT1</v>
      </c>
      <c r="I80" s="43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43" t="s">
        <v>2594</v>
      </c>
      <c r="G81" s="43" t="str">
        <f t="shared" si="2"/>
        <v>David AFFENGRUBER - Austria</v>
      </c>
      <c r="H81" s="43" t="str">
        <f t="shared" si="3"/>
        <v>AUT2</v>
      </c>
      <c r="I81" s="43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43" t="s">
        <v>2594</v>
      </c>
      <c r="G82" s="43" t="str">
        <f t="shared" si="2"/>
        <v>Kevin DANSO - Austria</v>
      </c>
      <c r="H82" s="43" t="str">
        <f t="shared" si="3"/>
        <v>AUT3</v>
      </c>
      <c r="I82" s="43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43" t="s">
        <v>2594</v>
      </c>
      <c r="G83" s="43" t="str">
        <f t="shared" si="2"/>
        <v>Xaver SCHLAGER - Austria</v>
      </c>
      <c r="H83" s="43" t="str">
        <f t="shared" si="3"/>
        <v>AUT4</v>
      </c>
      <c r="I83" s="4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43" t="s">
        <v>2594</v>
      </c>
      <c r="G84" s="43" t="str">
        <f t="shared" si="2"/>
        <v>Stefan POSCH - Austria</v>
      </c>
      <c r="H84" s="43" t="str">
        <f t="shared" si="3"/>
        <v>AUT5</v>
      </c>
      <c r="I84" s="43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43" t="s">
        <v>2594</v>
      </c>
      <c r="G85" s="43" t="str">
        <f t="shared" si="2"/>
        <v>Nicolas SEIWALD - Austria</v>
      </c>
      <c r="H85" s="43" t="str">
        <f t="shared" si="3"/>
        <v>AUT6</v>
      </c>
      <c r="I85" s="43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43" t="s">
        <v>2594</v>
      </c>
      <c r="G86" s="43" t="str">
        <f t="shared" si="2"/>
        <v>Marko ARNAUTOVIC - Austria</v>
      </c>
      <c r="H86" s="43" t="str">
        <f t="shared" si="3"/>
        <v>AUT7</v>
      </c>
      <c r="I86" s="43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43" t="s">
        <v>2594</v>
      </c>
      <c r="G87" s="43" t="str">
        <f t="shared" si="2"/>
        <v>David ALABA - Austria</v>
      </c>
      <c r="H87" s="43" t="str">
        <f t="shared" si="3"/>
        <v>AUT8</v>
      </c>
      <c r="I87" s="43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43" t="s">
        <v>2594</v>
      </c>
      <c r="G88" s="43" t="str">
        <f t="shared" si="2"/>
        <v>Marcel SABITZER - Austria</v>
      </c>
      <c r="H88" s="43" t="str">
        <f t="shared" si="3"/>
        <v>AUT9</v>
      </c>
      <c r="I88" s="43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43" t="s">
        <v>2594</v>
      </c>
      <c r="G89" s="43" t="str">
        <f t="shared" si="2"/>
        <v>Florian GRILLITSCH - Austria</v>
      </c>
      <c r="H89" s="43" t="str">
        <f t="shared" si="3"/>
        <v>AUT10</v>
      </c>
      <c r="I89" s="43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43" t="s">
        <v>2594</v>
      </c>
      <c r="G90" s="43" t="str">
        <f t="shared" si="2"/>
        <v>Michael GREGORITSCH - Austria</v>
      </c>
      <c r="H90" s="43" t="str">
        <f t="shared" si="3"/>
        <v>AUT11</v>
      </c>
      <c r="I90" s="43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43" t="s">
        <v>2594</v>
      </c>
      <c r="G91" s="43" t="str">
        <f t="shared" si="2"/>
        <v>Florian WIEGELE - Austria</v>
      </c>
      <c r="H91" s="43" t="str">
        <f t="shared" si="3"/>
        <v>AUT12</v>
      </c>
      <c r="I91" s="43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43" t="s">
        <v>2594</v>
      </c>
      <c r="G92" s="43" t="str">
        <f t="shared" si="2"/>
        <v>Patrick PENTZ - Austria</v>
      </c>
      <c r="H92" s="43" t="str">
        <f t="shared" si="3"/>
        <v>AUT13</v>
      </c>
      <c r="I92" s="43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43" t="s">
        <v>2594</v>
      </c>
      <c r="G93" s="43" t="str">
        <f t="shared" si="2"/>
        <v>Sasa KALAJDZIC - Austria</v>
      </c>
      <c r="H93" s="43" t="str">
        <f t="shared" si="3"/>
        <v>AUT14</v>
      </c>
      <c r="I93" s="4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43" t="s">
        <v>2594</v>
      </c>
      <c r="G94" s="43" t="str">
        <f t="shared" si="2"/>
        <v>Philipp LIENHART - Austria</v>
      </c>
      <c r="H94" s="43" t="str">
        <f t="shared" si="3"/>
        <v>AUT15</v>
      </c>
      <c r="I94" s="43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43" t="s">
        <v>2594</v>
      </c>
      <c r="G95" s="43" t="str">
        <f t="shared" si="2"/>
        <v>Phillip MWENE - Austria</v>
      </c>
      <c r="H95" s="43" t="str">
        <f t="shared" si="3"/>
        <v>AUT16</v>
      </c>
      <c r="I95" s="43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43" t="s">
        <v>2594</v>
      </c>
      <c r="G96" s="43" t="str">
        <f t="shared" si="2"/>
        <v>Carney CHUKWUEMEKA - Austria</v>
      </c>
      <c r="H96" s="43" t="str">
        <f t="shared" si="3"/>
        <v>AUT17</v>
      </c>
      <c r="I96" s="43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43" t="s">
        <v>2594</v>
      </c>
      <c r="G97" s="43" t="str">
        <f t="shared" si="2"/>
        <v>Romano SCHMID - Austria</v>
      </c>
      <c r="H97" s="43" t="str">
        <f t="shared" si="3"/>
        <v>AUT18</v>
      </c>
      <c r="I97" s="43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43" t="s">
        <v>2594</v>
      </c>
      <c r="G98" s="43" t="str">
        <f t="shared" si="2"/>
        <v>Dejan LJUBICIC - Austria</v>
      </c>
      <c r="H98" s="43" t="str">
        <f t="shared" si="3"/>
        <v>AUT19</v>
      </c>
      <c r="I98" s="43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43" t="s">
        <v>2594</v>
      </c>
      <c r="G99" s="43" t="str">
        <f t="shared" si="2"/>
        <v>Konrad LAIMER - Austria</v>
      </c>
      <c r="H99" s="43" t="str">
        <f t="shared" si="3"/>
        <v>AUT20</v>
      </c>
      <c r="I99" s="43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43" t="s">
        <v>2594</v>
      </c>
      <c r="G100" s="43" t="str">
        <f t="shared" si="2"/>
        <v>Patrick WIMMER - Austria</v>
      </c>
      <c r="H100" s="43" t="str">
        <f t="shared" si="3"/>
        <v>AUT21</v>
      </c>
      <c r="I100" s="43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43" t="s">
        <v>2594</v>
      </c>
      <c r="G101" s="43" t="str">
        <f t="shared" si="2"/>
        <v>Alexander PRASS - Austria</v>
      </c>
      <c r="H101" s="43" t="str">
        <f t="shared" si="3"/>
        <v>AUT22</v>
      </c>
      <c r="I101" s="43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43" t="s">
        <v>2594</v>
      </c>
      <c r="G102" s="43" t="str">
        <f t="shared" si="2"/>
        <v>Marco FRIEDL - Austria</v>
      </c>
      <c r="H102" s="43" t="str">
        <f t="shared" si="3"/>
        <v>AUT23</v>
      </c>
      <c r="I102" s="43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43" t="s">
        <v>2594</v>
      </c>
      <c r="G103" s="43" t="str">
        <f t="shared" si="2"/>
        <v>Paul WANNER - Austria</v>
      </c>
      <c r="H103" s="43" t="str">
        <f t="shared" si="3"/>
        <v>AUT24</v>
      </c>
      <c r="I103" s="4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43" t="s">
        <v>2594</v>
      </c>
      <c r="G104" s="43" t="str">
        <f t="shared" si="2"/>
        <v>Michael SVOBODA - Austria</v>
      </c>
      <c r="H104" s="43" t="str">
        <f t="shared" si="3"/>
        <v>AUT25</v>
      </c>
      <c r="I104" s="43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43" t="s">
        <v>2594</v>
      </c>
      <c r="G105" s="43" t="str">
        <f t="shared" si="2"/>
        <v>Alessandro SCHOEPF - Austria</v>
      </c>
      <c r="H105" s="43" t="str">
        <f t="shared" si="3"/>
        <v>AUT26</v>
      </c>
      <c r="I105" s="43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45" t="s">
        <v>2620</v>
      </c>
      <c r="G106" s="45" t="str">
        <f t="shared" si="2"/>
        <v>Thibaut COURTOIS - Belgium</v>
      </c>
      <c r="H106" s="45" t="str">
        <f t="shared" si="3"/>
        <v>BEL1</v>
      </c>
      <c r="I106" s="45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45" t="s">
        <v>2620</v>
      </c>
      <c r="G107" s="45" t="str">
        <f t="shared" si="2"/>
        <v>Zeno DEBAST - Belgium</v>
      </c>
      <c r="H107" s="45" t="str">
        <f t="shared" si="3"/>
        <v>BEL2</v>
      </c>
      <c r="I107" s="45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45" t="s">
        <v>2620</v>
      </c>
      <c r="G108" s="45" t="str">
        <f t="shared" si="2"/>
        <v>Arthur THEATE - Belgium</v>
      </c>
      <c r="H108" s="45" t="str">
        <f t="shared" si="3"/>
        <v>BEL3</v>
      </c>
      <c r="I108" s="45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45" t="s">
        <v>2620</v>
      </c>
      <c r="G109" s="45" t="str">
        <f t="shared" si="2"/>
        <v>Brandon MECHELE - Belgium</v>
      </c>
      <c r="H109" s="45" t="str">
        <f t="shared" si="3"/>
        <v>BEL4</v>
      </c>
      <c r="I109" s="45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45" t="s">
        <v>2620</v>
      </c>
      <c r="G110" s="45" t="str">
        <f t="shared" si="2"/>
        <v>Maxim DE CUYPER - Belgium</v>
      </c>
      <c r="H110" s="45" t="str">
        <f t="shared" si="3"/>
        <v>BEL5</v>
      </c>
      <c r="I110" s="45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45" t="s">
        <v>2620</v>
      </c>
      <c r="G111" s="45" t="str">
        <f t="shared" si="2"/>
        <v>Axel WITSEL - Belgium</v>
      </c>
      <c r="H111" s="45" t="str">
        <f t="shared" si="3"/>
        <v>BEL6</v>
      </c>
      <c r="I111" s="45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45" t="s">
        <v>2620</v>
      </c>
      <c r="G112" s="45" t="str">
        <f t="shared" si="2"/>
        <v>Kevin DE BRUYNE - Belgium</v>
      </c>
      <c r="H112" s="45" t="str">
        <f t="shared" si="3"/>
        <v>BEL7</v>
      </c>
      <c r="I112" s="45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45" t="s">
        <v>2620</v>
      </c>
      <c r="G113" s="45" t="str">
        <f t="shared" si="2"/>
        <v>Youri TIELEMANS - Belgium</v>
      </c>
      <c r="H113" s="45" t="str">
        <f t="shared" si="3"/>
        <v>BEL8</v>
      </c>
      <c r="I113" s="45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45" t="s">
        <v>2620</v>
      </c>
      <c r="G114" s="45" t="str">
        <f t="shared" si="2"/>
        <v>Romelu LUKAKU - Belgium</v>
      </c>
      <c r="H114" s="45" t="str">
        <f t="shared" si="3"/>
        <v>BEL9</v>
      </c>
      <c r="I114" s="45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45" t="s">
        <v>2620</v>
      </c>
      <c r="G115" s="45" t="str">
        <f t="shared" si="2"/>
        <v>Leandro TROSSARD - Belgium</v>
      </c>
      <c r="H115" s="45" t="str">
        <f t="shared" si="3"/>
        <v>BEL10</v>
      </c>
      <c r="I115" s="4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45" t="s">
        <v>2620</v>
      </c>
      <c r="G116" s="45" t="str">
        <f t="shared" si="2"/>
        <v>Jeremy DOKU - Belgium</v>
      </c>
      <c r="H116" s="45" t="str">
        <f t="shared" si="3"/>
        <v>BEL11</v>
      </c>
      <c r="I116" s="45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45" t="s">
        <v>2620</v>
      </c>
      <c r="G117" s="45" t="str">
        <f t="shared" si="2"/>
        <v>Senne LAMMENS - Belgium</v>
      </c>
      <c r="H117" s="45" t="str">
        <f t="shared" si="3"/>
        <v>BEL12</v>
      </c>
      <c r="I117" s="45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45" t="s">
        <v>2620</v>
      </c>
      <c r="G118" s="45" t="str">
        <f t="shared" si="2"/>
        <v>Mike PENDERS - Belgium</v>
      </c>
      <c r="H118" s="45" t="str">
        <f t="shared" si="3"/>
        <v>BEL13</v>
      </c>
      <c r="I118" s="45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45" t="s">
        <v>2620</v>
      </c>
      <c r="G119" s="45" t="str">
        <f t="shared" si="2"/>
        <v>Dodi LUKEBAKIO - Belgium</v>
      </c>
      <c r="H119" s="45" t="str">
        <f t="shared" si="3"/>
        <v>BEL14</v>
      </c>
      <c r="I119" s="45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45" t="s">
        <v>2620</v>
      </c>
      <c r="G120" s="45" t="str">
        <f t="shared" si="2"/>
        <v>Thomas MEUNIER - Belgium</v>
      </c>
      <c r="H120" s="45" t="str">
        <f t="shared" si="3"/>
        <v>BEL15</v>
      </c>
      <c r="I120" s="45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45" t="s">
        <v>2620</v>
      </c>
      <c r="G121" s="45" t="str">
        <f t="shared" si="2"/>
        <v>Koni DE WINTER - Belgium</v>
      </c>
      <c r="H121" s="45" t="str">
        <f t="shared" si="3"/>
        <v>BEL16</v>
      </c>
      <c r="I121" s="45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45" t="s">
        <v>2620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45" t="s">
        <v>2620</v>
      </c>
      <c r="G123" s="45" t="str">
        <f t="shared" si="2"/>
        <v>Joaquin SEYS - Belgium</v>
      </c>
      <c r="H123" s="45" t="str">
        <f t="shared" si="3"/>
        <v>BEL18</v>
      </c>
      <c r="I123" s="45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45" t="s">
        <v>2620</v>
      </c>
      <c r="G124" s="45" t="str">
        <f t="shared" si="2"/>
        <v>Diego MOREIRA - Belgium</v>
      </c>
      <c r="H124" s="45" t="str">
        <f t="shared" si="3"/>
        <v>BEL19</v>
      </c>
      <c r="I124" s="45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45" t="s">
        <v>2620</v>
      </c>
      <c r="G125" s="45" t="str">
        <f t="shared" si="2"/>
        <v>Hans VANAKEN - Belgium</v>
      </c>
      <c r="H125" s="45" t="str">
        <f t="shared" si="3"/>
        <v>BEL20</v>
      </c>
      <c r="I125" s="4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45" t="s">
        <v>2620</v>
      </c>
      <c r="G126" s="45" t="str">
        <f t="shared" si="2"/>
        <v>Timothy CASTAGNE - Belgium</v>
      </c>
      <c r="H126" s="45" t="str">
        <f t="shared" si="3"/>
        <v>BEL21</v>
      </c>
      <c r="I126" s="45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45" t="s">
        <v>2620</v>
      </c>
      <c r="G127" s="45" t="str">
        <f t="shared" si="2"/>
        <v>Alexis SAELEMAEKERS - Belgium</v>
      </c>
      <c r="H127" s="45" t="str">
        <f t="shared" si="3"/>
        <v>BEL22</v>
      </c>
      <c r="I127" s="45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45" t="s">
        <v>2620</v>
      </c>
      <c r="G128" s="45" t="str">
        <f t="shared" si="2"/>
        <v>Nicolas RASKIN - Belgium</v>
      </c>
      <c r="H128" s="45" t="str">
        <f t="shared" si="3"/>
        <v>BEL23</v>
      </c>
      <c r="I128" s="45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45" t="s">
        <v>2620</v>
      </c>
      <c r="G129" s="45" t="str">
        <f t="shared" si="2"/>
        <v>Amadou ONANA - Belgium</v>
      </c>
      <c r="H129" s="45" t="str">
        <f t="shared" si="3"/>
        <v>BEL24</v>
      </c>
      <c r="I129" s="45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45" t="s">
        <v>2620</v>
      </c>
      <c r="G130" s="45" t="str">
        <f t="shared" si="2"/>
        <v>Nathan NGOY - Belgium</v>
      </c>
      <c r="H130" s="45" t="str">
        <f t="shared" si="3"/>
        <v>BEL25</v>
      </c>
      <c r="I130" s="45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45" t="s">
        <v>2620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47" t="s">
        <v>2647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47" t="s">
        <v>2647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47" t="s">
        <v>2647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47" t="s">
        <v>2647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47" t="s">
        <v>2647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47" t="s">
        <v>2647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47" t="s">
        <v>2647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47" t="s">
        <v>2647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47" t="s">
        <v>2647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47" t="s">
        <v>2647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47" t="s">
        <v>2647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47" t="s">
        <v>2647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47" t="s">
        <v>2647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47" t="s">
        <v>2647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47" t="s">
        <v>2647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47" t="s">
        <v>2647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47" t="s">
        <v>2647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47" t="s">
        <v>2647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47" t="s">
        <v>2647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47" t="s">
        <v>2647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47" t="s">
        <v>2647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47" t="s">
        <v>2647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47" t="s">
        <v>2647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47" t="s">
        <v>2647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47" t="s">
        <v>2647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47" t="s">
        <v>2647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49" t="s">
        <v>2673</v>
      </c>
      <c r="G158" s="49" t="str">
        <f t="shared" si="4"/>
        <v>Alisson BECKER - Brazil</v>
      </c>
      <c r="H158" s="49" t="str">
        <f t="shared" si="5"/>
        <v>BRA1</v>
      </c>
      <c r="I158" s="49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49" t="s">
        <v>2673</v>
      </c>
      <c r="G159" s="49" t="str">
        <f t="shared" si="4"/>
        <v>Ederson EDERSON - Brazil</v>
      </c>
      <c r="H159" s="49" t="str">
        <f t="shared" si="5"/>
        <v>BRA2</v>
      </c>
      <c r="I159" s="4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49" t="s">
        <v>2673</v>
      </c>
      <c r="G160" s="49" t="str">
        <f t="shared" si="4"/>
        <v>Gabriel MAGALHAES - Brazil</v>
      </c>
      <c r="H160" s="49" t="str">
        <f t="shared" si="5"/>
        <v>BRA3</v>
      </c>
      <c r="I160" s="49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49" t="s">
        <v>2673</v>
      </c>
      <c r="G161" s="49" t="str">
        <f t="shared" si="4"/>
        <v>Marquinhos MARQUINHOS - Brazil</v>
      </c>
      <c r="H161" s="49" t="str">
        <f t="shared" si="5"/>
        <v>BRA4</v>
      </c>
      <c r="I161" s="49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49" t="s">
        <v>2673</v>
      </c>
      <c r="G162" s="49" t="str">
        <f t="shared" si="4"/>
        <v>Casemiro CASEMIRO - Brazil</v>
      </c>
      <c r="H162" s="49" t="str">
        <f t="shared" si="5"/>
        <v>BRA5</v>
      </c>
      <c r="I162" s="49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49" t="s">
        <v>2673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49" t="s">
        <v>2673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49" t="s">
        <v>2673</v>
      </c>
      <c r="G165" s="49" t="str">
        <f t="shared" si="4"/>
        <v>Bruno GUIMARAES - Brazil</v>
      </c>
      <c r="H165" s="49" t="str">
        <f t="shared" si="5"/>
        <v>BRA8</v>
      </c>
      <c r="I165" s="49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49" t="s">
        <v>2673</v>
      </c>
      <c r="G166" s="49" t="str">
        <f t="shared" si="4"/>
        <v>Matheus CUNHA - Brazil</v>
      </c>
      <c r="H166" s="49" t="str">
        <f t="shared" si="5"/>
        <v>BRA9</v>
      </c>
      <c r="I166" s="49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49" t="s">
        <v>2673</v>
      </c>
      <c r="G167" s="49" t="str">
        <f t="shared" si="4"/>
        <v>Neymar Jr NEYMAR JR - Brazil</v>
      </c>
      <c r="H167" s="49" t="str">
        <f t="shared" si="5"/>
        <v>BRA10</v>
      </c>
      <c r="I167" s="49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49" t="s">
        <v>2673</v>
      </c>
      <c r="G168" s="49" t="str">
        <f t="shared" si="4"/>
        <v>Raphinha RAPHINHA - Brazil</v>
      </c>
      <c r="H168" s="49" t="str">
        <f t="shared" si="5"/>
        <v>BRA11</v>
      </c>
      <c r="I168" s="49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49" t="s">
        <v>2673</v>
      </c>
      <c r="G169" s="49" t="str">
        <f t="shared" si="4"/>
        <v>Weverton WEVERTON - Brazil</v>
      </c>
      <c r="H169" s="49" t="str">
        <f t="shared" si="5"/>
        <v>BRA12</v>
      </c>
      <c r="I169" s="4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49" t="s">
        <v>2673</v>
      </c>
      <c r="G170" s="49" t="str">
        <f t="shared" si="4"/>
        <v>Danilo DANILO - Brazil</v>
      </c>
      <c r="H170" s="49" t="str">
        <f t="shared" si="5"/>
        <v>BRA13</v>
      </c>
      <c r="I170" s="49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49" t="s">
        <v>2673</v>
      </c>
      <c r="G171" s="49" t="str">
        <f t="shared" si="4"/>
        <v>Bremer BREMER - Brazil</v>
      </c>
      <c r="H171" s="49" t="str">
        <f t="shared" si="5"/>
        <v>BRA14</v>
      </c>
      <c r="I171" s="49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49" t="s">
        <v>2673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49" t="s">
        <v>2673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49" t="s">
        <v>2673</v>
      </c>
      <c r="G174" s="49" t="str">
        <f t="shared" si="4"/>
        <v>Fabinho FABINHO - Brazil</v>
      </c>
      <c r="H174" s="49" t="str">
        <f t="shared" si="5"/>
        <v>BRA17</v>
      </c>
      <c r="I174" s="49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49" t="s">
        <v>2673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49" t="s">
        <v>2673</v>
      </c>
      <c r="G176" s="49" t="str">
        <f t="shared" si="4"/>
        <v>Endrick ENDRICK - Brazil</v>
      </c>
      <c r="H176" s="49" t="str">
        <f t="shared" si="5"/>
        <v>BRA19</v>
      </c>
      <c r="I176" s="49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49" t="s">
        <v>2673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49" t="s">
        <v>2673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49" t="s">
        <v>2673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49" t="s">
        <v>2673</v>
      </c>
      <c r="G180" s="49" t="str">
        <f t="shared" si="4"/>
        <v>Ederson EDERSON - Brazil</v>
      </c>
      <c r="H180" s="49" t="str">
        <f t="shared" si="5"/>
        <v>BRA23</v>
      </c>
      <c r="I180" s="49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49" t="s">
        <v>2673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49" t="s">
        <v>2673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49" t="s">
        <v>2673</v>
      </c>
      <c r="G183" s="49" t="str">
        <f t="shared" si="4"/>
        <v>Rayan RAYAN - Brazil</v>
      </c>
      <c r="H183" s="49" t="str">
        <f t="shared" si="5"/>
        <v>BRA26</v>
      </c>
      <c r="I183" s="49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51" t="s">
        <v>2700</v>
      </c>
      <c r="G184" s="51" t="str">
        <f t="shared" si="4"/>
        <v>Josimar VOZINHA - Cabo Verde</v>
      </c>
      <c r="H184" s="51" t="str">
        <f t="shared" si="5"/>
        <v>CPV1</v>
      </c>
      <c r="I184" s="51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51" t="s">
        <v>2700</v>
      </c>
      <c r="G185" s="51" t="str">
        <f t="shared" si="4"/>
        <v>Ianique STOPIRA - Cabo Verde</v>
      </c>
      <c r="H185" s="51" t="str">
        <f t="shared" si="5"/>
        <v>CPV2</v>
      </c>
      <c r="I185" s="51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51" t="s">
        <v>2700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51" t="s">
        <v>2700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51" t="s">
        <v>2700</v>
      </c>
      <c r="G188" s="51" t="str">
        <f t="shared" si="4"/>
        <v>Logan LOGAN COSTA - Cabo Verde</v>
      </c>
      <c r="H188" s="51" t="str">
        <f t="shared" si="5"/>
        <v>CPV5</v>
      </c>
      <c r="I188" s="51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51" t="s">
        <v>2700</v>
      </c>
      <c r="G189" s="51" t="str">
        <f t="shared" si="4"/>
        <v>Kevin KEVIN PINA - Cabo Verde</v>
      </c>
      <c r="H189" s="51" t="str">
        <f t="shared" si="5"/>
        <v>CPV6</v>
      </c>
      <c r="I189" s="51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51" t="s">
        <v>2700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51" t="s">
        <v>2700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51" t="s">
        <v>2700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51" t="s">
        <v>2700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51" t="s">
        <v>2700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51" t="s">
        <v>2700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51" t="s">
        <v>2700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51" t="s">
        <v>2700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51" t="s">
        <v>2700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51" t="s">
        <v>2700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51" t="s">
        <v>2700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51" t="s">
        <v>2700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51" t="s">
        <v>2700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51" t="s">
        <v>2700</v>
      </c>
      <c r="G203" s="51" t="str">
        <f t="shared" si="6"/>
        <v>Ryan RYAN MENDES - Cabo Verde</v>
      </c>
      <c r="H203" s="51" t="str">
        <f t="shared" si="7"/>
        <v>CPV20</v>
      </c>
      <c r="I203" s="51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51" t="s">
        <v>2700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51" t="s">
        <v>2700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51" t="s">
        <v>2700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51" t="s">
        <v>2700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51" t="s">
        <v>2700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51" t="s">
        <v>2700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53" t="s">
        <v>2727</v>
      </c>
      <c r="G210" s="53" t="str">
        <f t="shared" si="6"/>
        <v>Dayne ST. CLAIR - Canada</v>
      </c>
      <c r="H210" s="53" t="str">
        <f t="shared" si="7"/>
        <v>CAN1</v>
      </c>
      <c r="I210" s="53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53" t="s">
        <v>2727</v>
      </c>
      <c r="G211" s="53" t="str">
        <f t="shared" si="6"/>
        <v>Alistair JOHNSTON - Canada</v>
      </c>
      <c r="H211" s="53" t="str">
        <f t="shared" si="7"/>
        <v>CAN2</v>
      </c>
      <c r="I211" s="53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53" t="s">
        <v>2727</v>
      </c>
      <c r="G212" s="53" t="str">
        <f t="shared" si="6"/>
        <v>Ale JONES - Canada</v>
      </c>
      <c r="H212" s="53" t="str">
        <f t="shared" si="7"/>
        <v>CAN3</v>
      </c>
      <c r="I212" s="53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53" t="s">
        <v>2727</v>
      </c>
      <c r="G213" s="53" t="str">
        <f t="shared" si="6"/>
        <v>Luc DE FOUGEROLLES - Canada</v>
      </c>
      <c r="H213" s="53" t="str">
        <f t="shared" si="7"/>
        <v>CAN4</v>
      </c>
      <c r="I213" s="5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53" t="s">
        <v>2727</v>
      </c>
      <c r="G214" s="53" t="str">
        <f t="shared" si="6"/>
        <v>Joel WATERMAN - Canada</v>
      </c>
      <c r="H214" s="53" t="str">
        <f t="shared" si="7"/>
        <v>CAN5</v>
      </c>
      <c r="I214" s="53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53" t="s">
        <v>2727</v>
      </c>
      <c r="G215" s="53" t="str">
        <f t="shared" si="6"/>
        <v>Mathieu CHOINIERE - Canada</v>
      </c>
      <c r="H215" s="53" t="str">
        <f t="shared" si="7"/>
        <v>CAN6</v>
      </c>
      <c r="I215" s="53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53" t="s">
        <v>2727</v>
      </c>
      <c r="G216" s="53" t="str">
        <f t="shared" si="6"/>
        <v>Stephen EUSTAQUIO - Canada</v>
      </c>
      <c r="H216" s="53" t="str">
        <f t="shared" si="7"/>
        <v>CAN7</v>
      </c>
      <c r="I216" s="53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53" t="s">
        <v>2727</v>
      </c>
      <c r="G217" s="53" t="str">
        <f t="shared" si="6"/>
        <v>Ismael KONE - Canada</v>
      </c>
      <c r="H217" s="53" t="str">
        <f t="shared" si="7"/>
        <v>CAN8</v>
      </c>
      <c r="I217" s="53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53" t="s">
        <v>2727</v>
      </c>
      <c r="G218" s="53" t="str">
        <f t="shared" si="6"/>
        <v>Cyle LARIN - Canada</v>
      </c>
      <c r="H218" s="53" t="str">
        <f t="shared" si="7"/>
        <v>CAN9</v>
      </c>
      <c r="I218" s="53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53" t="s">
        <v>2727</v>
      </c>
      <c r="G219" s="53" t="str">
        <f t="shared" si="6"/>
        <v>Jonathan DAVID - Canada</v>
      </c>
      <c r="H219" s="53" t="str">
        <f t="shared" si="7"/>
        <v>CAN10</v>
      </c>
      <c r="I219" s="53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53" t="s">
        <v>2727</v>
      </c>
      <c r="G220" s="53" t="str">
        <f t="shared" si="6"/>
        <v>Liam MILLAR - Canada</v>
      </c>
      <c r="H220" s="53" t="str">
        <f t="shared" si="7"/>
        <v>CAN11</v>
      </c>
      <c r="I220" s="53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53" t="s">
        <v>2727</v>
      </c>
      <c r="G221" s="53" t="str">
        <f t="shared" si="6"/>
        <v>Tani OLUWASEYI - Canada</v>
      </c>
      <c r="H221" s="53" t="str">
        <f t="shared" si="7"/>
        <v>CAN12</v>
      </c>
      <c r="I221" s="53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53" t="s">
        <v>2727</v>
      </c>
      <c r="G222" s="53" t="str">
        <f t="shared" si="6"/>
        <v>Derek CORNELIUS - Canada</v>
      </c>
      <c r="H222" s="53" t="str">
        <f t="shared" si="7"/>
        <v>CAN13</v>
      </c>
      <c r="I222" s="53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53" t="s">
        <v>2727</v>
      </c>
      <c r="G223" s="53" t="str">
        <f t="shared" si="6"/>
        <v>Jacob SHAFFELBURG - Canada</v>
      </c>
      <c r="H223" s="53" t="str">
        <f t="shared" si="7"/>
        <v>CAN14</v>
      </c>
      <c r="I223" s="5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53" t="s">
        <v>2727</v>
      </c>
      <c r="G224" s="53" t="str">
        <f t="shared" si="6"/>
        <v>Moise BOMBITO - Canada</v>
      </c>
      <c r="H224" s="53" t="str">
        <f t="shared" si="7"/>
        <v>CAN15</v>
      </c>
      <c r="I224" s="53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53" t="s">
        <v>2727</v>
      </c>
      <c r="G225" s="53" t="str">
        <f t="shared" si="6"/>
        <v>Maxime CREPEAU - Canada</v>
      </c>
      <c r="H225" s="53" t="str">
        <f t="shared" si="7"/>
        <v>CAN16</v>
      </c>
      <c r="I225" s="53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53" t="s">
        <v>2727</v>
      </c>
      <c r="G226" s="53" t="str">
        <f t="shared" si="6"/>
        <v>Tajon BUCHANAN - Canada</v>
      </c>
      <c r="H226" s="53" t="str">
        <f t="shared" si="7"/>
        <v>CAN17</v>
      </c>
      <c r="I226" s="53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53" t="s">
        <v>2727</v>
      </c>
      <c r="G227" s="53" t="str">
        <f t="shared" si="6"/>
        <v>Owen GOODMAN - Canada</v>
      </c>
      <c r="H227" s="53" t="str">
        <f t="shared" si="7"/>
        <v>CAN18</v>
      </c>
      <c r="I227" s="53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53" t="s">
        <v>2727</v>
      </c>
      <c r="G228" s="53" t="str">
        <f t="shared" si="6"/>
        <v>Alphonso DAVIES - Canada</v>
      </c>
      <c r="H228" s="53" t="str">
        <f t="shared" si="7"/>
        <v>CAN19</v>
      </c>
      <c r="I228" s="53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53" t="s">
        <v>2727</v>
      </c>
      <c r="G229" s="53" t="str">
        <f t="shared" si="6"/>
        <v>Ali AHMED - Canada</v>
      </c>
      <c r="H229" s="53" t="str">
        <f t="shared" si="7"/>
        <v>CAN20</v>
      </c>
      <c r="I229" s="53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53" t="s">
        <v>2727</v>
      </c>
      <c r="G230" s="53" t="str">
        <f t="shared" si="6"/>
        <v>Jonathan OSORIO - Canada</v>
      </c>
      <c r="H230" s="53" t="str">
        <f t="shared" si="7"/>
        <v>CAN21</v>
      </c>
      <c r="I230" s="53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53" t="s">
        <v>2727</v>
      </c>
      <c r="G231" s="53" t="str">
        <f t="shared" si="6"/>
        <v>Richie LARYEA - Canada</v>
      </c>
      <c r="H231" s="53" t="str">
        <f t="shared" si="7"/>
        <v>CAN22</v>
      </c>
      <c r="I231" s="53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53" t="s">
        <v>2727</v>
      </c>
      <c r="G232" s="53" t="str">
        <f t="shared" si="6"/>
        <v>Niko SIGUR - Canada</v>
      </c>
      <c r="H232" s="53" t="str">
        <f t="shared" si="7"/>
        <v>CAN23</v>
      </c>
      <c r="I232" s="53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53" t="s">
        <v>2727</v>
      </c>
      <c r="G233" s="53" t="str">
        <f t="shared" si="6"/>
        <v>Promise DAVID - Canada</v>
      </c>
      <c r="H233" s="53" t="str">
        <f t="shared" si="7"/>
        <v>CAN24</v>
      </c>
      <c r="I233" s="5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53" t="s">
        <v>2727</v>
      </c>
      <c r="G234" s="53" t="str">
        <f t="shared" si="6"/>
        <v>Nathan SALIBA - Canada</v>
      </c>
      <c r="H234" s="53" t="str">
        <f t="shared" si="7"/>
        <v>CAN25</v>
      </c>
      <c r="I234" s="53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53" t="s">
        <v>2727</v>
      </c>
      <c r="G235" s="53" t="str">
        <f t="shared" si="6"/>
        <v>Jayden NELSON - Canada</v>
      </c>
      <c r="H235" s="53" t="str">
        <f t="shared" si="7"/>
        <v>CAN26</v>
      </c>
      <c r="I235" s="53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55" t="s">
        <v>2753</v>
      </c>
      <c r="G236" s="55" t="str">
        <f t="shared" si="6"/>
        <v>David OSPINA - Colombia</v>
      </c>
      <c r="H236" s="55" t="str">
        <f t="shared" si="7"/>
        <v>COL1</v>
      </c>
      <c r="I236" s="55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55" t="s">
        <v>2753</v>
      </c>
      <c r="G237" s="55" t="str">
        <f t="shared" si="6"/>
        <v>Daniel MUNOZ - Colombia</v>
      </c>
      <c r="H237" s="55" t="str">
        <f t="shared" si="7"/>
        <v>COL2</v>
      </c>
      <c r="I237" s="55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55" t="s">
        <v>2753</v>
      </c>
      <c r="G238" s="55" t="str">
        <f t="shared" si="6"/>
        <v>Jhon LUCUMI - Colombia</v>
      </c>
      <c r="H238" s="55" t="str">
        <f t="shared" si="7"/>
        <v>COL3</v>
      </c>
      <c r="I238" s="55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55" t="s">
        <v>2753</v>
      </c>
      <c r="G239" s="55" t="str">
        <f t="shared" si="6"/>
        <v>Santiago ARIAS - Colombia</v>
      </c>
      <c r="H239" s="55" t="str">
        <f t="shared" si="7"/>
        <v>COL4</v>
      </c>
      <c r="I239" s="55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55" t="s">
        <v>2753</v>
      </c>
      <c r="G240" s="55" t="str">
        <f t="shared" si="6"/>
        <v>Kevin CASTANO - Colombia</v>
      </c>
      <c r="H240" s="55" t="str">
        <f t="shared" si="7"/>
        <v>COL5</v>
      </c>
      <c r="I240" s="55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55" t="s">
        <v>2753</v>
      </c>
      <c r="G241" s="55" t="str">
        <f t="shared" si="6"/>
        <v>Richard RIOS - Colombia</v>
      </c>
      <c r="H241" s="55" t="str">
        <f t="shared" si="7"/>
        <v>COL6</v>
      </c>
      <c r="I241" s="55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55" t="s">
        <v>2753</v>
      </c>
      <c r="G242" s="55" t="str">
        <f t="shared" si="6"/>
        <v>Luis DIAZ - Colombia</v>
      </c>
      <c r="H242" s="55" t="str">
        <f t="shared" si="7"/>
        <v>COL7</v>
      </c>
      <c r="I242" s="55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55" t="s">
        <v>2753</v>
      </c>
      <c r="G243" s="55" t="str">
        <f t="shared" si="6"/>
        <v>Jorge CARRASCAL - Colombia</v>
      </c>
      <c r="H243" s="55" t="str">
        <f t="shared" si="7"/>
        <v>COL8</v>
      </c>
      <c r="I243" s="55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55" t="s">
        <v>2753</v>
      </c>
      <c r="G244" s="55" t="str">
        <f t="shared" si="6"/>
        <v>Jhon CORDOBA - Colombia</v>
      </c>
      <c r="H244" s="55" t="str">
        <f t="shared" si="7"/>
        <v>COL9</v>
      </c>
      <c r="I244" s="55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55" t="s">
        <v>2753</v>
      </c>
      <c r="G245" s="55" t="str">
        <f t="shared" si="6"/>
        <v>James RODRIGUEZ - Colombia</v>
      </c>
      <c r="H245" s="55" t="str">
        <f t="shared" si="7"/>
        <v>COL10</v>
      </c>
      <c r="I245" s="5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55" t="s">
        <v>2753</v>
      </c>
      <c r="G246" s="55" t="str">
        <f t="shared" si="6"/>
        <v>Jhon ARIAS - Colombia</v>
      </c>
      <c r="H246" s="55" t="str">
        <f t="shared" si="7"/>
        <v>COL11</v>
      </c>
      <c r="I246" s="55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55" t="s">
        <v>2753</v>
      </c>
      <c r="G247" s="55" t="str">
        <f t="shared" si="6"/>
        <v>Camilo VARGAS - Colombia</v>
      </c>
      <c r="H247" s="55" t="str">
        <f t="shared" si="7"/>
        <v>COL12</v>
      </c>
      <c r="I247" s="55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55" t="s">
        <v>2753</v>
      </c>
      <c r="G248" s="55" t="str">
        <f t="shared" si="6"/>
        <v>Yerry MINA - Colombia</v>
      </c>
      <c r="H248" s="55" t="str">
        <f t="shared" si="7"/>
        <v>COL13</v>
      </c>
      <c r="I248" s="55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55" t="s">
        <v>2753</v>
      </c>
      <c r="G249" s="55" t="str">
        <f t="shared" si="6"/>
        <v>Gustavo PUERTA - Colombia</v>
      </c>
      <c r="H249" s="55" t="str">
        <f t="shared" si="7"/>
        <v>COL14</v>
      </c>
      <c r="I249" s="55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55" t="s">
        <v>2753</v>
      </c>
      <c r="G250" s="55" t="str">
        <f t="shared" si="6"/>
        <v>Juan PORTILLA - Colombia</v>
      </c>
      <c r="H250" s="55" t="str">
        <f t="shared" si="7"/>
        <v>COL15</v>
      </c>
      <c r="I250" s="55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55" t="s">
        <v>2753</v>
      </c>
      <c r="G251" s="55" t="str">
        <f t="shared" si="6"/>
        <v>Jefferson LERMA - Colombia</v>
      </c>
      <c r="H251" s="55" t="str">
        <f t="shared" si="7"/>
        <v>COL16</v>
      </c>
      <c r="I251" s="55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55" t="s">
        <v>2753</v>
      </c>
      <c r="G252" s="55" t="str">
        <f t="shared" si="6"/>
        <v>Johan MOJICA - Colombia</v>
      </c>
      <c r="H252" s="55" t="str">
        <f t="shared" si="7"/>
        <v>COL17</v>
      </c>
      <c r="I252" s="55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55" t="s">
        <v>2753</v>
      </c>
      <c r="G253" s="55" t="str">
        <f t="shared" si="6"/>
        <v>Willer DITTA - Colombia</v>
      </c>
      <c r="H253" s="55" t="str">
        <f t="shared" si="7"/>
        <v>COL18</v>
      </c>
      <c r="I253" s="55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55" t="s">
        <v>2753</v>
      </c>
      <c r="G254" s="55" t="str">
        <f t="shared" si="6"/>
        <v>Cucho HERNANDEZ - Colombia</v>
      </c>
      <c r="H254" s="55" t="str">
        <f t="shared" si="7"/>
        <v>COL19</v>
      </c>
      <c r="I254" s="55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55" t="s">
        <v>2753</v>
      </c>
      <c r="G255" s="55" t="str">
        <f t="shared" si="6"/>
        <v>Juan QUINTERO - Colombia</v>
      </c>
      <c r="H255" s="55" t="str">
        <f t="shared" si="7"/>
        <v>COL20</v>
      </c>
      <c r="I255" s="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55" t="s">
        <v>2753</v>
      </c>
      <c r="G256" s="55" t="str">
        <f t="shared" si="6"/>
        <v>Jaminton CAMPAZ - Colombia</v>
      </c>
      <c r="H256" s="55" t="str">
        <f t="shared" si="7"/>
        <v>COL21</v>
      </c>
      <c r="I256" s="55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55" t="s">
        <v>2753</v>
      </c>
      <c r="G257" s="55" t="str">
        <f t="shared" si="6"/>
        <v>Deiver MACHADO - Colombia</v>
      </c>
      <c r="H257" s="55" t="str">
        <f t="shared" si="7"/>
        <v>COL22</v>
      </c>
      <c r="I257" s="55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55" t="s">
        <v>2753</v>
      </c>
      <c r="G258" s="55" t="str">
        <f t="shared" si="6"/>
        <v>Davinson SANCHEZ - Colombia</v>
      </c>
      <c r="H258" s="55" t="str">
        <f t="shared" si="7"/>
        <v>COL23</v>
      </c>
      <c r="I258" s="55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55" t="s">
        <v>2753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55" t="s">
        <v>2753</v>
      </c>
      <c r="G260" s="55" t="str">
        <f t="shared" si="8"/>
        <v>Luis SUAREZ - Colombia</v>
      </c>
      <c r="H260" s="55" t="str">
        <f t="shared" si="9"/>
        <v>COL25</v>
      </c>
      <c r="I260" s="55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55" t="s">
        <v>2753</v>
      </c>
      <c r="G261" s="55" t="str">
        <f t="shared" si="8"/>
        <v>Andres GOMEZ - Colombia</v>
      </c>
      <c r="H261" s="55" t="str">
        <f t="shared" si="9"/>
        <v>COL26</v>
      </c>
      <c r="I261" s="55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57" t="s">
        <v>2780</v>
      </c>
      <c r="G262" s="57" t="str">
        <f t="shared" si="8"/>
        <v>Lionel MPASI - DR Congo</v>
      </c>
      <c r="H262" s="57" t="str">
        <f t="shared" si="9"/>
        <v>COD1</v>
      </c>
      <c r="I262" s="57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57" t="s">
        <v>2780</v>
      </c>
      <c r="G263" s="57" t="str">
        <f t="shared" si="8"/>
        <v>Aaron WAN-BISSAKA - DR Congo</v>
      </c>
      <c r="H263" s="57" t="str">
        <f t="shared" si="9"/>
        <v>COD2</v>
      </c>
      <c r="I263" s="57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57" t="s">
        <v>2780</v>
      </c>
      <c r="G264" s="57" t="str">
        <f t="shared" si="8"/>
        <v>Steve KAPUADI - DR Congo</v>
      </c>
      <c r="H264" s="57" t="str">
        <f t="shared" si="9"/>
        <v>COD3</v>
      </c>
      <c r="I264" s="57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57" t="s">
        <v>2780</v>
      </c>
      <c r="G265" s="57" t="str">
        <f t="shared" si="8"/>
        <v>Axel TUANZEBE - DR Congo</v>
      </c>
      <c r="H265" s="57" t="str">
        <f t="shared" si="9"/>
        <v>COD4</v>
      </c>
      <c r="I265" s="57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57" t="s">
        <v>2780</v>
      </c>
      <c r="G266" s="57" t="str">
        <f t="shared" si="8"/>
        <v>Dylan BATUBINSIKA - DR Congo</v>
      </c>
      <c r="H266" s="57" t="str">
        <f t="shared" si="9"/>
        <v>COD5</v>
      </c>
      <c r="I266" s="57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57" t="s">
        <v>2780</v>
      </c>
      <c r="G267" s="57" t="str">
        <f t="shared" si="8"/>
        <v>Ngalayel MUKAU - DR Congo</v>
      </c>
      <c r="H267" s="57" t="str">
        <f t="shared" si="9"/>
        <v>COD6</v>
      </c>
      <c r="I267" s="5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57" t="s">
        <v>2780</v>
      </c>
      <c r="G268" s="57" t="str">
        <f t="shared" si="8"/>
        <v>Nathanael MBUKU - DR Congo</v>
      </c>
      <c r="H268" s="57" t="str">
        <f t="shared" si="9"/>
        <v>COD7</v>
      </c>
      <c r="I268" s="57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57" t="s">
        <v>2780</v>
      </c>
      <c r="G269" s="57" t="str">
        <f t="shared" si="8"/>
        <v>Samuel MOUTOUSSAMY - DR Congo</v>
      </c>
      <c r="H269" s="57" t="str">
        <f t="shared" si="9"/>
        <v>COD8</v>
      </c>
      <c r="I269" s="57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57" t="s">
        <v>2780</v>
      </c>
      <c r="G270" s="57" t="str">
        <f t="shared" si="8"/>
        <v>Brian CIPENGA - DR Congo</v>
      </c>
      <c r="H270" s="57" t="str">
        <f t="shared" si="9"/>
        <v>COD9</v>
      </c>
      <c r="I270" s="57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57" t="s">
        <v>2780</v>
      </c>
      <c r="G271" s="57" t="str">
        <f t="shared" si="8"/>
        <v>Theo BONGONDA - DR Congo</v>
      </c>
      <c r="H271" s="57" t="str">
        <f t="shared" si="9"/>
        <v>COD10</v>
      </c>
      <c r="I271" s="57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57" t="s">
        <v>2780</v>
      </c>
      <c r="G272" s="57" t="str">
        <f t="shared" si="8"/>
        <v>Gael KAKUTA - DR Congo</v>
      </c>
      <c r="H272" s="57" t="str">
        <f t="shared" si="9"/>
        <v>COD11</v>
      </c>
      <c r="I272" s="57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57" t="s">
        <v>2780</v>
      </c>
      <c r="G273" s="57" t="str">
        <f t="shared" si="8"/>
        <v>Joris KAYEMBE - DR Congo</v>
      </c>
      <c r="H273" s="57" t="str">
        <f t="shared" si="9"/>
        <v>COD12</v>
      </c>
      <c r="I273" s="57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57" t="s">
        <v>2780</v>
      </c>
      <c r="G274" s="57" t="str">
        <f t="shared" si="8"/>
        <v>Meschack ELIA - DR Congo</v>
      </c>
      <c r="H274" s="57" t="str">
        <f t="shared" si="9"/>
        <v>COD13</v>
      </c>
      <c r="I274" s="57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57" t="s">
        <v>2780</v>
      </c>
      <c r="G275" s="57" t="str">
        <f t="shared" si="8"/>
        <v>Noah SADIKI - DR Congo</v>
      </c>
      <c r="H275" s="57" t="str">
        <f t="shared" si="9"/>
        <v>COD14</v>
      </c>
      <c r="I275" s="57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57" t="s">
        <v>2780</v>
      </c>
      <c r="G276" s="57" t="str">
        <f t="shared" si="8"/>
        <v>Aaron TSHIBOLA - DR Congo</v>
      </c>
      <c r="H276" s="57" t="str">
        <f t="shared" si="9"/>
        <v>COD15</v>
      </c>
      <c r="I276" s="57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57" t="s">
        <v>2780</v>
      </c>
      <c r="G277" s="57" t="str">
        <f t="shared" si="8"/>
        <v>Timothy FAYULU - DR Congo</v>
      </c>
      <c r="H277" s="57" t="str">
        <f t="shared" si="9"/>
        <v>COD16</v>
      </c>
      <c r="I277" s="5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57" t="s">
        <v>2780</v>
      </c>
      <c r="G278" s="57" t="str">
        <f t="shared" si="8"/>
        <v>Cedric BAKAMBU - DR Congo</v>
      </c>
      <c r="H278" s="57" t="str">
        <f t="shared" si="9"/>
        <v>COD17</v>
      </c>
      <c r="I278" s="57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57" t="s">
        <v>2780</v>
      </c>
      <c r="G279" s="57" t="str">
        <f t="shared" si="8"/>
        <v>Charles PICKEL - DR Congo</v>
      </c>
      <c r="H279" s="57" t="str">
        <f t="shared" si="9"/>
        <v>COD18</v>
      </c>
      <c r="I279" s="57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57" t="s">
        <v>2780</v>
      </c>
      <c r="G280" s="57" t="str">
        <f t="shared" si="8"/>
        <v>Fiston MAYELE - DR Congo</v>
      </c>
      <c r="H280" s="57" t="str">
        <f t="shared" si="9"/>
        <v>COD19</v>
      </c>
      <c r="I280" s="57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57" t="s">
        <v>2780</v>
      </c>
      <c r="G281" s="57" t="str">
        <f t="shared" si="8"/>
        <v>Yoane WISSA - DR Congo</v>
      </c>
      <c r="H281" s="57" t="str">
        <f t="shared" si="9"/>
        <v>COD20</v>
      </c>
      <c r="I281" s="57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57" t="s">
        <v>2780</v>
      </c>
      <c r="G282" s="57" t="str">
        <f t="shared" si="8"/>
        <v>Matthieu EPOLO - DR Congo</v>
      </c>
      <c r="H282" s="57" t="str">
        <f t="shared" si="9"/>
        <v>COD21</v>
      </c>
      <c r="I282" s="57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57" t="s">
        <v>2780</v>
      </c>
      <c r="G283" s="57" t="str">
        <f t="shared" si="8"/>
        <v>Chancel MBEMBA - DR Congo</v>
      </c>
      <c r="H283" s="57" t="str">
        <f t="shared" si="9"/>
        <v>COD22</v>
      </c>
      <c r="I283" s="57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57" t="s">
        <v>2780</v>
      </c>
      <c r="G284" s="57" t="str">
        <f t="shared" si="8"/>
        <v>Simon BANZA - DR Congo</v>
      </c>
      <c r="H284" s="57" t="str">
        <f t="shared" si="9"/>
        <v>COD23</v>
      </c>
      <c r="I284" s="57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57" t="s">
        <v>2780</v>
      </c>
      <c r="G285" s="57" t="str">
        <f t="shared" si="8"/>
        <v>Gedeon KALULU - DR Congo</v>
      </c>
      <c r="H285" s="57" t="str">
        <f t="shared" si="9"/>
        <v>COD24</v>
      </c>
      <c r="I285" s="57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57" t="s">
        <v>2780</v>
      </c>
      <c r="G286" s="57" t="str">
        <f t="shared" si="8"/>
        <v>Edo KAYEMBE - DR Congo</v>
      </c>
      <c r="H286" s="57" t="str">
        <f t="shared" si="9"/>
        <v>COD25</v>
      </c>
      <c r="I286" s="57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57" t="s">
        <v>2780</v>
      </c>
      <c r="G287" s="57" t="str">
        <f t="shared" si="8"/>
        <v>Arthur MASUAKU - DR Congo</v>
      </c>
      <c r="H287" s="57" t="str">
        <f t="shared" si="9"/>
        <v>COD26</v>
      </c>
      <c r="I287" s="5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59" t="s">
        <v>2807</v>
      </c>
      <c r="G288" s="59" t="str">
        <f t="shared" si="8"/>
        <v>Yahia FOFANA - Côte d'Ivoire</v>
      </c>
      <c r="H288" s="59" t="str">
        <f t="shared" si="9"/>
        <v>CIV1</v>
      </c>
      <c r="I288" s="59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59" t="s">
        <v>2807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59" t="s">
        <v>2807</v>
      </c>
      <c r="G290" s="59" t="str">
        <f t="shared" si="8"/>
        <v>Ghislain KONAN - Côte d'Ivoire</v>
      </c>
      <c r="H290" s="59" t="str">
        <f t="shared" si="9"/>
        <v>CIV3</v>
      </c>
      <c r="I290" s="59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59" t="s">
        <v>2807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59" t="s">
        <v>2807</v>
      </c>
      <c r="G292" s="59" t="str">
        <f t="shared" si="8"/>
        <v>Wilfried SINGO - Côte d'Ivoire</v>
      </c>
      <c r="H292" s="59" t="str">
        <f t="shared" si="9"/>
        <v>CIV5</v>
      </c>
      <c r="I292" s="59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59" t="s">
        <v>2807</v>
      </c>
      <c r="G293" s="59" t="str">
        <f t="shared" si="8"/>
        <v>Seko FOFANA - Côte d'Ivoire</v>
      </c>
      <c r="H293" s="59" t="str">
        <f t="shared" si="9"/>
        <v>CIV6</v>
      </c>
      <c r="I293" s="59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59" t="s">
        <v>2807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59" t="s">
        <v>2807</v>
      </c>
      <c r="G295" s="59" t="str">
        <f t="shared" si="8"/>
        <v>Franck KESSIE - Côte d'Ivoire</v>
      </c>
      <c r="H295" s="59" t="str">
        <f t="shared" si="9"/>
        <v>CIV8</v>
      </c>
      <c r="I295" s="59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59" t="s">
        <v>2807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59" t="s">
        <v>2807</v>
      </c>
      <c r="G297" s="59" t="str">
        <f t="shared" si="8"/>
        <v>Simon ADINGRA - Côte d'Ivoire</v>
      </c>
      <c r="H297" s="59" t="str">
        <f t="shared" si="9"/>
        <v>CIV10</v>
      </c>
      <c r="I297" s="59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59" t="s">
        <v>2807</v>
      </c>
      <c r="G298" s="59" t="str">
        <f t="shared" si="8"/>
        <v>Yan DIOMANDE - Côte d'Ivoire</v>
      </c>
      <c r="H298" s="59" t="str">
        <f t="shared" si="9"/>
        <v>CIV11</v>
      </c>
      <c r="I298" s="59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59" t="s">
        <v>2807</v>
      </c>
      <c r="G299" s="59" t="str">
        <f t="shared" si="8"/>
        <v>Elye WAHI - Côte d'Ivoire</v>
      </c>
      <c r="H299" s="59" t="str">
        <f t="shared" si="9"/>
        <v>CIV12</v>
      </c>
      <c r="I299" s="5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59" t="s">
        <v>2807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59" t="s">
        <v>2807</v>
      </c>
      <c r="G301" s="59" t="str">
        <f t="shared" si="8"/>
        <v>Oumar DIAKITE - Côte d'Ivoire</v>
      </c>
      <c r="H301" s="59" t="str">
        <f t="shared" si="9"/>
        <v>CIV14</v>
      </c>
      <c r="I301" s="59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59" t="s">
        <v>2807</v>
      </c>
      <c r="G302" s="59" t="str">
        <f t="shared" si="8"/>
        <v>Amad DIALLO - Côte d'Ivoire</v>
      </c>
      <c r="H302" s="59" t="str">
        <f t="shared" si="9"/>
        <v>CIV15</v>
      </c>
      <c r="I302" s="59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59" t="s">
        <v>2807</v>
      </c>
      <c r="G303" s="59" t="str">
        <f t="shared" si="8"/>
        <v>Mohamed KONE - Côte d'Ivoire</v>
      </c>
      <c r="H303" s="59" t="str">
        <f t="shared" si="9"/>
        <v>CIV16</v>
      </c>
      <c r="I303" s="59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59" t="s">
        <v>2807</v>
      </c>
      <c r="G304" s="59" t="str">
        <f t="shared" si="8"/>
        <v>Guela DOUE - Côte d'Ivoire</v>
      </c>
      <c r="H304" s="59" t="str">
        <f t="shared" si="9"/>
        <v>CIV17</v>
      </c>
      <c r="I304" s="59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59" t="s">
        <v>2807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59" t="s">
        <v>2807</v>
      </c>
      <c r="G306" s="59" t="str">
        <f t="shared" si="8"/>
        <v>Nicolas PEPE - Côte d'Ivoire</v>
      </c>
      <c r="H306" s="59" t="str">
        <f t="shared" si="9"/>
        <v>CIV19</v>
      </c>
      <c r="I306" s="59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59" t="s">
        <v>2807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59" t="s">
        <v>2807</v>
      </c>
      <c r="G308" s="59" t="str">
        <f t="shared" si="8"/>
        <v>Evan NDICKA - Côte d'Ivoire</v>
      </c>
      <c r="H308" s="59" t="str">
        <f t="shared" si="9"/>
        <v>CIV21</v>
      </c>
      <c r="I308" s="59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59" t="s">
        <v>2807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59" t="s">
        <v>2807</v>
      </c>
      <c r="G310" s="59" t="str">
        <f t="shared" si="8"/>
        <v>Alban LAFONT - Côte d'Ivoire</v>
      </c>
      <c r="H310" s="59" t="str">
        <f t="shared" si="9"/>
        <v>CIV23</v>
      </c>
      <c r="I310" s="59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59" t="s">
        <v>2807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59" t="s">
        <v>2807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59" t="s">
        <v>2807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61" t="s">
        <v>2834</v>
      </c>
      <c r="G314" s="61" t="str">
        <f t="shared" si="8"/>
        <v>Dominik LIVAKOVIC - Croatia</v>
      </c>
      <c r="H314" s="61" t="str">
        <f t="shared" si="9"/>
        <v>HRV1</v>
      </c>
      <c r="I314" s="61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61" t="s">
        <v>2834</v>
      </c>
      <c r="G315" s="61" t="str">
        <f t="shared" si="8"/>
        <v>Josip STANISIC - Croatia</v>
      </c>
      <c r="H315" s="61" t="str">
        <f t="shared" si="9"/>
        <v>HRV2</v>
      </c>
      <c r="I315" s="61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61" t="s">
        <v>2834</v>
      </c>
      <c r="G316" s="61" t="str">
        <f t="shared" si="8"/>
        <v>Marin PONGRACIC - Croatia</v>
      </c>
      <c r="H316" s="61" t="str">
        <f t="shared" si="9"/>
        <v>HRV3</v>
      </c>
      <c r="I316" s="61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61" t="s">
        <v>2834</v>
      </c>
      <c r="G317" s="61" t="str">
        <f t="shared" si="8"/>
        <v>Josko GVARDIOL - Croatia</v>
      </c>
      <c r="H317" s="61" t="str">
        <f t="shared" si="9"/>
        <v>HRV4</v>
      </c>
      <c r="I317" s="61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61" t="s">
        <v>2834</v>
      </c>
      <c r="G318" s="61" t="str">
        <f t="shared" si="8"/>
        <v>Duje CALETA-CAR - Croatia</v>
      </c>
      <c r="H318" s="61" t="str">
        <f t="shared" si="9"/>
        <v>HRV5</v>
      </c>
      <c r="I318" s="61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61" t="s">
        <v>2834</v>
      </c>
      <c r="G319" s="61" t="str">
        <f t="shared" si="8"/>
        <v>Josip SUTALO - Croatia</v>
      </c>
      <c r="H319" s="61" t="str">
        <f t="shared" si="9"/>
        <v>HRV6</v>
      </c>
      <c r="I319" s="61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61" t="s">
        <v>2834</v>
      </c>
      <c r="G320" s="61" t="str">
        <f t="shared" si="8"/>
        <v>Nikola MORO - Croatia</v>
      </c>
      <c r="H320" s="61" t="str">
        <f t="shared" si="9"/>
        <v>HRV7</v>
      </c>
      <c r="I320" s="61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61" t="s">
        <v>2834</v>
      </c>
      <c r="G321" s="61" t="str">
        <f t="shared" si="8"/>
        <v>Mateo KOVACIC - Croatia</v>
      </c>
      <c r="H321" s="61" t="str">
        <f t="shared" si="9"/>
        <v>HRV8</v>
      </c>
      <c r="I321" s="6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61" t="s">
        <v>2834</v>
      </c>
      <c r="G322" s="61" t="str">
        <f t="shared" si="8"/>
        <v>Andrej KRAMARIC - Croatia</v>
      </c>
      <c r="H322" s="61" t="str">
        <f t="shared" si="9"/>
        <v>HRV9</v>
      </c>
      <c r="I322" s="61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61" t="s">
        <v>2834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61" t="s">
        <v>2834</v>
      </c>
      <c r="G324" s="61" t="str">
        <f t="shared" si="10"/>
        <v>Ante BUDIMIR - Croatia</v>
      </c>
      <c r="H324" s="61" t="str">
        <f t="shared" si="11"/>
        <v>HRV11</v>
      </c>
      <c r="I324" s="61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61" t="s">
        <v>2834</v>
      </c>
      <c r="G325" s="61" t="str">
        <f t="shared" si="10"/>
        <v>Ivor PANDUR - Croatia</v>
      </c>
      <c r="H325" s="61" t="str">
        <f t="shared" si="11"/>
        <v>HRV12</v>
      </c>
      <c r="I325" s="61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61" t="s">
        <v>2834</v>
      </c>
      <c r="G326" s="61" t="str">
        <f t="shared" si="10"/>
        <v>Nikola VLASIC - Croatia</v>
      </c>
      <c r="H326" s="61" t="str">
        <f t="shared" si="11"/>
        <v>HRV13</v>
      </c>
      <c r="I326" s="61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61" t="s">
        <v>2834</v>
      </c>
      <c r="G327" s="61" t="str">
        <f t="shared" si="10"/>
        <v>Ivan PERISIC - Croatia</v>
      </c>
      <c r="H327" s="61" t="str">
        <f t="shared" si="11"/>
        <v>HRV14</v>
      </c>
      <c r="I327" s="61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61" t="s">
        <v>2834</v>
      </c>
      <c r="G328" s="61" t="str">
        <f t="shared" si="10"/>
        <v>Mario PASALIC - Croatia</v>
      </c>
      <c r="H328" s="61" t="str">
        <f t="shared" si="11"/>
        <v>HRV15</v>
      </c>
      <c r="I328" s="61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61" t="s">
        <v>2834</v>
      </c>
      <c r="G329" s="61" t="str">
        <f t="shared" si="10"/>
        <v>Martin BATURINA - Croatia</v>
      </c>
      <c r="H329" s="61" t="str">
        <f t="shared" si="11"/>
        <v>HRV16</v>
      </c>
      <c r="I329" s="61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61" t="s">
        <v>2834</v>
      </c>
      <c r="G330" s="61" t="str">
        <f t="shared" si="10"/>
        <v>Petar SUCIC - Croatia</v>
      </c>
      <c r="H330" s="61" t="str">
        <f t="shared" si="11"/>
        <v>HRV17</v>
      </c>
      <c r="I330" s="61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61" t="s">
        <v>2834</v>
      </c>
      <c r="G331" s="61" t="str">
        <f t="shared" si="10"/>
        <v>Kristijan JAKIC - Croatia</v>
      </c>
      <c r="H331" s="61" t="str">
        <f t="shared" si="11"/>
        <v>HRV18</v>
      </c>
      <c r="I331" s="6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61" t="s">
        <v>2834</v>
      </c>
      <c r="G332" s="61" t="str">
        <f t="shared" si="10"/>
        <v>Toni FRUK - Croatia</v>
      </c>
      <c r="H332" s="61" t="str">
        <f t="shared" si="11"/>
        <v>HRV19</v>
      </c>
      <c r="I332" s="61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61" t="s">
        <v>2834</v>
      </c>
      <c r="G333" s="61" t="str">
        <f t="shared" si="10"/>
        <v>Igor MATANOVIC - Croatia</v>
      </c>
      <c r="H333" s="61" t="str">
        <f t="shared" si="11"/>
        <v>HRV20</v>
      </c>
      <c r="I333" s="61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61" t="s">
        <v>2834</v>
      </c>
      <c r="G334" s="61" t="str">
        <f t="shared" si="10"/>
        <v>Luka SUCIC - Croatia</v>
      </c>
      <c r="H334" s="61" t="str">
        <f t="shared" si="11"/>
        <v>HRV21</v>
      </c>
      <c r="I334" s="61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61" t="s">
        <v>2834</v>
      </c>
      <c r="G335" s="61" t="str">
        <f t="shared" si="10"/>
        <v>Luka VUSKOVIC - Croatia</v>
      </c>
      <c r="H335" s="61" t="str">
        <f t="shared" si="11"/>
        <v>HRV22</v>
      </c>
      <c r="I335" s="61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61" t="s">
        <v>2834</v>
      </c>
      <c r="G336" s="61" t="str">
        <f t="shared" si="10"/>
        <v>Dominik KOTARSKI - Croatia</v>
      </c>
      <c r="H336" s="61" t="str">
        <f t="shared" si="11"/>
        <v>HRV23</v>
      </c>
      <c r="I336" s="61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61" t="s">
        <v>2834</v>
      </c>
      <c r="G337" s="61" t="str">
        <f t="shared" si="10"/>
        <v>Marco PASALIC - Croatia</v>
      </c>
      <c r="H337" s="61" t="str">
        <f t="shared" si="11"/>
        <v>HRV24</v>
      </c>
      <c r="I337" s="61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61" t="s">
        <v>2834</v>
      </c>
      <c r="G338" s="61" t="str">
        <f t="shared" si="10"/>
        <v>Martin ERLIC - Croatia</v>
      </c>
      <c r="H338" s="61" t="str">
        <f t="shared" si="11"/>
        <v>HRV25</v>
      </c>
      <c r="I338" s="61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61" t="s">
        <v>2834</v>
      </c>
      <c r="G339" s="61" t="str">
        <f t="shared" si="10"/>
        <v>Petar MUSA - Croatia</v>
      </c>
      <c r="H339" s="61" t="str">
        <f t="shared" si="11"/>
        <v>HRV26</v>
      </c>
      <c r="I339" s="61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63" t="s">
        <v>2861</v>
      </c>
      <c r="G340" s="63" t="str">
        <f t="shared" si="10"/>
        <v>Eloy ROOM - Curaçao</v>
      </c>
      <c r="H340" s="63" t="str">
        <f t="shared" si="11"/>
        <v>CUW1</v>
      </c>
      <c r="I340" s="63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63" t="s">
        <v>2861</v>
      </c>
      <c r="G341" s="63" t="str">
        <f t="shared" si="10"/>
        <v>Shurandy SAMBO - Curaçao</v>
      </c>
      <c r="H341" s="63" t="str">
        <f t="shared" si="11"/>
        <v>CUW2</v>
      </c>
      <c r="I341" s="63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63" t="s">
        <v>2861</v>
      </c>
      <c r="G342" s="63" t="str">
        <f t="shared" si="10"/>
        <v>Jurien GAARI - Curaçao</v>
      </c>
      <c r="H342" s="63" t="str">
        <f t="shared" si="11"/>
        <v>CUW3</v>
      </c>
      <c r="I342" s="63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63" t="s">
        <v>2861</v>
      </c>
      <c r="G343" s="63" t="str">
        <f t="shared" si="10"/>
        <v>Roshon VAN EIJMA - Curaçao</v>
      </c>
      <c r="H343" s="63" t="str">
        <f t="shared" si="11"/>
        <v>CUW4</v>
      </c>
      <c r="I343" s="6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63" t="s">
        <v>2861</v>
      </c>
      <c r="G344" s="63" t="str">
        <f t="shared" si="10"/>
        <v>Sherel FLORANUS - Curaçao</v>
      </c>
      <c r="H344" s="63" t="str">
        <f t="shared" si="11"/>
        <v>CUW5</v>
      </c>
      <c r="I344" s="63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63" t="s">
        <v>2861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63" t="s">
        <v>2861</v>
      </c>
      <c r="G346" s="63" t="str">
        <f t="shared" si="10"/>
        <v>Juninho BACUNA - Curaçao</v>
      </c>
      <c r="H346" s="63" t="str">
        <f t="shared" si="11"/>
        <v>CUW7</v>
      </c>
      <c r="I346" s="63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63" t="s">
        <v>2861</v>
      </c>
      <c r="G347" s="63" t="str">
        <f t="shared" si="10"/>
        <v>Livano COMENENCIA - Curaçao</v>
      </c>
      <c r="H347" s="63" t="str">
        <f t="shared" si="11"/>
        <v>CUW8</v>
      </c>
      <c r="I347" s="63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63" t="s">
        <v>2861</v>
      </c>
      <c r="G348" s="63" t="str">
        <f t="shared" si="10"/>
        <v>Juergen LOCADIA - Curaçao</v>
      </c>
      <c r="H348" s="63" t="str">
        <f t="shared" si="11"/>
        <v>CUW9</v>
      </c>
      <c r="I348" s="63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63" t="s">
        <v>2861</v>
      </c>
      <c r="G349" s="63" t="str">
        <f t="shared" si="10"/>
        <v>Leandro BACUNA - Curaçao</v>
      </c>
      <c r="H349" s="63" t="str">
        <f t="shared" si="11"/>
        <v>CUW10</v>
      </c>
      <c r="I349" s="63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63" t="s">
        <v>2861</v>
      </c>
      <c r="G350" s="63" t="str">
        <f t="shared" si="10"/>
        <v>Jeremy ANTONISSE - Curaçao</v>
      </c>
      <c r="H350" s="63" t="str">
        <f t="shared" si="11"/>
        <v>CUW11</v>
      </c>
      <c r="I350" s="63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63" t="s">
        <v>2861</v>
      </c>
      <c r="G351" s="63" t="str">
        <f t="shared" si="10"/>
        <v>Sontje HANSEN - Curaçao</v>
      </c>
      <c r="H351" s="63" t="str">
        <f t="shared" si="11"/>
        <v>CUW12</v>
      </c>
      <c r="I351" s="63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63" t="s">
        <v>2861</v>
      </c>
      <c r="G352" s="63" t="str">
        <f t="shared" si="10"/>
        <v>Tyrese NOSLIN - Curaçao</v>
      </c>
      <c r="H352" s="63" t="str">
        <f t="shared" si="11"/>
        <v>CUW13</v>
      </c>
      <c r="I352" s="63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63" t="s">
        <v>2861</v>
      </c>
      <c r="G353" s="63" t="str">
        <f t="shared" si="10"/>
        <v>Kenji GORRE - Curaçao</v>
      </c>
      <c r="H353" s="63" t="str">
        <f t="shared" si="11"/>
        <v>CUW14</v>
      </c>
      <c r="I353" s="6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63" t="s">
        <v>2861</v>
      </c>
      <c r="G354" s="63" t="str">
        <f t="shared" si="10"/>
        <v>Arjany MARTHA - Curaçao</v>
      </c>
      <c r="H354" s="63" t="str">
        <f t="shared" si="11"/>
        <v>CUW15</v>
      </c>
      <c r="I354" s="63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63" t="s">
        <v>2861</v>
      </c>
      <c r="G355" s="63" t="str">
        <f t="shared" si="10"/>
        <v>Jearl MARGARITHA - Curaçao</v>
      </c>
      <c r="H355" s="63" t="str">
        <f t="shared" si="11"/>
        <v>CUW16</v>
      </c>
      <c r="I355" s="63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63" t="s">
        <v>2861</v>
      </c>
      <c r="G356" s="63" t="str">
        <f t="shared" si="10"/>
        <v>Brandley KUWAS - Curaçao</v>
      </c>
      <c r="H356" s="63" t="str">
        <f t="shared" si="11"/>
        <v>CUW17</v>
      </c>
      <c r="I356" s="63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63" t="s">
        <v>2861</v>
      </c>
      <c r="G357" s="63" t="str">
        <f t="shared" si="10"/>
        <v>Armando OBISPO - Curaçao</v>
      </c>
      <c r="H357" s="63" t="str">
        <f t="shared" si="11"/>
        <v>CUW18</v>
      </c>
      <c r="I357" s="63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63" t="s">
        <v>2861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63" t="s">
        <v>2861</v>
      </c>
      <c r="G359" s="63" t="str">
        <f t="shared" si="10"/>
        <v>Joshua BRENET - Curaçao</v>
      </c>
      <c r="H359" s="63" t="str">
        <f t="shared" si="11"/>
        <v>CUW20</v>
      </c>
      <c r="I359" s="63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63" t="s">
        <v>2861</v>
      </c>
      <c r="G360" s="63" t="str">
        <f t="shared" si="10"/>
        <v>Tahith CHONG - Curaçao</v>
      </c>
      <c r="H360" s="63" t="str">
        <f t="shared" si="11"/>
        <v>CUW21</v>
      </c>
      <c r="I360" s="63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63" t="s">
        <v>2861</v>
      </c>
      <c r="G361" s="63" t="str">
        <f t="shared" si="10"/>
        <v>Kevin FELIDA - Curaçao</v>
      </c>
      <c r="H361" s="63" t="str">
        <f t="shared" si="11"/>
        <v>CUW22</v>
      </c>
      <c r="I361" s="63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63" t="s">
        <v>2861</v>
      </c>
      <c r="G362" s="63" t="str">
        <f t="shared" si="10"/>
        <v>Riechedly BAZOER - Curaçao</v>
      </c>
      <c r="H362" s="63" t="str">
        <f t="shared" si="11"/>
        <v>CUW23</v>
      </c>
      <c r="I362" s="63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63" t="s">
        <v>2861</v>
      </c>
      <c r="G363" s="63" t="str">
        <f t="shared" si="10"/>
        <v>Deveron FONVILLE - Curaçao</v>
      </c>
      <c r="H363" s="63" t="str">
        <f t="shared" si="11"/>
        <v>CUW24</v>
      </c>
      <c r="I363" s="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63" t="s">
        <v>2861</v>
      </c>
      <c r="G364" s="63" t="str">
        <f t="shared" si="10"/>
        <v>Tyrick BODAK - Curaçao</v>
      </c>
      <c r="H364" s="63" t="str">
        <f t="shared" si="11"/>
        <v>CUW25</v>
      </c>
      <c r="I364" s="63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63" t="s">
        <v>2861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65" t="s">
        <v>2888</v>
      </c>
      <c r="G366" s="65" t="str">
        <f t="shared" si="10"/>
        <v>Matej KOVAR - Czechia</v>
      </c>
      <c r="H366" s="65" t="str">
        <f t="shared" si="11"/>
        <v>CZE1</v>
      </c>
      <c r="I366" s="65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65" t="s">
        <v>2888</v>
      </c>
      <c r="G367" s="65" t="str">
        <f t="shared" si="10"/>
        <v>David ZIMA - Czechia</v>
      </c>
      <c r="H367" s="65" t="str">
        <f t="shared" si="11"/>
        <v>CZE2</v>
      </c>
      <c r="I367" s="65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65" t="s">
        <v>2888</v>
      </c>
      <c r="G368" s="65" t="str">
        <f t="shared" si="10"/>
        <v>Tomas HOLES - Czechia</v>
      </c>
      <c r="H368" s="65" t="str">
        <f t="shared" si="11"/>
        <v>CZE3</v>
      </c>
      <c r="I368" s="65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65" t="s">
        <v>2888</v>
      </c>
      <c r="G369" s="65" t="str">
        <f t="shared" si="10"/>
        <v>Robin HRANAC - Czechia</v>
      </c>
      <c r="H369" s="65" t="str">
        <f t="shared" si="11"/>
        <v>CZE4</v>
      </c>
      <c r="I369" s="65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65" t="s">
        <v>2888</v>
      </c>
      <c r="G370" s="65" t="str">
        <f t="shared" si="10"/>
        <v>Vladimir COUFAL - Czechia</v>
      </c>
      <c r="H370" s="65" t="str">
        <f t="shared" si="11"/>
        <v>CZE5</v>
      </c>
      <c r="I370" s="65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65" t="s">
        <v>2888</v>
      </c>
      <c r="G371" s="65" t="str">
        <f t="shared" si="10"/>
        <v>Stepan CHALOUPEK - Czechia</v>
      </c>
      <c r="H371" s="65" t="str">
        <f t="shared" si="11"/>
        <v>CZE6</v>
      </c>
      <c r="I371" s="65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65" t="s">
        <v>2888</v>
      </c>
      <c r="G372" s="65" t="str">
        <f t="shared" si="10"/>
        <v>Ladislav KREJCI - Czechia</v>
      </c>
      <c r="H372" s="65" t="str">
        <f t="shared" si="11"/>
        <v>CZE7</v>
      </c>
      <c r="I372" s="65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65" t="s">
        <v>2888</v>
      </c>
      <c r="G373" s="65" t="str">
        <f t="shared" si="10"/>
        <v>Vladimir DARIDA - Czechia</v>
      </c>
      <c r="H373" s="65" t="str">
        <f t="shared" si="11"/>
        <v>CZE8</v>
      </c>
      <c r="I373" s="65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65" t="s">
        <v>2888</v>
      </c>
      <c r="G374" s="65" t="str">
        <f t="shared" si="10"/>
        <v>Adam HLOZEK - Czechia</v>
      </c>
      <c r="H374" s="65" t="str">
        <f t="shared" si="11"/>
        <v>CZE9</v>
      </c>
      <c r="I374" s="65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65" t="s">
        <v>2888</v>
      </c>
      <c r="G375" s="65" t="str">
        <f t="shared" si="10"/>
        <v>Patrik SCHICK - Czechia</v>
      </c>
      <c r="H375" s="65" t="str">
        <f t="shared" si="11"/>
        <v>CZE10</v>
      </c>
      <c r="I375" s="6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65" t="s">
        <v>2888</v>
      </c>
      <c r="G376" s="65" t="str">
        <f t="shared" si="10"/>
        <v>Jan KUCHTA - Czechia</v>
      </c>
      <c r="H376" s="65" t="str">
        <f t="shared" si="11"/>
        <v>CZE11</v>
      </c>
      <c r="I376" s="65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65" t="s">
        <v>2888</v>
      </c>
      <c r="G377" s="65" t="str">
        <f t="shared" si="10"/>
        <v>Lukas CERV - Czechia</v>
      </c>
      <c r="H377" s="65" t="str">
        <f t="shared" si="11"/>
        <v>CZE12</v>
      </c>
      <c r="I377" s="65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65" t="s">
        <v>2888</v>
      </c>
      <c r="G378" s="65" t="str">
        <f t="shared" si="10"/>
        <v>Mojmir CHYTIL - Czechia</v>
      </c>
      <c r="H378" s="65" t="str">
        <f t="shared" si="11"/>
        <v>CZE13</v>
      </c>
      <c r="I378" s="65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65" t="s">
        <v>2888</v>
      </c>
      <c r="G379" s="65" t="str">
        <f t="shared" si="10"/>
        <v>David JURASEK - Czechia</v>
      </c>
      <c r="H379" s="65" t="str">
        <f t="shared" si="11"/>
        <v>CZE14</v>
      </c>
      <c r="I379" s="65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65" t="s">
        <v>2888</v>
      </c>
      <c r="G380" s="65" t="str">
        <f t="shared" si="10"/>
        <v>Pavel SULC - Czechia</v>
      </c>
      <c r="H380" s="65" t="str">
        <f t="shared" si="11"/>
        <v>CZE15</v>
      </c>
      <c r="I380" s="65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65" t="s">
        <v>2888</v>
      </c>
      <c r="G381" s="65" t="str">
        <f t="shared" si="10"/>
        <v>Jindrich STANEK - Czechia</v>
      </c>
      <c r="H381" s="65" t="str">
        <f t="shared" si="11"/>
        <v>CZE16</v>
      </c>
      <c r="I381" s="65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65" t="s">
        <v>2888</v>
      </c>
      <c r="G382" s="65" t="str">
        <f t="shared" si="10"/>
        <v>Lukas PROVOD - Czechia</v>
      </c>
      <c r="H382" s="65" t="str">
        <f t="shared" si="11"/>
        <v>CZE17</v>
      </c>
      <c r="I382" s="65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65" t="s">
        <v>2888</v>
      </c>
      <c r="G383" s="65" t="str">
        <f t="shared" si="10"/>
        <v>Michal SADILEK - Czechia</v>
      </c>
      <c r="H383" s="65" t="str">
        <f t="shared" si="11"/>
        <v>CZE18</v>
      </c>
      <c r="I383" s="65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65" t="s">
        <v>2888</v>
      </c>
      <c r="G384" s="65" t="str">
        <f t="shared" si="10"/>
        <v>Tomas CHORY - Czechia</v>
      </c>
      <c r="H384" s="65" t="str">
        <f t="shared" si="11"/>
        <v>CZE19</v>
      </c>
      <c r="I384" s="65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65" t="s">
        <v>2888</v>
      </c>
      <c r="G385" s="65" t="str">
        <f t="shared" si="10"/>
        <v>Jaroslav ZELENY - Czechia</v>
      </c>
      <c r="H385" s="65" t="str">
        <f t="shared" si="11"/>
        <v>CZE20</v>
      </c>
      <c r="I385" s="6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65" t="s">
        <v>2888</v>
      </c>
      <c r="G386" s="65" t="str">
        <f t="shared" si="10"/>
        <v>David DOUDERA - Czechia</v>
      </c>
      <c r="H386" s="65" t="str">
        <f t="shared" si="11"/>
        <v>CZE21</v>
      </c>
      <c r="I386" s="65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65" t="s">
        <v>2888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65" t="s">
        <v>2888</v>
      </c>
      <c r="G388" s="65" t="str">
        <f t="shared" si="12"/>
        <v>Lukas HORNICEK - Czechia</v>
      </c>
      <c r="H388" s="65" t="str">
        <f t="shared" si="13"/>
        <v>CZE23</v>
      </c>
      <c r="I388" s="65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65" t="s">
        <v>2888</v>
      </c>
      <c r="G389" s="65" t="str">
        <f t="shared" si="12"/>
        <v>Alexandr SOJKA - Czechia</v>
      </c>
      <c r="H389" s="65" t="str">
        <f t="shared" si="13"/>
        <v>CZE24</v>
      </c>
      <c r="I389" s="65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65" t="s">
        <v>2888</v>
      </c>
      <c r="G390" s="65" t="str">
        <f t="shared" si="12"/>
        <v>Hugo SOCHUREK - Czechia</v>
      </c>
      <c r="H390" s="65" t="str">
        <f t="shared" si="13"/>
        <v>CZE25</v>
      </c>
      <c r="I390" s="65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65" t="s">
        <v>2888</v>
      </c>
      <c r="G391" s="65" t="str">
        <f t="shared" si="12"/>
        <v>Denis VISINSKY - Czechia</v>
      </c>
      <c r="H391" s="65" t="str">
        <f t="shared" si="13"/>
        <v>CZE26</v>
      </c>
      <c r="I391" s="65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67" t="s">
        <v>2915</v>
      </c>
      <c r="G392" s="67" t="str">
        <f t="shared" si="12"/>
        <v>Hernan GALINDEZ - Ecuador</v>
      </c>
      <c r="H392" s="67" t="str">
        <f t="shared" si="13"/>
        <v>ECU1</v>
      </c>
      <c r="I392" s="67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67" t="s">
        <v>2915</v>
      </c>
      <c r="G393" s="67" t="str">
        <f t="shared" si="12"/>
        <v>Felix TORRES - Ecuador</v>
      </c>
      <c r="H393" s="67" t="str">
        <f t="shared" si="13"/>
        <v>ECU2</v>
      </c>
      <c r="I393" s="67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67" t="s">
        <v>2915</v>
      </c>
      <c r="G394" s="67" t="str">
        <f t="shared" si="12"/>
        <v>Piero HINCAPIE - Ecuador</v>
      </c>
      <c r="H394" s="67" t="str">
        <f t="shared" si="13"/>
        <v>ECU3</v>
      </c>
      <c r="I394" s="67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67" t="s">
        <v>2915</v>
      </c>
      <c r="G395" s="67" t="str">
        <f t="shared" si="12"/>
        <v>Joel ORDONEZ - Ecuador</v>
      </c>
      <c r="H395" s="67" t="str">
        <f t="shared" si="13"/>
        <v>ECU4</v>
      </c>
      <c r="I395" s="67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67" t="s">
        <v>2915</v>
      </c>
      <c r="G396" s="67" t="str">
        <f t="shared" si="12"/>
        <v>Jordy ALCIVAR - Ecuador</v>
      </c>
      <c r="H396" s="67" t="str">
        <f t="shared" si="13"/>
        <v>ECU5</v>
      </c>
      <c r="I396" s="67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67" t="s">
        <v>2915</v>
      </c>
      <c r="G397" s="67" t="str">
        <f t="shared" si="12"/>
        <v>Willian PACHO - Ecuador</v>
      </c>
      <c r="H397" s="67" t="str">
        <f t="shared" si="13"/>
        <v>ECU6</v>
      </c>
      <c r="I397" s="6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67" t="s">
        <v>2915</v>
      </c>
      <c r="G398" s="67" t="str">
        <f t="shared" si="12"/>
        <v>Pervis ESTUPINAN - Ecuador</v>
      </c>
      <c r="H398" s="67" t="str">
        <f t="shared" si="13"/>
        <v>ECU7</v>
      </c>
      <c r="I398" s="67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67" t="s">
        <v>2915</v>
      </c>
      <c r="G399" s="67" t="str">
        <f t="shared" si="12"/>
        <v>Anthony VALENCIA - Ecuador</v>
      </c>
      <c r="H399" s="67" t="str">
        <f t="shared" si="13"/>
        <v>ECU8</v>
      </c>
      <c r="I399" s="67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67" t="s">
        <v>2915</v>
      </c>
      <c r="G400" s="67" t="str">
        <f t="shared" si="12"/>
        <v>John YEBOAH - Ecuador</v>
      </c>
      <c r="H400" s="67" t="str">
        <f t="shared" si="13"/>
        <v>ECU9</v>
      </c>
      <c r="I400" s="67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67" t="s">
        <v>2915</v>
      </c>
      <c r="G401" s="67" t="str">
        <f t="shared" si="12"/>
        <v>Kendry PAEZ - Ecuador</v>
      </c>
      <c r="H401" s="67" t="str">
        <f t="shared" si="13"/>
        <v>ECU10</v>
      </c>
      <c r="I401" s="67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67" t="s">
        <v>2915</v>
      </c>
      <c r="G402" s="67" t="str">
        <f t="shared" si="12"/>
        <v>Kevin RODRIGUEZ - Ecuador</v>
      </c>
      <c r="H402" s="67" t="str">
        <f t="shared" si="13"/>
        <v>ECU11</v>
      </c>
      <c r="I402" s="67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67" t="s">
        <v>2915</v>
      </c>
      <c r="G403" s="67" t="str">
        <f t="shared" si="12"/>
        <v>Moises RAMIREZ - Ecuador</v>
      </c>
      <c r="H403" s="67" t="str">
        <f t="shared" si="13"/>
        <v>ECU12</v>
      </c>
      <c r="I403" s="67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67" t="s">
        <v>2915</v>
      </c>
      <c r="G404" s="67" t="str">
        <f t="shared" si="12"/>
        <v>Enner VALENCIA - Ecuador</v>
      </c>
      <c r="H404" s="67" t="str">
        <f t="shared" si="13"/>
        <v>ECU13</v>
      </c>
      <c r="I404" s="67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67" t="s">
        <v>2915</v>
      </c>
      <c r="G405" s="67" t="str">
        <f t="shared" si="12"/>
        <v>Alan MINDA - Ecuador</v>
      </c>
      <c r="H405" s="67" t="str">
        <f t="shared" si="13"/>
        <v>ECU14</v>
      </c>
      <c r="I405" s="67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67" t="s">
        <v>2915</v>
      </c>
      <c r="G406" s="67" t="str">
        <f t="shared" si="12"/>
        <v>Pedro VITE - Ecuador</v>
      </c>
      <c r="H406" s="67" t="str">
        <f t="shared" si="13"/>
        <v>ECU15</v>
      </c>
      <c r="I406" s="67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67" t="s">
        <v>2915</v>
      </c>
      <c r="G407" s="67" t="str">
        <f t="shared" si="12"/>
        <v>Jordy CAICEDO - Ecuador</v>
      </c>
      <c r="H407" s="67" t="str">
        <f t="shared" si="13"/>
        <v>ECU16</v>
      </c>
      <c r="I407" s="6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67" t="s">
        <v>2915</v>
      </c>
      <c r="G408" s="67" t="str">
        <f t="shared" si="12"/>
        <v>Angelo PRECIADO - Ecuador</v>
      </c>
      <c r="H408" s="67" t="str">
        <f t="shared" si="13"/>
        <v>ECU17</v>
      </c>
      <c r="I408" s="67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67" t="s">
        <v>2915</v>
      </c>
      <c r="G409" s="67" t="str">
        <f t="shared" si="12"/>
        <v>Denil CASTILLO - Ecuador</v>
      </c>
      <c r="H409" s="67" t="str">
        <f t="shared" si="13"/>
        <v>ECU18</v>
      </c>
      <c r="I409" s="67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67" t="s">
        <v>2915</v>
      </c>
      <c r="G410" s="67" t="str">
        <f t="shared" si="12"/>
        <v>Gonzalo PLATA - Ecuador</v>
      </c>
      <c r="H410" s="67" t="str">
        <f t="shared" si="13"/>
        <v>ECU19</v>
      </c>
      <c r="I410" s="67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67" t="s">
        <v>2915</v>
      </c>
      <c r="G411" s="67" t="str">
        <f t="shared" si="12"/>
        <v>Nilson ANGULO - Ecuador</v>
      </c>
      <c r="H411" s="67" t="str">
        <f t="shared" si="13"/>
        <v>ECU20</v>
      </c>
      <c r="I411" s="67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67" t="s">
        <v>2915</v>
      </c>
      <c r="G412" s="67" t="str">
        <f t="shared" si="12"/>
        <v>Alan FRANCO - Ecuador</v>
      </c>
      <c r="H412" s="67" t="str">
        <f t="shared" si="13"/>
        <v>ECU21</v>
      </c>
      <c r="I412" s="67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67" t="s">
        <v>2915</v>
      </c>
      <c r="G413" s="67" t="str">
        <f t="shared" si="12"/>
        <v>Gonzalo VALLE - Ecuador</v>
      </c>
      <c r="H413" s="67" t="str">
        <f t="shared" si="13"/>
        <v>ECU22</v>
      </c>
      <c r="I413" s="67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67" t="s">
        <v>2915</v>
      </c>
      <c r="G414" s="67" t="str">
        <f t="shared" si="12"/>
        <v>Moises CAICEDO - Ecuador</v>
      </c>
      <c r="H414" s="67" t="str">
        <f t="shared" si="13"/>
        <v>ECU23</v>
      </c>
      <c r="I414" s="67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67" t="s">
        <v>2915</v>
      </c>
      <c r="G415" s="67" t="str">
        <f t="shared" si="12"/>
        <v>Jeremy AREVALO - Ecuador</v>
      </c>
      <c r="H415" s="67" t="str">
        <f t="shared" si="13"/>
        <v>ECU24</v>
      </c>
      <c r="I415" s="67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67" t="s">
        <v>2915</v>
      </c>
      <c r="G416" s="67" t="str">
        <f t="shared" si="12"/>
        <v>Jackson POROZO - Ecuador</v>
      </c>
      <c r="H416" s="67" t="str">
        <f t="shared" si="13"/>
        <v>ECU25</v>
      </c>
      <c r="I416" s="67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67" t="s">
        <v>2915</v>
      </c>
      <c r="G417" s="67" t="str">
        <f t="shared" si="12"/>
        <v>Yaimar MEDINA - Ecuador</v>
      </c>
      <c r="H417" s="67" t="str">
        <f t="shared" si="13"/>
        <v>ECU26</v>
      </c>
      <c r="I417" s="6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69" t="s">
        <v>2942</v>
      </c>
      <c r="G418" s="69" t="str">
        <f t="shared" si="12"/>
        <v>Mohamed ELSHENAWY - Egypt</v>
      </c>
      <c r="H418" s="69" t="str">
        <f t="shared" si="13"/>
        <v>EGY1</v>
      </c>
      <c r="I418" s="69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69" t="s">
        <v>2942</v>
      </c>
      <c r="G419" s="69" t="str">
        <f t="shared" si="12"/>
        <v>Yasser IBRAHIM - Egypt</v>
      </c>
      <c r="H419" s="69" t="str">
        <f t="shared" si="13"/>
        <v>EGY2</v>
      </c>
      <c r="I419" s="6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69" t="s">
        <v>2942</v>
      </c>
      <c r="G420" s="69" t="str">
        <f t="shared" si="12"/>
        <v>Mohamed HANY - Egypt</v>
      </c>
      <c r="H420" s="69" t="str">
        <f t="shared" si="13"/>
        <v>EGY3</v>
      </c>
      <c r="I420" s="69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69" t="s">
        <v>2942</v>
      </c>
      <c r="G421" s="69" t="str">
        <f t="shared" si="12"/>
        <v>Hossam ABDELMAGUID - Egypt</v>
      </c>
      <c r="H421" s="69" t="str">
        <f t="shared" si="13"/>
        <v>EGY4</v>
      </c>
      <c r="I421" s="69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69" t="s">
        <v>2942</v>
      </c>
      <c r="G422" s="69" t="str">
        <f t="shared" si="12"/>
        <v>Ramy RABIA - Egypt</v>
      </c>
      <c r="H422" s="69" t="str">
        <f t="shared" si="13"/>
        <v>EGY5</v>
      </c>
      <c r="I422" s="69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69" t="s">
        <v>2942</v>
      </c>
      <c r="G423" s="69" t="str">
        <f t="shared" si="12"/>
        <v>Mohamed ABDELMONEIM - Egypt</v>
      </c>
      <c r="H423" s="69" t="str">
        <f t="shared" si="13"/>
        <v>EGY6</v>
      </c>
      <c r="I423" s="69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69" t="s">
        <v>2942</v>
      </c>
      <c r="G424" s="69" t="str">
        <f t="shared" si="12"/>
        <v>Mahmoud TREZEGUET - Egypt</v>
      </c>
      <c r="H424" s="69" t="str">
        <f t="shared" si="13"/>
        <v>EGY7</v>
      </c>
      <c r="I424" s="69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69" t="s">
        <v>2942</v>
      </c>
      <c r="G425" s="69" t="str">
        <f t="shared" si="12"/>
        <v>Emam ASHOUR - Egypt</v>
      </c>
      <c r="H425" s="69" t="str">
        <f t="shared" si="13"/>
        <v>EGY8</v>
      </c>
      <c r="I425" s="69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69" t="s">
        <v>2942</v>
      </c>
      <c r="G426" s="69" t="str">
        <f t="shared" si="12"/>
        <v>Hamza ABDELKARIM - Egypt</v>
      </c>
      <c r="H426" s="69" t="str">
        <f t="shared" si="13"/>
        <v>EGY9</v>
      </c>
      <c r="I426" s="69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69" t="s">
        <v>2942</v>
      </c>
      <c r="G427" s="69" t="str">
        <f t="shared" si="12"/>
        <v>Mohamed SALAH - Egypt</v>
      </c>
      <c r="H427" s="69" t="str">
        <f t="shared" si="13"/>
        <v>EGY10</v>
      </c>
      <c r="I427" s="69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69" t="s">
        <v>2942</v>
      </c>
      <c r="G428" s="69" t="str">
        <f t="shared" si="12"/>
        <v>Mostafa ZICO - Egypt</v>
      </c>
      <c r="H428" s="69" t="str">
        <f t="shared" si="13"/>
        <v>EGY11</v>
      </c>
      <c r="I428" s="69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69" t="s">
        <v>2942</v>
      </c>
      <c r="G429" s="69" t="str">
        <f t="shared" si="12"/>
        <v>Haissem HASSAN - Egypt</v>
      </c>
      <c r="H429" s="69" t="str">
        <f t="shared" si="13"/>
        <v>EGY12</v>
      </c>
      <c r="I429" s="6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69" t="s">
        <v>2942</v>
      </c>
      <c r="G430" s="69" t="str">
        <f t="shared" si="12"/>
        <v>Ahmed FATOUH - Egypt</v>
      </c>
      <c r="H430" s="69" t="str">
        <f t="shared" si="13"/>
        <v>EGY13</v>
      </c>
      <c r="I430" s="69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69" t="s">
        <v>2942</v>
      </c>
      <c r="G431" s="69" t="str">
        <f t="shared" si="12"/>
        <v>Hamdy FATHY - Egypt</v>
      </c>
      <c r="H431" s="69" t="str">
        <f t="shared" si="13"/>
        <v>EGY14</v>
      </c>
      <c r="I431" s="69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69" t="s">
        <v>2942</v>
      </c>
      <c r="G432" s="69" t="str">
        <f t="shared" si="12"/>
        <v>Karim HAFEZ - Egypt</v>
      </c>
      <c r="H432" s="69" t="str">
        <f t="shared" si="13"/>
        <v>EGY15</v>
      </c>
      <c r="I432" s="69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69" t="s">
        <v>2942</v>
      </c>
      <c r="G433" s="69" t="str">
        <f t="shared" si="12"/>
        <v>Mahdy SOLIMAN - Egypt</v>
      </c>
      <c r="H433" s="69" t="str">
        <f t="shared" si="13"/>
        <v>EGY16</v>
      </c>
      <c r="I433" s="69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69" t="s">
        <v>2942</v>
      </c>
      <c r="G434" s="69" t="str">
        <f t="shared" si="12"/>
        <v>Mohanad LASHIN - Egypt</v>
      </c>
      <c r="H434" s="69" t="str">
        <f t="shared" si="13"/>
        <v>EGY17</v>
      </c>
      <c r="I434" s="69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69" t="s">
        <v>2942</v>
      </c>
      <c r="G435" s="69" t="str">
        <f t="shared" si="12"/>
        <v>Nabil DONGA - Egypt</v>
      </c>
      <c r="H435" s="69" t="str">
        <f t="shared" si="13"/>
        <v>EGY18</v>
      </c>
      <c r="I435" s="69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69" t="s">
        <v>2942</v>
      </c>
      <c r="G436" s="69" t="str">
        <f t="shared" si="12"/>
        <v>Marawan ATTIA - Egypt</v>
      </c>
      <c r="H436" s="69" t="str">
        <f t="shared" si="13"/>
        <v>EGY19</v>
      </c>
      <c r="I436" s="69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69" t="s">
        <v>2942</v>
      </c>
      <c r="G437" s="69" t="str">
        <f t="shared" si="12"/>
        <v>Ibrahim ADEL - Egypt</v>
      </c>
      <c r="H437" s="69" t="str">
        <f t="shared" si="13"/>
        <v>EGY20</v>
      </c>
      <c r="I437" s="69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69" t="s">
        <v>2942</v>
      </c>
      <c r="G438" s="69" t="str">
        <f t="shared" si="12"/>
        <v>Mahmoud SABER - Egypt</v>
      </c>
      <c r="H438" s="69" t="str">
        <f t="shared" si="13"/>
        <v>EGY21</v>
      </c>
      <c r="I438" s="69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69" t="s">
        <v>2942</v>
      </c>
      <c r="G439" s="69" t="str">
        <f t="shared" si="12"/>
        <v>Omar MARMOUSH - Egypt</v>
      </c>
      <c r="H439" s="69" t="str">
        <f t="shared" si="13"/>
        <v>EGY22</v>
      </c>
      <c r="I439" s="6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69" t="s">
        <v>2942</v>
      </c>
      <c r="G440" s="69" t="str">
        <f t="shared" si="12"/>
        <v>Mostafa SHOUBIR - Egypt</v>
      </c>
      <c r="H440" s="69" t="str">
        <f t="shared" si="13"/>
        <v>EGY23</v>
      </c>
      <c r="I440" s="69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69" t="s">
        <v>2942</v>
      </c>
      <c r="G441" s="69" t="str">
        <f t="shared" si="12"/>
        <v>Tarek ALAA - Egypt</v>
      </c>
      <c r="H441" s="69" t="str">
        <f t="shared" si="13"/>
        <v>EGY24</v>
      </c>
      <c r="I441" s="69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69" t="s">
        <v>2942</v>
      </c>
      <c r="G442" s="69" t="str">
        <f t="shared" si="12"/>
        <v>Ahmed ZIZO - Egypt</v>
      </c>
      <c r="H442" s="69" t="str">
        <f t="shared" si="13"/>
        <v>EGY25</v>
      </c>
      <c r="I442" s="69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69" t="s">
        <v>2942</v>
      </c>
      <c r="G443" s="69" t="str">
        <f t="shared" si="12"/>
        <v>Mohamed ALAA - Egypt</v>
      </c>
      <c r="H443" s="69" t="str">
        <f t="shared" si="13"/>
        <v>EGY26</v>
      </c>
      <c r="I443" s="69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71" t="s">
        <v>2969</v>
      </c>
      <c r="G444" s="71" t="str">
        <f t="shared" si="12"/>
        <v>Jordan PICKFORD - England</v>
      </c>
      <c r="H444" s="71" t="str">
        <f t="shared" si="13"/>
        <v>ENG1</v>
      </c>
      <c r="I444" s="71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71" t="s">
        <v>2969</v>
      </c>
      <c r="G445" s="71" t="str">
        <f t="shared" si="12"/>
        <v>Ezri KONSA - England</v>
      </c>
      <c r="H445" s="71" t="str">
        <f t="shared" si="13"/>
        <v>ENG2</v>
      </c>
      <c r="I445" s="71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71" t="s">
        <v>2969</v>
      </c>
      <c r="G446" s="71" t="str">
        <f t="shared" si="12"/>
        <v>Nico OREILLY - England</v>
      </c>
      <c r="H446" s="71" t="str">
        <f t="shared" si="13"/>
        <v>ENG3</v>
      </c>
      <c r="I446" s="71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71" t="s">
        <v>2969</v>
      </c>
      <c r="G447" s="71" t="str">
        <f t="shared" si="12"/>
        <v>Declan RICE - England</v>
      </c>
      <c r="H447" s="71" t="str">
        <f t="shared" si="13"/>
        <v>ENG4</v>
      </c>
      <c r="I447" s="71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71" t="s">
        <v>2969</v>
      </c>
      <c r="G448" s="71" t="str">
        <f t="shared" si="12"/>
        <v>John STONES - England</v>
      </c>
      <c r="H448" s="71" t="str">
        <f t="shared" si="13"/>
        <v>ENG5</v>
      </c>
      <c r="I448" s="71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71" t="s">
        <v>2969</v>
      </c>
      <c r="G449" s="71" t="str">
        <f t="shared" si="12"/>
        <v>Marc GUEHI - England</v>
      </c>
      <c r="H449" s="71" t="str">
        <f t="shared" si="13"/>
        <v>ENG6</v>
      </c>
      <c r="I449" s="71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71" t="s">
        <v>2969</v>
      </c>
      <c r="G450" s="71" t="str">
        <f t="shared" si="12"/>
        <v>Bukayo SAKA - England</v>
      </c>
      <c r="H450" s="71" t="str">
        <f t="shared" si="13"/>
        <v>ENG7</v>
      </c>
      <c r="I450" s="71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71" t="s">
        <v>2969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71" t="s">
        <v>2969</v>
      </c>
      <c r="G452" s="71" t="str">
        <f t="shared" si="14"/>
        <v>Harry KANE - England</v>
      </c>
      <c r="H452" s="71" t="str">
        <f t="shared" si="15"/>
        <v>ENG9</v>
      </c>
      <c r="I452" s="71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71" t="s">
        <v>2969</v>
      </c>
      <c r="G453" s="71" t="str">
        <f t="shared" si="14"/>
        <v>Jude BELLINGHAM - England</v>
      </c>
      <c r="H453" s="71" t="str">
        <f t="shared" si="15"/>
        <v>ENG10</v>
      </c>
      <c r="I453" s="71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71" t="s">
        <v>2969</v>
      </c>
      <c r="G454" s="71" t="str">
        <f t="shared" si="14"/>
        <v>Marcus RASHFORD - England</v>
      </c>
      <c r="H454" s="71" t="str">
        <f t="shared" si="15"/>
        <v>ENG11</v>
      </c>
      <c r="I454" s="71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71" t="s">
        <v>2969</v>
      </c>
      <c r="G455" s="71" t="str">
        <f t="shared" si="14"/>
        <v>Trevoh CHALOBAH - England</v>
      </c>
      <c r="H455" s="71" t="str">
        <f t="shared" si="15"/>
        <v>ENG12</v>
      </c>
      <c r="I455" s="71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71" t="s">
        <v>2969</v>
      </c>
      <c r="G456" s="71" t="str">
        <f t="shared" si="14"/>
        <v>Dean HENDERSON - England</v>
      </c>
      <c r="H456" s="71" t="str">
        <f t="shared" si="15"/>
        <v>ENG13</v>
      </c>
      <c r="I456" s="71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71" t="s">
        <v>2969</v>
      </c>
      <c r="G457" s="71" t="str">
        <f t="shared" si="14"/>
        <v>Jordan HENDERSON - England</v>
      </c>
      <c r="H457" s="71" t="str">
        <f t="shared" si="15"/>
        <v>ENG14</v>
      </c>
      <c r="I457" s="71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71" t="s">
        <v>2969</v>
      </c>
      <c r="G458" s="71" t="str">
        <f t="shared" si="14"/>
        <v>Dan BURN - England</v>
      </c>
      <c r="H458" s="71" t="str">
        <f t="shared" si="15"/>
        <v>ENG15</v>
      </c>
      <c r="I458" s="71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71" t="s">
        <v>2969</v>
      </c>
      <c r="G459" s="71" t="str">
        <f t="shared" si="14"/>
        <v>Kobbie MAINOO - England</v>
      </c>
      <c r="H459" s="71" t="str">
        <f t="shared" si="15"/>
        <v>ENG16</v>
      </c>
      <c r="I459" s="71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71" t="s">
        <v>2969</v>
      </c>
      <c r="G460" s="71" t="str">
        <f t="shared" si="14"/>
        <v>Morgan ROGERS - England</v>
      </c>
      <c r="H460" s="71" t="str">
        <f t="shared" si="15"/>
        <v>ENG17</v>
      </c>
      <c r="I460" s="71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71" t="s">
        <v>2969</v>
      </c>
      <c r="G461" s="71" t="str">
        <f t="shared" si="14"/>
        <v>Anthony GORDON - England</v>
      </c>
      <c r="H461" s="71" t="str">
        <f t="shared" si="15"/>
        <v>ENG18</v>
      </c>
      <c r="I461" s="7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71" t="s">
        <v>2969</v>
      </c>
      <c r="G462" s="71" t="str">
        <f t="shared" si="14"/>
        <v>Ollie WATKINS - England</v>
      </c>
      <c r="H462" s="71" t="str">
        <f t="shared" si="15"/>
        <v>ENG19</v>
      </c>
      <c r="I462" s="71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71" t="s">
        <v>2969</v>
      </c>
      <c r="G463" s="71" t="str">
        <f t="shared" si="14"/>
        <v>Noni MADUEKE - England</v>
      </c>
      <c r="H463" s="71" t="str">
        <f t="shared" si="15"/>
        <v>ENG20</v>
      </c>
      <c r="I463" s="71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71" t="s">
        <v>2969</v>
      </c>
      <c r="G464" s="71" t="str">
        <f t="shared" si="14"/>
        <v>Eberechi EZE - England</v>
      </c>
      <c r="H464" s="71" t="str">
        <f t="shared" si="15"/>
        <v>ENG21</v>
      </c>
      <c r="I464" s="71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71" t="s">
        <v>2969</v>
      </c>
      <c r="G465" s="71" t="str">
        <f t="shared" si="14"/>
        <v>Ivan TONEY - England</v>
      </c>
      <c r="H465" s="71" t="str">
        <f t="shared" si="15"/>
        <v>ENG22</v>
      </c>
      <c r="I465" s="71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71" t="s">
        <v>2969</v>
      </c>
      <c r="G466" s="71" t="str">
        <f t="shared" si="14"/>
        <v>James TRAFFORD - England</v>
      </c>
      <c r="H466" s="71" t="str">
        <f t="shared" si="15"/>
        <v>ENG23</v>
      </c>
      <c r="I466" s="71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71" t="s">
        <v>2969</v>
      </c>
      <c r="G467" s="71" t="str">
        <f t="shared" si="14"/>
        <v>Reece JAMES - England</v>
      </c>
      <c r="H467" s="71" t="str">
        <f t="shared" si="15"/>
        <v>ENG24</v>
      </c>
      <c r="I467" s="71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71" t="s">
        <v>2969</v>
      </c>
      <c r="G468" s="71" t="str">
        <f t="shared" si="14"/>
        <v>Djed SPENCE - England</v>
      </c>
      <c r="H468" s="71" t="str">
        <f t="shared" si="15"/>
        <v>ENG25</v>
      </c>
      <c r="I468" s="71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71" t="s">
        <v>2969</v>
      </c>
      <c r="G469" s="71" t="str">
        <f t="shared" si="14"/>
        <v>Jarell QUANSAH - England</v>
      </c>
      <c r="H469" s="71" t="str">
        <f t="shared" si="15"/>
        <v>ENG26</v>
      </c>
      <c r="I469" s="71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73" t="s">
        <v>2995</v>
      </c>
      <c r="G470" s="73" t="str">
        <f t="shared" si="14"/>
        <v>Brice SAMBA - France</v>
      </c>
      <c r="H470" s="73" t="str">
        <f t="shared" si="15"/>
        <v>FRA1</v>
      </c>
      <c r="I470" s="73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73" t="s">
        <v>2995</v>
      </c>
      <c r="G471" s="73" t="str">
        <f t="shared" si="14"/>
        <v>Malo GUSTO - France</v>
      </c>
      <c r="H471" s="73" t="str">
        <f t="shared" si="15"/>
        <v>FRA2</v>
      </c>
      <c r="I471" s="73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73" t="s">
        <v>2995</v>
      </c>
      <c r="G472" s="73" t="str">
        <f t="shared" si="14"/>
        <v>Lucas DIGNE - France</v>
      </c>
      <c r="H472" s="73" t="str">
        <f t="shared" si="15"/>
        <v>FRA3</v>
      </c>
      <c r="I472" s="73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73" t="s">
        <v>2995</v>
      </c>
      <c r="G473" s="73" t="str">
        <f t="shared" si="14"/>
        <v>Dayot UPAMECANO - France</v>
      </c>
      <c r="H473" s="73" t="str">
        <f t="shared" si="15"/>
        <v>FRA4</v>
      </c>
      <c r="I473" s="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73" t="s">
        <v>2995</v>
      </c>
      <c r="G474" s="73" t="str">
        <f t="shared" si="14"/>
        <v>Jules KOUNDE - France</v>
      </c>
      <c r="H474" s="73" t="str">
        <f t="shared" si="15"/>
        <v>FRA5</v>
      </c>
      <c r="I474" s="73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73" t="s">
        <v>2995</v>
      </c>
      <c r="G475" s="73" t="str">
        <f t="shared" si="14"/>
        <v>Manu KONE - France</v>
      </c>
      <c r="H475" s="73" t="str">
        <f t="shared" si="15"/>
        <v>FRA6</v>
      </c>
      <c r="I475" s="73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73" t="s">
        <v>2995</v>
      </c>
      <c r="G476" s="73" t="str">
        <f t="shared" si="14"/>
        <v>Ousmane DEMBELE - France</v>
      </c>
      <c r="H476" s="73" t="str">
        <f t="shared" si="15"/>
        <v>FRA7</v>
      </c>
      <c r="I476" s="73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73" t="s">
        <v>2995</v>
      </c>
      <c r="G477" s="73" t="str">
        <f t="shared" si="14"/>
        <v>Aurelien TCHOUAMENI - France</v>
      </c>
      <c r="H477" s="73" t="str">
        <f t="shared" si="15"/>
        <v>FRA8</v>
      </c>
      <c r="I477" s="73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73" t="s">
        <v>2995</v>
      </c>
      <c r="G478" s="73" t="str">
        <f t="shared" si="14"/>
        <v>Marcus THURAM - France</v>
      </c>
      <c r="H478" s="73" t="str">
        <f t="shared" si="15"/>
        <v>FRA9</v>
      </c>
      <c r="I478" s="73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73" t="s">
        <v>2995</v>
      </c>
      <c r="G479" s="73" t="str">
        <f t="shared" si="14"/>
        <v>Kylian MBAPPE - France</v>
      </c>
      <c r="H479" s="73" t="str">
        <f t="shared" si="15"/>
        <v>FRA10</v>
      </c>
      <c r="I479" s="73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73" t="s">
        <v>2995</v>
      </c>
      <c r="G480" s="73" t="str">
        <f t="shared" si="14"/>
        <v>Michael OLISE - France</v>
      </c>
      <c r="H480" s="73" t="str">
        <f t="shared" si="15"/>
        <v>FRA11</v>
      </c>
      <c r="I480" s="73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73" t="s">
        <v>2995</v>
      </c>
      <c r="G481" s="73" t="str">
        <f t="shared" si="14"/>
        <v>Bradley BARCOLA - France</v>
      </c>
      <c r="H481" s="73" t="str">
        <f t="shared" si="15"/>
        <v>FRA12</v>
      </c>
      <c r="I481" s="73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73" t="s">
        <v>2995</v>
      </c>
      <c r="G482" s="73" t="str">
        <f t="shared" si="14"/>
        <v>Ngolo KANTE - France</v>
      </c>
      <c r="H482" s="73" t="str">
        <f t="shared" si="15"/>
        <v>FRA13</v>
      </c>
      <c r="I482" s="73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73" t="s">
        <v>2995</v>
      </c>
      <c r="G483" s="73" t="str">
        <f t="shared" si="14"/>
        <v>Adrien RABIOT - France</v>
      </c>
      <c r="H483" s="73" t="str">
        <f t="shared" si="15"/>
        <v>FRA14</v>
      </c>
      <c r="I483" s="7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73" t="s">
        <v>2995</v>
      </c>
      <c r="G484" s="73" t="str">
        <f t="shared" si="14"/>
        <v>Ibrahima KONATE - France</v>
      </c>
      <c r="H484" s="73" t="str">
        <f t="shared" si="15"/>
        <v>FRA15</v>
      </c>
      <c r="I484" s="73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73" t="s">
        <v>2995</v>
      </c>
      <c r="G485" s="73" t="str">
        <f t="shared" si="14"/>
        <v>Mike MAIGNAN - France</v>
      </c>
      <c r="H485" s="73" t="str">
        <f t="shared" si="15"/>
        <v>FRA16</v>
      </c>
      <c r="I485" s="73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73" t="s">
        <v>2995</v>
      </c>
      <c r="G486" s="73" t="str">
        <f t="shared" si="14"/>
        <v>William SALIBA - France</v>
      </c>
      <c r="H486" s="73" t="str">
        <f t="shared" si="15"/>
        <v>FRA17</v>
      </c>
      <c r="I486" s="73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73" t="s">
        <v>2995</v>
      </c>
      <c r="G487" s="73" t="str">
        <f t="shared" si="14"/>
        <v>Warren ZAIRE-EMERY - France</v>
      </c>
      <c r="H487" s="73" t="str">
        <f t="shared" si="15"/>
        <v>FRA18</v>
      </c>
      <c r="I487" s="73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73" t="s">
        <v>2995</v>
      </c>
      <c r="G488" s="73" t="str">
        <f t="shared" si="14"/>
        <v>Theo HERNANDEZ - France</v>
      </c>
      <c r="H488" s="73" t="str">
        <f t="shared" si="15"/>
        <v>FRA19</v>
      </c>
      <c r="I488" s="73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73" t="s">
        <v>2995</v>
      </c>
      <c r="G489" s="73" t="str">
        <f t="shared" si="14"/>
        <v>Desire DOUE - France</v>
      </c>
      <c r="H489" s="73" t="str">
        <f t="shared" si="15"/>
        <v>FRA20</v>
      </c>
      <c r="I489" s="73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73" t="s">
        <v>2995</v>
      </c>
      <c r="G490" s="73" t="str">
        <f t="shared" si="14"/>
        <v>Lucas HERNANDEZ - France</v>
      </c>
      <c r="H490" s="73" t="str">
        <f t="shared" si="15"/>
        <v>FRA21</v>
      </c>
      <c r="I490" s="73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73" t="s">
        <v>2995</v>
      </c>
      <c r="G491" s="73" t="str">
        <f t="shared" si="14"/>
        <v>Jean-Philippe MATETA - France</v>
      </c>
      <c r="H491" s="73" t="str">
        <f t="shared" si="15"/>
        <v>FRA22</v>
      </c>
      <c r="I491" s="73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73" t="s">
        <v>2995</v>
      </c>
      <c r="G492" s="73" t="str">
        <f t="shared" si="14"/>
        <v>Robin RISSER - France</v>
      </c>
      <c r="H492" s="73" t="str">
        <f t="shared" si="15"/>
        <v>FRA23</v>
      </c>
      <c r="I492" s="73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73" t="s">
        <v>2995</v>
      </c>
      <c r="G493" s="73" t="str">
        <f t="shared" si="14"/>
        <v>Rayan CHERKI - France</v>
      </c>
      <c r="H493" s="73" t="str">
        <f t="shared" si="15"/>
        <v>FRA24</v>
      </c>
      <c r="I493" s="7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73" t="s">
        <v>2995</v>
      </c>
      <c r="G494" s="73" t="str">
        <f t="shared" si="14"/>
        <v>Maghnes AKLIOUCHE - France</v>
      </c>
      <c r="H494" s="73" t="str">
        <f t="shared" si="15"/>
        <v>FRA25</v>
      </c>
      <c r="I494" s="73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73" t="s">
        <v>2995</v>
      </c>
      <c r="G495" s="73" t="str">
        <f t="shared" si="14"/>
        <v>Maxence LACROIX - France</v>
      </c>
      <c r="H495" s="73" t="str">
        <f t="shared" si="15"/>
        <v>FRA26</v>
      </c>
      <c r="I495" s="73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75" t="s">
        <v>3022</v>
      </c>
      <c r="G496" s="75" t="str">
        <f t="shared" si="14"/>
        <v>Manuel NEUER - Germany</v>
      </c>
      <c r="H496" s="75" t="str">
        <f t="shared" si="15"/>
        <v>DEU1</v>
      </c>
      <c r="I496" s="75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75" t="s">
        <v>3022</v>
      </c>
      <c r="G497" s="75" t="str">
        <f t="shared" si="14"/>
        <v>Antonio RUEDIGER - Germany</v>
      </c>
      <c r="H497" s="75" t="str">
        <f t="shared" si="15"/>
        <v>DEU2</v>
      </c>
      <c r="I497" s="75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75" t="s">
        <v>3022</v>
      </c>
      <c r="G498" s="75" t="str">
        <f t="shared" si="14"/>
        <v>Waldemar ANTON - Germany</v>
      </c>
      <c r="H498" s="75" t="str">
        <f t="shared" si="15"/>
        <v>DEU3</v>
      </c>
      <c r="I498" s="75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75" t="s">
        <v>3022</v>
      </c>
      <c r="G499" s="75" t="str">
        <f t="shared" si="14"/>
        <v>Jonathan TAH - Germany</v>
      </c>
      <c r="H499" s="75" t="str">
        <f t="shared" si="15"/>
        <v>DEU4</v>
      </c>
      <c r="I499" s="75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75" t="s">
        <v>3022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75" t="s">
        <v>3022</v>
      </c>
      <c r="G501" s="75" t="str">
        <f t="shared" si="14"/>
        <v>Joshua KIMMICH - Germany</v>
      </c>
      <c r="H501" s="75" t="str">
        <f t="shared" si="15"/>
        <v>DEU6</v>
      </c>
      <c r="I501" s="75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75" t="s">
        <v>3022</v>
      </c>
      <c r="G502" s="75" t="str">
        <f t="shared" si="14"/>
        <v>Kai HAVERTZ - Germany</v>
      </c>
      <c r="H502" s="75" t="str">
        <f t="shared" si="15"/>
        <v>DEU7</v>
      </c>
      <c r="I502" s="75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75" t="s">
        <v>3022</v>
      </c>
      <c r="G503" s="75" t="str">
        <f t="shared" si="14"/>
        <v>Leon GORETZKA - Germany</v>
      </c>
      <c r="H503" s="75" t="str">
        <f t="shared" si="15"/>
        <v>DEU8</v>
      </c>
      <c r="I503" s="75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75" t="s">
        <v>3022</v>
      </c>
      <c r="G504" s="75" t="str">
        <f t="shared" si="14"/>
        <v>Jamie LEWELING - Germany</v>
      </c>
      <c r="H504" s="75" t="str">
        <f t="shared" si="15"/>
        <v>DEU9</v>
      </c>
      <c r="I504" s="75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75" t="s">
        <v>3022</v>
      </c>
      <c r="G505" s="75" t="str">
        <f t="shared" si="14"/>
        <v>Jamal MUSIALA - Germany</v>
      </c>
      <c r="H505" s="75" t="str">
        <f t="shared" si="15"/>
        <v>DEU10</v>
      </c>
      <c r="I505" s="7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75" t="s">
        <v>3022</v>
      </c>
      <c r="G506" s="75" t="str">
        <f t="shared" si="14"/>
        <v>Nick WOLTEMADE - Germany</v>
      </c>
      <c r="H506" s="75" t="str">
        <f t="shared" si="15"/>
        <v>DEU11</v>
      </c>
      <c r="I506" s="75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75" t="s">
        <v>3022</v>
      </c>
      <c r="G507" s="75" t="str">
        <f t="shared" si="14"/>
        <v>Oliver BAUMANN - Germany</v>
      </c>
      <c r="H507" s="75" t="str">
        <f t="shared" si="15"/>
        <v>DEU12</v>
      </c>
      <c r="I507" s="75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75" t="s">
        <v>3022</v>
      </c>
      <c r="G508" s="75" t="str">
        <f t="shared" si="14"/>
        <v>Pascal GROSS - Germany</v>
      </c>
      <c r="H508" s="75" t="str">
        <f t="shared" si="15"/>
        <v>DEU13</v>
      </c>
      <c r="I508" s="75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75" t="s">
        <v>3022</v>
      </c>
      <c r="G509" s="75" t="str">
        <f t="shared" si="14"/>
        <v>Maximilian BEIER - Germany</v>
      </c>
      <c r="H509" s="75" t="str">
        <f t="shared" si="15"/>
        <v>DEU14</v>
      </c>
      <c r="I509" s="75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75" t="s">
        <v>3022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75" t="s">
        <v>3022</v>
      </c>
      <c r="G511" s="75" t="str">
        <f t="shared" si="14"/>
        <v>Angelo STILLER - Germany</v>
      </c>
      <c r="H511" s="75" t="str">
        <f t="shared" si="15"/>
        <v>DEU16</v>
      </c>
      <c r="I511" s="75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75" t="s">
        <v>3022</v>
      </c>
      <c r="G512" s="75" t="str">
        <f t="shared" si="14"/>
        <v>Florian WIRTZ - Germany</v>
      </c>
      <c r="H512" s="75" t="str">
        <f t="shared" si="15"/>
        <v>DEU17</v>
      </c>
      <c r="I512" s="75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75" t="s">
        <v>3022</v>
      </c>
      <c r="G513" s="75" t="str">
        <f t="shared" si="14"/>
        <v>Nathaniel BROWN - Germany</v>
      </c>
      <c r="H513" s="75" t="str">
        <f t="shared" si="15"/>
        <v>DEU18</v>
      </c>
      <c r="I513" s="75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75" t="s">
        <v>3022</v>
      </c>
      <c r="G514" s="75" t="str">
        <f t="shared" si="14"/>
        <v>Leroy SANE - Germany</v>
      </c>
      <c r="H514" s="75" t="str">
        <f t="shared" si="15"/>
        <v>DEU19</v>
      </c>
      <c r="I514" s="75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75" t="s">
        <v>3022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75" t="s">
        <v>3022</v>
      </c>
      <c r="G516" s="75" t="str">
        <f t="shared" si="16"/>
        <v>Alexander NUEBEL - Germany</v>
      </c>
      <c r="H516" s="75" t="str">
        <f t="shared" si="17"/>
        <v>DEU21</v>
      </c>
      <c r="I516" s="75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75" t="s">
        <v>3022</v>
      </c>
      <c r="G517" s="75" t="str">
        <f t="shared" si="16"/>
        <v>David RAUM - Germany</v>
      </c>
      <c r="H517" s="75" t="str">
        <f t="shared" si="17"/>
        <v>DEU22</v>
      </c>
      <c r="I517" s="75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75" t="s">
        <v>3022</v>
      </c>
      <c r="G518" s="75" t="str">
        <f t="shared" si="16"/>
        <v>Felix NMECHA - Germany</v>
      </c>
      <c r="H518" s="75" t="str">
        <f t="shared" si="17"/>
        <v>DEU23</v>
      </c>
      <c r="I518" s="75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75" t="s">
        <v>3022</v>
      </c>
      <c r="G519" s="75" t="str">
        <f t="shared" si="16"/>
        <v>Malick THIAW - Germany</v>
      </c>
      <c r="H519" s="75" t="str">
        <f t="shared" si="17"/>
        <v>DEU24</v>
      </c>
      <c r="I519" s="75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75" t="s">
        <v>3022</v>
      </c>
      <c r="G520" s="75" t="str">
        <f t="shared" si="16"/>
        <v>Assan OUEDRAOGO - Germany</v>
      </c>
      <c r="H520" s="75" t="str">
        <f t="shared" si="17"/>
        <v>DEU25</v>
      </c>
      <c r="I520" s="75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75" t="s">
        <v>3022</v>
      </c>
      <c r="G521" s="75" t="str">
        <f t="shared" si="16"/>
        <v>Deniz UNDAV - Germany</v>
      </c>
      <c r="H521" s="75" t="str">
        <f t="shared" si="17"/>
        <v>DEU26</v>
      </c>
      <c r="I521" s="75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77" t="s">
        <v>3049</v>
      </c>
      <c r="G522" s="77" t="str">
        <f t="shared" si="16"/>
        <v>Lawrence Ati ZIGI - Ghana</v>
      </c>
      <c r="H522" s="77" t="str">
        <f t="shared" si="17"/>
        <v>GHA1</v>
      </c>
      <c r="I522" s="77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77" t="s">
        <v>3049</v>
      </c>
      <c r="G523" s="77" t="str">
        <f t="shared" si="16"/>
        <v>Alidu SEIDU - Ghana</v>
      </c>
      <c r="H523" s="77" t="str">
        <f t="shared" si="17"/>
        <v>GHA2</v>
      </c>
      <c r="I523" s="77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77" t="s">
        <v>3049</v>
      </c>
      <c r="G524" s="77" t="str">
        <f t="shared" si="16"/>
        <v>Caleb YIRENKYI - Ghana</v>
      </c>
      <c r="H524" s="77" t="str">
        <f t="shared" si="17"/>
        <v>GHA3</v>
      </c>
      <c r="I524" s="77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77" t="s">
        <v>3049</v>
      </c>
      <c r="G525" s="77" t="str">
        <f t="shared" si="16"/>
        <v>Jonas ADJETEY - Ghana</v>
      </c>
      <c r="H525" s="77" t="str">
        <f t="shared" si="17"/>
        <v>GHA4</v>
      </c>
      <c r="I525" s="77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77" t="s">
        <v>3049</v>
      </c>
      <c r="G526" s="77" t="str">
        <f t="shared" si="16"/>
        <v>Thomas PARTEY - Ghana</v>
      </c>
      <c r="H526" s="77" t="str">
        <f t="shared" si="17"/>
        <v>GHA5</v>
      </c>
      <c r="I526" s="77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77" t="s">
        <v>3049</v>
      </c>
      <c r="G527" s="77" t="str">
        <f t="shared" si="16"/>
        <v>Abdul MUMIN - Ghana</v>
      </c>
      <c r="H527" s="77" t="str">
        <f t="shared" si="17"/>
        <v>GHA6</v>
      </c>
      <c r="I527" s="7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77" t="s">
        <v>3049</v>
      </c>
      <c r="G528" s="77" t="str">
        <f t="shared" si="16"/>
        <v>Fatawu ISSAHAKU - Ghana</v>
      </c>
      <c r="H528" s="77" t="str">
        <f t="shared" si="17"/>
        <v>GHA7</v>
      </c>
      <c r="I528" s="77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77" t="s">
        <v>3049</v>
      </c>
      <c r="G529" s="77" t="str">
        <f t="shared" si="16"/>
        <v>Kwasi SIBO - Ghana</v>
      </c>
      <c r="H529" s="77" t="str">
        <f t="shared" si="17"/>
        <v>GHA8</v>
      </c>
      <c r="I529" s="77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77" t="s">
        <v>3049</v>
      </c>
      <c r="G530" s="77" t="str">
        <f t="shared" si="16"/>
        <v>Jordan AYEW - Ghana</v>
      </c>
      <c r="H530" s="77" t="str">
        <f t="shared" si="17"/>
        <v>GHA9</v>
      </c>
      <c r="I530" s="77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77" t="s">
        <v>3049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77" t="s">
        <v>3049</v>
      </c>
      <c r="G532" s="77" t="str">
        <f t="shared" si="16"/>
        <v>Antoine SEMENYO - Ghana</v>
      </c>
      <c r="H532" s="77" t="str">
        <f t="shared" si="17"/>
        <v>GHA11</v>
      </c>
      <c r="I532" s="77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77" t="s">
        <v>3049</v>
      </c>
      <c r="G533" s="77" t="str">
        <f t="shared" si="16"/>
        <v>Joseph ANANG - Ghana</v>
      </c>
      <c r="H533" s="77" t="str">
        <f t="shared" si="17"/>
        <v>GHA12</v>
      </c>
      <c r="I533" s="77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77" t="s">
        <v>3049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77" t="s">
        <v>3049</v>
      </c>
      <c r="G535" s="77" t="str">
        <f t="shared" si="16"/>
        <v>Gideon MENSAH - Ghana</v>
      </c>
      <c r="H535" s="77" t="str">
        <f t="shared" si="17"/>
        <v>GHA14</v>
      </c>
      <c r="I535" s="77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77" t="s">
        <v>3049</v>
      </c>
      <c r="G536" s="77" t="str">
        <f t="shared" si="16"/>
        <v>Elisha OWUSU - Ghana</v>
      </c>
      <c r="H536" s="77" t="str">
        <f t="shared" si="17"/>
        <v>GHA15</v>
      </c>
      <c r="I536" s="77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77" t="s">
        <v>3049</v>
      </c>
      <c r="G537" s="77" t="str">
        <f t="shared" si="16"/>
        <v>Benjamin ASARE - Ghana</v>
      </c>
      <c r="H537" s="77" t="str">
        <f t="shared" si="17"/>
        <v>GHA16</v>
      </c>
      <c r="I537" s="7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77" t="s">
        <v>3049</v>
      </c>
      <c r="G538" s="77" t="str">
        <f t="shared" si="16"/>
        <v>Baba RAHMAN - Ghana</v>
      </c>
      <c r="H538" s="77" t="str">
        <f t="shared" si="17"/>
        <v>GHA17</v>
      </c>
      <c r="I538" s="77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77" t="s">
        <v>3049</v>
      </c>
      <c r="G539" s="77" t="str">
        <f t="shared" si="16"/>
        <v>Jerome OPOKU - Ghana</v>
      </c>
      <c r="H539" s="77" t="str">
        <f t="shared" si="17"/>
        <v>GHA18</v>
      </c>
      <c r="I539" s="77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77" t="s">
        <v>3049</v>
      </c>
      <c r="G540" s="77" t="str">
        <f t="shared" si="16"/>
        <v>Inaki WILLIAMS - Ghana</v>
      </c>
      <c r="H540" s="77" t="str">
        <f t="shared" si="17"/>
        <v>GHA19</v>
      </c>
      <c r="I540" s="77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77" t="s">
        <v>3049</v>
      </c>
      <c r="G541" s="77" t="str">
        <f t="shared" si="16"/>
        <v>Augustine BOAKYE - Ghana</v>
      </c>
      <c r="H541" s="77" t="str">
        <f t="shared" si="17"/>
        <v>GHA20</v>
      </c>
      <c r="I541" s="77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77" t="s">
        <v>3049</v>
      </c>
      <c r="G542" s="77" t="str">
        <f t="shared" si="16"/>
        <v>Kojo Peprah OPPONG - Ghana</v>
      </c>
      <c r="H542" s="77" t="str">
        <f t="shared" si="17"/>
        <v>GHA21</v>
      </c>
      <c r="I542" s="77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77" t="s">
        <v>3049</v>
      </c>
      <c r="G543" s="77" t="str">
        <f t="shared" si="16"/>
        <v>Kamaldeen SULEMANA - Ghana</v>
      </c>
      <c r="H543" s="77" t="str">
        <f t="shared" si="17"/>
        <v>GHA22</v>
      </c>
      <c r="I543" s="77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77" t="s">
        <v>3049</v>
      </c>
      <c r="G544" s="77" t="str">
        <f t="shared" si="16"/>
        <v>Derrick LUCKASSEN - Ghana</v>
      </c>
      <c r="H544" s="77" t="str">
        <f t="shared" si="17"/>
        <v>GHA23</v>
      </c>
      <c r="I544" s="77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77" t="s">
        <v>3049</v>
      </c>
      <c r="G545" s="77" t="str">
        <f t="shared" si="16"/>
        <v>Ernest NUAMAH - Ghana</v>
      </c>
      <c r="H545" s="77" t="str">
        <f t="shared" si="17"/>
        <v>GHA24</v>
      </c>
      <c r="I545" s="77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77" t="s">
        <v>3049</v>
      </c>
      <c r="G546" s="77" t="str">
        <f t="shared" si="16"/>
        <v>Prince ADU - Ghana</v>
      </c>
      <c r="H546" s="77" t="str">
        <f t="shared" si="17"/>
        <v>GHA25</v>
      </c>
      <c r="I546" s="77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77" t="s">
        <v>3049</v>
      </c>
      <c r="G547" s="77" t="str">
        <f t="shared" si="16"/>
        <v>Marvin SENAYA - Ghana</v>
      </c>
      <c r="H547" s="77" t="str">
        <f t="shared" si="17"/>
        <v>GHA26</v>
      </c>
      <c r="I547" s="7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79" t="s">
        <v>3076</v>
      </c>
      <c r="G548" s="79" t="str">
        <f t="shared" si="16"/>
        <v>Johny PLACIDE - Haiti</v>
      </c>
      <c r="H548" s="79" t="str">
        <f t="shared" si="17"/>
        <v>HTI1</v>
      </c>
      <c r="I548" s="79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79" t="s">
        <v>3076</v>
      </c>
      <c r="G549" s="79" t="str">
        <f t="shared" si="16"/>
        <v>Carlens ARCUS - Haiti</v>
      </c>
      <c r="H549" s="79" t="str">
        <f t="shared" si="17"/>
        <v>HTI2</v>
      </c>
      <c r="I549" s="7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79" t="s">
        <v>3076</v>
      </c>
      <c r="G550" s="79" t="str">
        <f t="shared" si="16"/>
        <v>Keeto THERMONCY - Haiti</v>
      </c>
      <c r="H550" s="79" t="str">
        <f t="shared" si="17"/>
        <v>HTI3</v>
      </c>
      <c r="I550" s="79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79" t="s">
        <v>3076</v>
      </c>
      <c r="G551" s="79" t="str">
        <f t="shared" si="16"/>
        <v>Ricardo ADE - Haiti</v>
      </c>
      <c r="H551" s="79" t="str">
        <f t="shared" si="17"/>
        <v>HTI4</v>
      </c>
      <c r="I551" s="79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79" t="s">
        <v>3076</v>
      </c>
      <c r="G552" s="79" t="str">
        <f t="shared" si="16"/>
        <v>Hannes DELCROIX - Haiti</v>
      </c>
      <c r="H552" s="79" t="str">
        <f t="shared" si="17"/>
        <v>HTI5</v>
      </c>
      <c r="I552" s="79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79" t="s">
        <v>3076</v>
      </c>
      <c r="G553" s="79" t="str">
        <f t="shared" si="16"/>
        <v>Carl SAINTE - Haiti</v>
      </c>
      <c r="H553" s="79" t="str">
        <f t="shared" si="17"/>
        <v>HTI6</v>
      </c>
      <c r="I553" s="79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79" t="s">
        <v>3076</v>
      </c>
      <c r="G554" s="79" t="str">
        <f t="shared" si="16"/>
        <v>Derrick ETIENNE - Haiti</v>
      </c>
      <c r="H554" s="79" t="str">
        <f t="shared" si="17"/>
        <v>HTI7</v>
      </c>
      <c r="I554" s="79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79" t="s">
        <v>3076</v>
      </c>
      <c r="G555" s="79" t="str">
        <f t="shared" si="16"/>
        <v>Martin EXPERIENCE - Haiti</v>
      </c>
      <c r="H555" s="79" t="str">
        <f t="shared" si="17"/>
        <v>HTI8</v>
      </c>
      <c r="I555" s="79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79" t="s">
        <v>3076</v>
      </c>
      <c r="G556" s="79" t="str">
        <f t="shared" si="16"/>
        <v>Duckens NAZON - Haiti</v>
      </c>
      <c r="H556" s="79" t="str">
        <f t="shared" si="17"/>
        <v>HTI9</v>
      </c>
      <c r="I556" s="79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79" t="s">
        <v>3076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79" t="s">
        <v>3076</v>
      </c>
      <c r="G558" s="79" t="str">
        <f t="shared" si="16"/>
        <v>Louicius DEEDSON - Haiti</v>
      </c>
      <c r="H558" s="79" t="str">
        <f t="shared" si="17"/>
        <v>HTI11</v>
      </c>
      <c r="I558" s="79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79" t="s">
        <v>3076</v>
      </c>
      <c r="G559" s="79" t="str">
        <f t="shared" si="16"/>
        <v>Alexandre PIERRE - Haiti</v>
      </c>
      <c r="H559" s="79" t="str">
        <f t="shared" si="17"/>
        <v>HTI12</v>
      </c>
      <c r="I559" s="7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79" t="s">
        <v>3076</v>
      </c>
      <c r="G560" s="79" t="str">
        <f t="shared" si="16"/>
        <v>Markhus LACROIX - Haiti</v>
      </c>
      <c r="H560" s="79" t="str">
        <f t="shared" si="17"/>
        <v>HTI13</v>
      </c>
      <c r="I560" s="79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79" t="s">
        <v>3076</v>
      </c>
      <c r="G561" s="79" t="str">
        <f t="shared" si="16"/>
        <v>Garven METUSALA - Haiti</v>
      </c>
      <c r="H561" s="79" t="str">
        <f t="shared" si="17"/>
        <v>HTI14</v>
      </c>
      <c r="I561" s="79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79" t="s">
        <v>3076</v>
      </c>
      <c r="G562" s="79" t="str">
        <f t="shared" si="16"/>
        <v>Ruben PROVIDENCE - Haiti</v>
      </c>
      <c r="H562" s="79" t="str">
        <f t="shared" si="17"/>
        <v>HTI15</v>
      </c>
      <c r="I562" s="79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79" t="s">
        <v>3076</v>
      </c>
      <c r="G563" s="79" t="str">
        <f t="shared" si="16"/>
        <v>Lenny JOSEPH - Haiti</v>
      </c>
      <c r="H563" s="79" t="str">
        <f t="shared" si="17"/>
        <v>HTI16</v>
      </c>
      <c r="I563" s="79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79" t="s">
        <v>3076</v>
      </c>
      <c r="G564" s="79" t="str">
        <f t="shared" si="16"/>
        <v>Danley JEAN JACQUES - Haiti</v>
      </c>
      <c r="H564" s="79" t="str">
        <f t="shared" si="17"/>
        <v>HTI17</v>
      </c>
      <c r="I564" s="79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79" t="s">
        <v>3076</v>
      </c>
      <c r="G565" s="79" t="str">
        <f t="shared" si="16"/>
        <v>Wilson ISIDOR - Haiti</v>
      </c>
      <c r="H565" s="79" t="str">
        <f t="shared" si="17"/>
        <v>HTI18</v>
      </c>
      <c r="I565" s="79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79" t="s">
        <v>3076</v>
      </c>
      <c r="G566" s="79" t="str">
        <f t="shared" si="16"/>
        <v>Yassin FORTUNE - Haiti</v>
      </c>
      <c r="H566" s="79" t="str">
        <f t="shared" si="17"/>
        <v>HTI19</v>
      </c>
      <c r="I566" s="79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79" t="s">
        <v>3076</v>
      </c>
      <c r="G567" s="79" t="str">
        <f t="shared" si="16"/>
        <v>Frantzdy PIERROT - Haiti</v>
      </c>
      <c r="H567" s="79" t="str">
        <f t="shared" si="17"/>
        <v>HTI20</v>
      </c>
      <c r="I567" s="79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79" t="s">
        <v>3076</v>
      </c>
      <c r="G568" s="79" t="str">
        <f t="shared" si="16"/>
        <v>Josue CASIMIR - Haiti</v>
      </c>
      <c r="H568" s="79" t="str">
        <f t="shared" si="17"/>
        <v>HTI21</v>
      </c>
      <c r="I568" s="79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79" t="s">
        <v>3076</v>
      </c>
      <c r="G569" s="79" t="str">
        <f t="shared" si="16"/>
        <v>Jean-Kevin DUVERNE - Haiti</v>
      </c>
      <c r="H569" s="79" t="str">
        <f t="shared" si="17"/>
        <v>HTI22</v>
      </c>
      <c r="I569" s="7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79" t="s">
        <v>3076</v>
      </c>
      <c r="G570" s="79" t="str">
        <f t="shared" si="16"/>
        <v>Josue DUVERGER - Haiti</v>
      </c>
      <c r="H570" s="79" t="str">
        <f t="shared" si="17"/>
        <v>HTI23</v>
      </c>
      <c r="I570" s="79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79" t="s">
        <v>3076</v>
      </c>
      <c r="G571" s="79" t="str">
        <f t="shared" si="16"/>
        <v>Wilguens PAUGAIN - Haiti</v>
      </c>
      <c r="H571" s="79" t="str">
        <f t="shared" si="17"/>
        <v>HTI24</v>
      </c>
      <c r="I571" s="79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79" t="s">
        <v>3076</v>
      </c>
      <c r="G572" s="79" t="str">
        <f t="shared" si="16"/>
        <v>Dominique SIMON - Haiti</v>
      </c>
      <c r="H572" s="79" t="str">
        <f t="shared" si="17"/>
        <v>HTI25</v>
      </c>
      <c r="I572" s="79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79" t="s">
        <v>3076</v>
      </c>
      <c r="G573" s="79" t="str">
        <f t="shared" si="16"/>
        <v>Woodensky PIERRE - Haiti</v>
      </c>
      <c r="H573" s="79" t="str">
        <f t="shared" si="17"/>
        <v>HTI26</v>
      </c>
      <c r="I573" s="79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81" t="s">
        <v>3102</v>
      </c>
      <c r="G574" s="81" t="str">
        <f t="shared" si="16"/>
        <v>Alireza BEIRANVAND - Iran</v>
      </c>
      <c r="H574" s="81" t="str">
        <f t="shared" si="17"/>
        <v>IRN1</v>
      </c>
      <c r="I574" s="81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81" t="s">
        <v>3102</v>
      </c>
      <c r="G575" s="81" t="str">
        <f t="shared" si="16"/>
        <v>Saleh HARDANI - Iran</v>
      </c>
      <c r="H575" s="81" t="str">
        <f t="shared" si="17"/>
        <v>IRN2</v>
      </c>
      <c r="I575" s="81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81" t="s">
        <v>3102</v>
      </c>
      <c r="G576" s="81" t="str">
        <f t="shared" si="16"/>
        <v>Ehsan HAJISAFI - Iran</v>
      </c>
      <c r="H576" s="81" t="str">
        <f t="shared" si="17"/>
        <v>IRN3</v>
      </c>
      <c r="I576" s="81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81" t="s">
        <v>3102</v>
      </c>
      <c r="G577" s="81" t="str">
        <f t="shared" si="16"/>
        <v>Shoja KHALILZADEH - Iran</v>
      </c>
      <c r="H577" s="81" t="str">
        <f t="shared" si="17"/>
        <v>IRN4</v>
      </c>
      <c r="I577" s="81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81" t="s">
        <v>3102</v>
      </c>
      <c r="G578" s="81" t="str">
        <f t="shared" si="16"/>
        <v>Milad MOHAMMADI - Iran</v>
      </c>
      <c r="H578" s="81" t="str">
        <f t="shared" si="17"/>
        <v>IRN5</v>
      </c>
      <c r="I578" s="81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81" t="s">
        <v>3102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81" t="s">
        <v>3102</v>
      </c>
      <c r="G580" s="81" t="str">
        <f t="shared" si="18"/>
        <v>Alireza JAHANBAKHSH - Iran</v>
      </c>
      <c r="H580" s="81" t="str">
        <f t="shared" si="19"/>
        <v>IRN7</v>
      </c>
      <c r="I580" s="81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81" t="s">
        <v>3102</v>
      </c>
      <c r="G581" s="81" t="str">
        <f t="shared" si="18"/>
        <v>Mohammad MOHEBBI - Iran</v>
      </c>
      <c r="H581" s="81" t="str">
        <f t="shared" si="19"/>
        <v>IRN8</v>
      </c>
      <c r="I581" s="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81" t="s">
        <v>3102</v>
      </c>
      <c r="G582" s="81" t="str">
        <f t="shared" si="18"/>
        <v>Mehdi TAREMI - Iran</v>
      </c>
      <c r="H582" s="81" t="str">
        <f t="shared" si="19"/>
        <v>IRN9</v>
      </c>
      <c r="I582" s="81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81" t="s">
        <v>3102</v>
      </c>
      <c r="G583" s="81" t="str">
        <f t="shared" si="18"/>
        <v>Mehdi GHAYEDI - Iran</v>
      </c>
      <c r="H583" s="81" t="str">
        <f t="shared" si="19"/>
        <v>IRN10</v>
      </c>
      <c r="I583" s="81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81" t="s">
        <v>3102</v>
      </c>
      <c r="G584" s="81" t="str">
        <f t="shared" si="18"/>
        <v>Ali ALIPOUR - Iran</v>
      </c>
      <c r="H584" s="81" t="str">
        <f t="shared" si="19"/>
        <v>IRN11</v>
      </c>
      <c r="I584" s="81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81" t="s">
        <v>3102</v>
      </c>
      <c r="G585" s="81" t="str">
        <f t="shared" si="18"/>
        <v>Payam NIAZMAND - Iran</v>
      </c>
      <c r="H585" s="81" t="str">
        <f t="shared" si="19"/>
        <v>IRN12</v>
      </c>
      <c r="I585" s="81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81" t="s">
        <v>3102</v>
      </c>
      <c r="G586" s="81" t="str">
        <f t="shared" si="18"/>
        <v>Hossein KANANI - Iran</v>
      </c>
      <c r="H586" s="81" t="str">
        <f t="shared" si="19"/>
        <v>IRN13</v>
      </c>
      <c r="I586" s="81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81" t="s">
        <v>3102</v>
      </c>
      <c r="G587" s="81" t="str">
        <f t="shared" si="18"/>
        <v>Saman GHODDOS - Iran</v>
      </c>
      <c r="H587" s="81" t="str">
        <f t="shared" si="19"/>
        <v>IRN14</v>
      </c>
      <c r="I587" s="81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81" t="s">
        <v>3102</v>
      </c>
      <c r="G588" s="81" t="str">
        <f t="shared" si="18"/>
        <v>Roozbeh CHESHMI - Iran</v>
      </c>
      <c r="H588" s="81" t="str">
        <f t="shared" si="19"/>
        <v>IRN15</v>
      </c>
      <c r="I588" s="81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81" t="s">
        <v>3102</v>
      </c>
      <c r="G589" s="81" t="str">
        <f t="shared" si="18"/>
        <v>Mehdi TORABI - Iran</v>
      </c>
      <c r="H589" s="81" t="str">
        <f t="shared" si="19"/>
        <v>IRN16</v>
      </c>
      <c r="I589" s="81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81" t="s">
        <v>3102</v>
      </c>
      <c r="G590" s="81" t="str">
        <f t="shared" si="18"/>
        <v>Arya YOUSEFI - Iran</v>
      </c>
      <c r="H590" s="81" t="str">
        <f t="shared" si="19"/>
        <v>IRN17</v>
      </c>
      <c r="I590" s="81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81" t="s">
        <v>3102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81" t="s">
        <v>3102</v>
      </c>
      <c r="G592" s="81" t="str">
        <f t="shared" si="18"/>
        <v>Ali NEMATI - Iran</v>
      </c>
      <c r="H592" s="81" t="str">
        <f t="shared" si="19"/>
        <v>IRN19</v>
      </c>
      <c r="I592" s="81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81" t="s">
        <v>3102</v>
      </c>
      <c r="G593" s="81" t="str">
        <f t="shared" si="18"/>
        <v>Shahriyar MOGHANLOO - Iran</v>
      </c>
      <c r="H593" s="81" t="str">
        <f t="shared" si="19"/>
        <v>IRN20</v>
      </c>
      <c r="I593" s="81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81" t="s">
        <v>3102</v>
      </c>
      <c r="G594" s="81" t="str">
        <f t="shared" si="18"/>
        <v>Mohammad GHORBANI - Iran</v>
      </c>
      <c r="H594" s="81" t="str">
        <f t="shared" si="19"/>
        <v>IRN21</v>
      </c>
      <c r="I594" s="81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81" t="s">
        <v>3102</v>
      </c>
      <c r="G595" s="81" t="str">
        <f t="shared" si="18"/>
        <v>Hossein HOSSEINI - Iran</v>
      </c>
      <c r="H595" s="81" t="str">
        <f t="shared" si="19"/>
        <v>IRN22</v>
      </c>
      <c r="I595" s="81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81" t="s">
        <v>3102</v>
      </c>
      <c r="G596" s="81" t="str">
        <f t="shared" si="18"/>
        <v>Ramin REZAEIAN - Iran</v>
      </c>
      <c r="H596" s="81" t="str">
        <f t="shared" si="19"/>
        <v>IRN23</v>
      </c>
      <c r="I596" s="81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81" t="s">
        <v>3102</v>
      </c>
      <c r="G597" s="81" t="str">
        <f t="shared" si="18"/>
        <v>Dennis DARGAHI - Iran</v>
      </c>
      <c r="H597" s="81" t="str">
        <f t="shared" si="19"/>
        <v>IRN24</v>
      </c>
      <c r="I597" s="81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81" t="s">
        <v>3102</v>
      </c>
      <c r="G598" s="81" t="str">
        <f t="shared" si="18"/>
        <v>Danial IRI - Iran</v>
      </c>
      <c r="H598" s="81" t="str">
        <f t="shared" si="19"/>
        <v>IRN25</v>
      </c>
      <c r="I598" s="81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81" t="s">
        <v>3102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83" t="s">
        <v>3129</v>
      </c>
      <c r="G600" s="83" t="str">
        <f t="shared" si="18"/>
        <v>Fahad TALIB - Iraq</v>
      </c>
      <c r="H600" s="83" t="str">
        <f t="shared" si="19"/>
        <v>IRQ1</v>
      </c>
      <c r="I600" s="83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83" t="s">
        <v>3129</v>
      </c>
      <c r="G601" s="83" t="str">
        <f t="shared" si="18"/>
        <v>Rebin GHAREEB - Iraq</v>
      </c>
      <c r="H601" s="83" t="str">
        <f t="shared" si="19"/>
        <v>IRQ2</v>
      </c>
      <c r="I601" s="83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83" t="s">
        <v>3129</v>
      </c>
      <c r="G602" s="83" t="str">
        <f t="shared" si="18"/>
        <v>Hussein ALI - Iraq</v>
      </c>
      <c r="H602" s="83" t="str">
        <f t="shared" si="19"/>
        <v>IRQ3</v>
      </c>
      <c r="I602" s="83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83" t="s">
        <v>3129</v>
      </c>
      <c r="G603" s="83" t="str">
        <f t="shared" si="18"/>
        <v>Zaid TAHSEEN - Iraq</v>
      </c>
      <c r="H603" s="83" t="str">
        <f t="shared" si="19"/>
        <v>IRQ4</v>
      </c>
      <c r="I603" s="8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83" t="s">
        <v>3129</v>
      </c>
      <c r="G604" s="83" t="str">
        <f t="shared" si="18"/>
        <v>Akam HASHIM - Iraq</v>
      </c>
      <c r="H604" s="83" t="str">
        <f t="shared" si="19"/>
        <v>IRQ5</v>
      </c>
      <c r="I604" s="83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83" t="s">
        <v>3129</v>
      </c>
      <c r="G605" s="83" t="str">
        <f t="shared" si="18"/>
        <v>Munaf YOUNUS - Iraq</v>
      </c>
      <c r="H605" s="83" t="str">
        <f t="shared" si="19"/>
        <v>IRQ6</v>
      </c>
      <c r="I605" s="83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83" t="s">
        <v>3129</v>
      </c>
      <c r="G606" s="83" t="str">
        <f t="shared" si="18"/>
        <v>Youssef AMYN - Iraq</v>
      </c>
      <c r="H606" s="83" t="str">
        <f t="shared" si="19"/>
        <v>IRQ7</v>
      </c>
      <c r="I606" s="83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83" t="s">
        <v>3129</v>
      </c>
      <c r="G607" s="83" t="str">
        <f t="shared" si="18"/>
        <v>Ibrahim BAYESH - Iraq</v>
      </c>
      <c r="H607" s="83" t="str">
        <f t="shared" si="19"/>
        <v>IRQ8</v>
      </c>
      <c r="I607" s="83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83" t="s">
        <v>3129</v>
      </c>
      <c r="G608" s="83" t="str">
        <f t="shared" si="18"/>
        <v>Ali ALHAMADI - Iraq</v>
      </c>
      <c r="H608" s="83" t="str">
        <f t="shared" si="19"/>
        <v>IRQ9</v>
      </c>
      <c r="I608" s="83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83" t="s">
        <v>3129</v>
      </c>
      <c r="G609" s="83" t="str">
        <f t="shared" si="18"/>
        <v>Mohanad ALI - Iraq</v>
      </c>
      <c r="H609" s="83" t="str">
        <f t="shared" si="19"/>
        <v>IRQ10</v>
      </c>
      <c r="I609" s="83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83" t="s">
        <v>3129</v>
      </c>
      <c r="G610" s="83" t="str">
        <f t="shared" si="18"/>
        <v>Ahmed QASIM - Iraq</v>
      </c>
      <c r="H610" s="83" t="str">
        <f t="shared" si="19"/>
        <v>IRQ11</v>
      </c>
      <c r="I610" s="83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83" t="s">
        <v>3129</v>
      </c>
      <c r="G611" s="83" t="str">
        <f t="shared" si="18"/>
        <v>Jalal HASSAN - Iraq</v>
      </c>
      <c r="H611" s="83" t="str">
        <f t="shared" si="19"/>
        <v>IRQ12</v>
      </c>
      <c r="I611" s="83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83" t="s">
        <v>3129</v>
      </c>
      <c r="G612" s="83" t="str">
        <f t="shared" si="18"/>
        <v>Ali YOUSIF - Iraq</v>
      </c>
      <c r="H612" s="83" t="str">
        <f t="shared" si="19"/>
        <v>IRQ13</v>
      </c>
      <c r="I612" s="83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83" t="s">
        <v>3129</v>
      </c>
      <c r="G613" s="83" t="str">
        <f t="shared" si="18"/>
        <v>Zidane IQBAL - Iraq</v>
      </c>
      <c r="H613" s="83" t="str">
        <f t="shared" si="19"/>
        <v>IRQ14</v>
      </c>
      <c r="I613" s="8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83" t="s">
        <v>3129</v>
      </c>
      <c r="G614" s="83" t="str">
        <f t="shared" si="18"/>
        <v>Ahmed MAKNZI - Iraq</v>
      </c>
      <c r="H614" s="83" t="str">
        <f t="shared" si="19"/>
        <v>IRQ15</v>
      </c>
      <c r="I614" s="83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83" t="s">
        <v>3129</v>
      </c>
      <c r="G615" s="83" t="str">
        <f t="shared" si="18"/>
        <v>Amir ALAMMARI - Iraq</v>
      </c>
      <c r="H615" s="83" t="str">
        <f t="shared" si="19"/>
        <v>IRQ16</v>
      </c>
      <c r="I615" s="83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83" t="s">
        <v>3129</v>
      </c>
      <c r="G616" s="83" t="str">
        <f t="shared" si="18"/>
        <v>Ali JASIM - Iraq</v>
      </c>
      <c r="H616" s="83" t="str">
        <f t="shared" si="19"/>
        <v>IRQ17</v>
      </c>
      <c r="I616" s="83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83" t="s">
        <v>3129</v>
      </c>
      <c r="G617" s="83" t="str">
        <f t="shared" si="18"/>
        <v>Aymen HUSSEIN - Iraq</v>
      </c>
      <c r="H617" s="83" t="str">
        <f t="shared" si="19"/>
        <v>IRQ18</v>
      </c>
      <c r="I617" s="83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83" t="s">
        <v>3129</v>
      </c>
      <c r="G618" s="83" t="str">
        <f t="shared" si="18"/>
        <v>Kevin YAKOB - Iraq</v>
      </c>
      <c r="H618" s="83" t="str">
        <f t="shared" si="19"/>
        <v>IRQ19</v>
      </c>
      <c r="I618" s="83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83" t="s">
        <v>3129</v>
      </c>
      <c r="G619" s="83" t="str">
        <f t="shared" si="18"/>
        <v>Aimar SHER - Iraq</v>
      </c>
      <c r="H619" s="83" t="str">
        <f t="shared" si="19"/>
        <v>IRQ20</v>
      </c>
      <c r="I619" s="83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83" t="s">
        <v>3129</v>
      </c>
      <c r="G620" s="83" t="str">
        <f t="shared" si="18"/>
        <v>Marko FARJI - Iraq</v>
      </c>
      <c r="H620" s="83" t="str">
        <f t="shared" si="19"/>
        <v>IRQ21</v>
      </c>
      <c r="I620" s="83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83" t="s">
        <v>3129</v>
      </c>
      <c r="G621" s="83" t="str">
        <f t="shared" si="18"/>
        <v>Ahmed BASIL - Iraq</v>
      </c>
      <c r="H621" s="83" t="str">
        <f t="shared" si="19"/>
        <v>IRQ22</v>
      </c>
      <c r="I621" s="83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83" t="s">
        <v>3129</v>
      </c>
      <c r="G622" s="83" t="str">
        <f t="shared" si="18"/>
        <v>Merchas DOSKI - Iraq</v>
      </c>
      <c r="H622" s="83" t="str">
        <f t="shared" si="19"/>
        <v>IRQ23</v>
      </c>
      <c r="I622" s="83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83" t="s">
        <v>3129</v>
      </c>
      <c r="G623" s="83" t="str">
        <f t="shared" si="18"/>
        <v>Zaid ISMAEL - Iraq</v>
      </c>
      <c r="H623" s="83" t="str">
        <f t="shared" si="19"/>
        <v>IRQ24</v>
      </c>
      <c r="I623" s="8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83" t="s">
        <v>3129</v>
      </c>
      <c r="G624" s="83" t="str">
        <f t="shared" si="18"/>
        <v>Mustafa SAADOON - Iraq</v>
      </c>
      <c r="H624" s="83" t="str">
        <f t="shared" si="19"/>
        <v>IRQ25</v>
      </c>
      <c r="I624" s="83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83" t="s">
        <v>3129</v>
      </c>
      <c r="G625" s="83" t="str">
        <f t="shared" si="18"/>
        <v>Frans PUTROS - Iraq</v>
      </c>
      <c r="H625" s="83" t="str">
        <f t="shared" si="19"/>
        <v>IRQ26</v>
      </c>
      <c r="I625" s="83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85" t="s">
        <v>3155</v>
      </c>
      <c r="G626" s="85" t="str">
        <f t="shared" si="18"/>
        <v>Zion SUZUKI - Japan</v>
      </c>
      <c r="H626" s="85" t="str">
        <f t="shared" si="19"/>
        <v>JPN1</v>
      </c>
      <c r="I626" s="85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85" t="s">
        <v>3155</v>
      </c>
      <c r="G627" s="85" t="str">
        <f t="shared" si="18"/>
        <v>Yukinari SUGAWARA - Japan</v>
      </c>
      <c r="H627" s="85" t="str">
        <f t="shared" si="19"/>
        <v>JPN2</v>
      </c>
      <c r="I627" s="85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85" t="s">
        <v>3155</v>
      </c>
      <c r="G628" s="85" t="str">
        <f t="shared" si="18"/>
        <v>Shogo TANIGUCHI - Japan</v>
      </c>
      <c r="H628" s="85" t="str">
        <f t="shared" si="19"/>
        <v>JPN3</v>
      </c>
      <c r="I628" s="85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85" t="s">
        <v>3155</v>
      </c>
      <c r="G629" s="85" t="str">
        <f t="shared" si="18"/>
        <v>Kou ITAKURA - Japan</v>
      </c>
      <c r="H629" s="85" t="str">
        <f t="shared" si="19"/>
        <v>JPN4</v>
      </c>
      <c r="I629" s="85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85" t="s">
        <v>3155</v>
      </c>
      <c r="G630" s="85" t="str">
        <f t="shared" si="18"/>
        <v>Yuto NAGATOMO - Japan</v>
      </c>
      <c r="H630" s="85" t="str">
        <f t="shared" si="19"/>
        <v>JPN5</v>
      </c>
      <c r="I630" s="85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85" t="s">
        <v>3155</v>
      </c>
      <c r="G631" s="85" t="str">
        <f t="shared" si="18"/>
        <v>Shuto MACHINO - Japan</v>
      </c>
      <c r="H631" s="85" t="str">
        <f t="shared" si="19"/>
        <v>JPN6</v>
      </c>
      <c r="I631" s="85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85" t="s">
        <v>3155</v>
      </c>
      <c r="G632" s="85" t="str">
        <f t="shared" si="18"/>
        <v>Ao TANAKA - Japan</v>
      </c>
      <c r="H632" s="85" t="str">
        <f t="shared" si="19"/>
        <v>JPN7</v>
      </c>
      <c r="I632" s="85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85" t="s">
        <v>3155</v>
      </c>
      <c r="G633" s="85" t="str">
        <f t="shared" si="18"/>
        <v>Takefusa KUBO - Japan</v>
      </c>
      <c r="H633" s="85" t="str">
        <f t="shared" si="19"/>
        <v>JPN8</v>
      </c>
      <c r="I633" s="85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85" t="s">
        <v>3155</v>
      </c>
      <c r="G634" s="85" t="str">
        <f t="shared" si="18"/>
        <v>Keisuke GOTO - Japan</v>
      </c>
      <c r="H634" s="85" t="str">
        <f t="shared" si="19"/>
        <v>JPN9</v>
      </c>
      <c r="I634" s="85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85" t="s">
        <v>3155</v>
      </c>
      <c r="G635" s="85" t="str">
        <f t="shared" si="18"/>
        <v>Ritsu DOAN - Japan</v>
      </c>
      <c r="H635" s="85" t="str">
        <f t="shared" si="19"/>
        <v>JPN10</v>
      </c>
      <c r="I635" s="8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85" t="s">
        <v>3155</v>
      </c>
      <c r="G636" s="85" t="str">
        <f t="shared" si="18"/>
        <v>Daizen MAEDA - Japan</v>
      </c>
      <c r="H636" s="85" t="str">
        <f t="shared" si="19"/>
        <v>JPN11</v>
      </c>
      <c r="I636" s="85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85" t="s">
        <v>3155</v>
      </c>
      <c r="G637" s="85" t="str">
        <f t="shared" si="18"/>
        <v>Keisuke OSAKO - Japan</v>
      </c>
      <c r="H637" s="85" t="str">
        <f t="shared" si="19"/>
        <v>JPN12</v>
      </c>
      <c r="I637" s="85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85" t="s">
        <v>3155</v>
      </c>
      <c r="G638" s="85" t="str">
        <f t="shared" si="18"/>
        <v>Keito NAKAMURA - Japan</v>
      </c>
      <c r="H638" s="85" t="str">
        <f t="shared" si="19"/>
        <v>JPN13</v>
      </c>
      <c r="I638" s="85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85" t="s">
        <v>3155</v>
      </c>
      <c r="G639" s="85" t="str">
        <f t="shared" si="18"/>
        <v>Junya ITO - Japan</v>
      </c>
      <c r="H639" s="85" t="str">
        <f t="shared" si="19"/>
        <v>JPN14</v>
      </c>
      <c r="I639" s="85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85" t="s">
        <v>3155</v>
      </c>
      <c r="G640" s="85" t="str">
        <f t="shared" si="18"/>
        <v>Daichi KAMADA - Japan</v>
      </c>
      <c r="H640" s="85" t="str">
        <f t="shared" si="19"/>
        <v>JPN15</v>
      </c>
      <c r="I640" s="85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85" t="s">
        <v>3155</v>
      </c>
      <c r="G641" s="85" t="str">
        <f t="shared" si="18"/>
        <v>Tsuyoshi WATANABE - Japan</v>
      </c>
      <c r="H641" s="85" t="str">
        <f t="shared" si="19"/>
        <v>JPN16</v>
      </c>
      <c r="I641" s="85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85" t="s">
        <v>3155</v>
      </c>
      <c r="G642" s="85" t="str">
        <f t="shared" si="18"/>
        <v>Yuito SUZUKI - Japan</v>
      </c>
      <c r="H642" s="85" t="str">
        <f t="shared" si="19"/>
        <v>JPN17</v>
      </c>
      <c r="I642" s="85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85" t="s">
        <v>3155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85" t="s">
        <v>3155</v>
      </c>
      <c r="G644" s="85" t="str">
        <f t="shared" si="20"/>
        <v>Koki OGAWA - Japan</v>
      </c>
      <c r="H644" s="85" t="str">
        <f t="shared" si="21"/>
        <v>JPN19</v>
      </c>
      <c r="I644" s="85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85" t="s">
        <v>3155</v>
      </c>
      <c r="G645" s="85" t="str">
        <f t="shared" si="20"/>
        <v>Ayumu SEKO - Japan</v>
      </c>
      <c r="H645" s="85" t="str">
        <f t="shared" si="21"/>
        <v>JPN20</v>
      </c>
      <c r="I645" s="8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85" t="s">
        <v>3155</v>
      </c>
      <c r="G646" s="85" t="str">
        <f t="shared" si="20"/>
        <v>Hiroki ITO - Japan</v>
      </c>
      <c r="H646" s="85" t="str">
        <f t="shared" si="21"/>
        <v>JPN21</v>
      </c>
      <c r="I646" s="85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85" t="s">
        <v>3155</v>
      </c>
      <c r="G647" s="85" t="str">
        <f t="shared" si="20"/>
        <v>Takehiro TOMIYASU - Japan</v>
      </c>
      <c r="H647" s="85" t="str">
        <f t="shared" si="21"/>
        <v>JPN22</v>
      </c>
      <c r="I647" s="85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85" t="s">
        <v>3155</v>
      </c>
      <c r="G648" s="85" t="str">
        <f t="shared" si="20"/>
        <v>Tomoki HAYAKAWA - Japan</v>
      </c>
      <c r="H648" s="85" t="str">
        <f t="shared" si="21"/>
        <v>JPN23</v>
      </c>
      <c r="I648" s="85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85" t="s">
        <v>3155</v>
      </c>
      <c r="G649" s="85" t="str">
        <f t="shared" si="20"/>
        <v>Kaishu SANO - Japan</v>
      </c>
      <c r="H649" s="85" t="str">
        <f t="shared" si="21"/>
        <v>JPN24</v>
      </c>
      <c r="I649" s="85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85" t="s">
        <v>3155</v>
      </c>
      <c r="G650" s="85" t="str">
        <f t="shared" si="20"/>
        <v>Junnosuke SUZUKI - Japan</v>
      </c>
      <c r="H650" s="85" t="str">
        <f t="shared" si="21"/>
        <v>JPN25</v>
      </c>
      <c r="I650" s="85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85" t="s">
        <v>3155</v>
      </c>
      <c r="G651" s="85" t="str">
        <f t="shared" si="20"/>
        <v>Kento SHIOGAI - Japan</v>
      </c>
      <c r="H651" s="85" t="str">
        <f t="shared" si="21"/>
        <v>JPN26</v>
      </c>
      <c r="I651" s="85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87" t="s">
        <v>379</v>
      </c>
      <c r="G652" s="87" t="str">
        <f t="shared" si="20"/>
        <v>Yazeed ABULAILA - Jordan</v>
      </c>
      <c r="H652" s="87" t="str">
        <f t="shared" si="21"/>
        <v>JOR1</v>
      </c>
      <c r="I652" s="87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87" t="s">
        <v>379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87" t="s">
        <v>379</v>
      </c>
      <c r="G654" s="87" t="str">
        <f t="shared" si="20"/>
        <v>Abdallah NASIB - Jordan</v>
      </c>
      <c r="H654" s="87" t="str">
        <f t="shared" si="21"/>
        <v>JOR3</v>
      </c>
      <c r="I654" s="87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87" t="s">
        <v>379</v>
      </c>
      <c r="G655" s="87" t="str">
        <f t="shared" si="20"/>
        <v>Husam ABUDAHAB - Jordan</v>
      </c>
      <c r="H655" s="87" t="str">
        <f t="shared" si="21"/>
        <v>JOR4</v>
      </c>
      <c r="I655" s="87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87" t="s">
        <v>379</v>
      </c>
      <c r="G656" s="87" t="str">
        <f t="shared" si="20"/>
        <v>Yazan ALARAB - Jordan</v>
      </c>
      <c r="H656" s="87" t="str">
        <f t="shared" si="21"/>
        <v>JOR5</v>
      </c>
      <c r="I656" s="87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87" t="s">
        <v>379</v>
      </c>
      <c r="G657" s="87" t="str">
        <f t="shared" si="20"/>
        <v>Amer JAMOUS - Jordan</v>
      </c>
      <c r="H657" s="87" t="str">
        <f t="shared" si="21"/>
        <v>JOR6</v>
      </c>
      <c r="I657" s="8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87" t="s">
        <v>379</v>
      </c>
      <c r="G658" s="87" t="str">
        <f t="shared" si="20"/>
        <v>Mohammad ABUZRAIQ - Jordan</v>
      </c>
      <c r="H658" s="87" t="str">
        <f t="shared" si="21"/>
        <v>JOR7</v>
      </c>
      <c r="I658" s="87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87" t="s">
        <v>379</v>
      </c>
      <c r="G659" s="87" t="str">
        <f t="shared" si="20"/>
        <v>Noor ALRAWABDEH - Jordan</v>
      </c>
      <c r="H659" s="87" t="str">
        <f t="shared" si="21"/>
        <v>JOR8</v>
      </c>
      <c r="I659" s="87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87" t="s">
        <v>379</v>
      </c>
      <c r="G660" s="87" t="str">
        <f t="shared" si="20"/>
        <v>Ali OLWAN - Jordan</v>
      </c>
      <c r="H660" s="87" t="str">
        <f t="shared" si="21"/>
        <v>JOR9</v>
      </c>
      <c r="I660" s="87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87" t="s">
        <v>379</v>
      </c>
      <c r="G661" s="87" t="str">
        <f t="shared" si="20"/>
        <v>Mousa ALTAMARI - Jordan</v>
      </c>
      <c r="H661" s="87" t="str">
        <f t="shared" si="21"/>
        <v>JOR10</v>
      </c>
      <c r="I661" s="87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87" t="s">
        <v>379</v>
      </c>
      <c r="G662" s="87" t="str">
        <f t="shared" si="20"/>
        <v>Odeh FAKHOURY - Jordan</v>
      </c>
      <c r="H662" s="87" t="str">
        <f t="shared" si="21"/>
        <v>JOR11</v>
      </c>
      <c r="I662" s="87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87" t="s">
        <v>379</v>
      </c>
      <c r="G663" s="87" t="str">
        <f t="shared" si="20"/>
        <v>Nour BANIATEYAH - Jordan</v>
      </c>
      <c r="H663" s="87" t="str">
        <f t="shared" si="21"/>
        <v>JOR12</v>
      </c>
      <c r="I663" s="87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87" t="s">
        <v>379</v>
      </c>
      <c r="G664" s="87" t="str">
        <f t="shared" si="20"/>
        <v>Mahmoud ALMARDI - Jordan</v>
      </c>
      <c r="H664" s="87" t="str">
        <f t="shared" si="21"/>
        <v>JOR13</v>
      </c>
      <c r="I664" s="87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87" t="s">
        <v>379</v>
      </c>
      <c r="G665" s="87" t="str">
        <f t="shared" si="20"/>
        <v>Rajaei AYED - Jordan</v>
      </c>
      <c r="H665" s="87" t="str">
        <f t="shared" si="21"/>
        <v>JOR14</v>
      </c>
      <c r="I665" s="87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87" t="s">
        <v>379</v>
      </c>
      <c r="G666" s="87" t="str">
        <f t="shared" si="20"/>
        <v>Ibrahim SADEH - Jordan</v>
      </c>
      <c r="H666" s="87" t="str">
        <f t="shared" si="21"/>
        <v>JOR15</v>
      </c>
      <c r="I666" s="87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87" t="s">
        <v>379</v>
      </c>
      <c r="G667" s="87" t="str">
        <f t="shared" si="20"/>
        <v>Mohammad ABUALNADI - Jordan</v>
      </c>
      <c r="H667" s="87" t="str">
        <f t="shared" si="21"/>
        <v>JOR16</v>
      </c>
      <c r="I667" s="8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87" t="s">
        <v>379</v>
      </c>
      <c r="G668" s="87" t="str">
        <f t="shared" si="20"/>
        <v>Saleem OBAID - Jordan</v>
      </c>
      <c r="H668" s="87" t="str">
        <f t="shared" si="21"/>
        <v>JOR17</v>
      </c>
      <c r="I668" s="87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87" t="s">
        <v>379</v>
      </c>
      <c r="G669" s="87" t="str">
        <f t="shared" si="20"/>
        <v>Mohammad TAHA - Jordan</v>
      </c>
      <c r="H669" s="87" t="str">
        <f t="shared" si="21"/>
        <v>JOR18</v>
      </c>
      <c r="I669" s="87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87" t="s">
        <v>379</v>
      </c>
      <c r="G670" s="87" t="str">
        <f t="shared" si="20"/>
        <v>Saed ALROSAN - Jordan</v>
      </c>
      <c r="H670" s="87" t="str">
        <f t="shared" si="21"/>
        <v>JOR19</v>
      </c>
      <c r="I670" s="87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87" t="s">
        <v>379</v>
      </c>
      <c r="G671" s="87" t="str">
        <f t="shared" si="20"/>
        <v>Mohannad ABUTAHA - Jordan</v>
      </c>
      <c r="H671" s="87" t="str">
        <f t="shared" si="21"/>
        <v>JOR20</v>
      </c>
      <c r="I671" s="87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87" t="s">
        <v>379</v>
      </c>
      <c r="G672" s="87" t="str">
        <f t="shared" si="20"/>
        <v>Nizar ALRASHDAN - Jordan</v>
      </c>
      <c r="H672" s="87" t="str">
        <f t="shared" si="21"/>
        <v>JOR21</v>
      </c>
      <c r="I672" s="87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87" t="s">
        <v>379</v>
      </c>
      <c r="G673" s="87" t="str">
        <f t="shared" si="20"/>
        <v>Abdallah ALFAKHORI - Jordan</v>
      </c>
      <c r="H673" s="87" t="str">
        <f t="shared" si="21"/>
        <v>JOR22</v>
      </c>
      <c r="I673" s="87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87" t="s">
        <v>379</v>
      </c>
      <c r="G674" s="87" t="str">
        <f t="shared" si="20"/>
        <v>Ehsan HADDAD - Jordan</v>
      </c>
      <c r="H674" s="87" t="str">
        <f t="shared" si="21"/>
        <v>JOR23</v>
      </c>
      <c r="I674" s="87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87" t="s">
        <v>379</v>
      </c>
      <c r="G675" s="87" t="str">
        <f t="shared" si="20"/>
        <v>Ali AZAIZEH - Jordan</v>
      </c>
      <c r="H675" s="87" t="str">
        <f t="shared" si="21"/>
        <v>JOR24</v>
      </c>
      <c r="I675" s="87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87" t="s">
        <v>379</v>
      </c>
      <c r="G676" s="87" t="str">
        <f t="shared" si="20"/>
        <v>Mohammad ALDAOUD - Jordan</v>
      </c>
      <c r="H676" s="87" t="str">
        <f t="shared" si="21"/>
        <v>JOR25</v>
      </c>
      <c r="I676" s="87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87" t="s">
        <v>379</v>
      </c>
      <c r="G677" s="87" t="str">
        <f t="shared" si="20"/>
        <v>Anas BADAWI - Jordan</v>
      </c>
      <c r="H677" s="87" t="str">
        <f t="shared" si="21"/>
        <v>JOR26</v>
      </c>
      <c r="I677" s="8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89" t="s">
        <v>3206</v>
      </c>
      <c r="G678" s="89" t="str">
        <f t="shared" si="20"/>
        <v>Seunggyu KIM - South Korea</v>
      </c>
      <c r="H678" s="89" t="str">
        <f t="shared" si="21"/>
        <v>KOR1</v>
      </c>
      <c r="I678" s="89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89" t="s">
        <v>3206</v>
      </c>
      <c r="G679" s="89" t="str">
        <f t="shared" si="20"/>
        <v>Hanbeom LEE - South Korea</v>
      </c>
      <c r="H679" s="89" t="str">
        <f t="shared" si="21"/>
        <v>KOR2</v>
      </c>
      <c r="I679" s="8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89" t="s">
        <v>3206</v>
      </c>
      <c r="G680" s="89" t="str">
        <f t="shared" si="20"/>
        <v>Gihyuk LEE - South Korea</v>
      </c>
      <c r="H680" s="89" t="str">
        <f t="shared" si="21"/>
        <v>KOR3</v>
      </c>
      <c r="I680" s="89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89" t="s">
        <v>3206</v>
      </c>
      <c r="G681" s="89" t="str">
        <f t="shared" si="20"/>
        <v>Minjae KIM - South Korea</v>
      </c>
      <c r="H681" s="89" t="str">
        <f t="shared" si="21"/>
        <v>KOR4</v>
      </c>
      <c r="I681" s="89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89" t="s">
        <v>3206</v>
      </c>
      <c r="G682" s="89" t="str">
        <f t="shared" si="20"/>
        <v>Taehyeon KIM - South Korea</v>
      </c>
      <c r="H682" s="89" t="str">
        <f t="shared" si="21"/>
        <v>KOR5</v>
      </c>
      <c r="I682" s="89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89" t="s">
        <v>3206</v>
      </c>
      <c r="G683" s="89" t="str">
        <f t="shared" si="20"/>
        <v>Inbeom HWANG - South Korea</v>
      </c>
      <c r="H683" s="89" t="str">
        <f t="shared" si="21"/>
        <v>KOR6</v>
      </c>
      <c r="I683" s="89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89" t="s">
        <v>3206</v>
      </c>
      <c r="G684" s="89" t="str">
        <f t="shared" si="20"/>
        <v>Heungmin SON - South Korea</v>
      </c>
      <c r="H684" s="89" t="str">
        <f t="shared" si="21"/>
        <v>KOR7</v>
      </c>
      <c r="I684" s="89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89" t="s">
        <v>3206</v>
      </c>
      <c r="G685" s="89" t="str">
        <f t="shared" si="20"/>
        <v>Seungho PAIK - South Korea</v>
      </c>
      <c r="H685" s="89" t="str">
        <f t="shared" si="21"/>
        <v>KOR8</v>
      </c>
      <c r="I685" s="89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89" t="s">
        <v>3206</v>
      </c>
      <c r="G686" s="89" t="str">
        <f t="shared" si="20"/>
        <v>Guesung CHO - South Korea</v>
      </c>
      <c r="H686" s="89" t="str">
        <f t="shared" si="21"/>
        <v>KOR9</v>
      </c>
      <c r="I686" s="89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89" t="s">
        <v>3206</v>
      </c>
      <c r="G687" s="89" t="str">
        <f t="shared" si="20"/>
        <v>Jaesung LEE - South Korea</v>
      </c>
      <c r="H687" s="89" t="str">
        <f t="shared" si="21"/>
        <v>KOR10</v>
      </c>
      <c r="I687" s="89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89" t="s">
        <v>3206</v>
      </c>
      <c r="G688" s="89" t="str">
        <f t="shared" si="20"/>
        <v>Heechan HWANG - South Korea</v>
      </c>
      <c r="H688" s="89" t="str">
        <f t="shared" si="21"/>
        <v>KOR11</v>
      </c>
      <c r="I688" s="89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89" t="s">
        <v>3206</v>
      </c>
      <c r="G689" s="89" t="str">
        <f t="shared" si="20"/>
        <v>Bumkeun SONG - South Korea</v>
      </c>
      <c r="H689" s="89" t="str">
        <f t="shared" si="21"/>
        <v>KOR12</v>
      </c>
      <c r="I689" s="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89" t="s">
        <v>3206</v>
      </c>
      <c r="G690" s="89" t="str">
        <f t="shared" si="20"/>
        <v>Taeseok LEE - South Korea</v>
      </c>
      <c r="H690" s="89" t="str">
        <f t="shared" si="21"/>
        <v>KOR13</v>
      </c>
      <c r="I690" s="89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89" t="s">
        <v>3206</v>
      </c>
      <c r="G691" s="89" t="str">
        <f t="shared" si="20"/>
        <v>Wije CHO - South Korea</v>
      </c>
      <c r="H691" s="89" t="str">
        <f t="shared" si="21"/>
        <v>KOR14</v>
      </c>
      <c r="I691" s="89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89" t="s">
        <v>3206</v>
      </c>
      <c r="G692" s="89" t="str">
        <f t="shared" si="20"/>
        <v>Moonhwan KIM - South Korea</v>
      </c>
      <c r="H692" s="89" t="str">
        <f t="shared" si="21"/>
        <v>KOR15</v>
      </c>
      <c r="I692" s="89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89" t="s">
        <v>3206</v>
      </c>
      <c r="G693" s="89" t="str">
        <f t="shared" si="20"/>
        <v>Jinseob PARK - South Korea</v>
      </c>
      <c r="H693" s="89" t="str">
        <f t="shared" si="21"/>
        <v>KOR16</v>
      </c>
      <c r="I693" s="89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89" t="s">
        <v>3206</v>
      </c>
      <c r="G694" s="89" t="str">
        <f t="shared" si="20"/>
        <v>Junho BAE - South Korea</v>
      </c>
      <c r="H694" s="89" t="str">
        <f t="shared" si="21"/>
        <v>KOR17</v>
      </c>
      <c r="I694" s="89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89" t="s">
        <v>3206</v>
      </c>
      <c r="G695" s="89" t="str">
        <f t="shared" si="20"/>
        <v>Hyeongyu OH - South Korea</v>
      </c>
      <c r="H695" s="89" t="str">
        <f t="shared" si="21"/>
        <v>KOR18</v>
      </c>
      <c r="I695" s="89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89" t="s">
        <v>3206</v>
      </c>
      <c r="G696" s="89" t="str">
        <f t="shared" si="20"/>
        <v>Kangin LEE - South Korea</v>
      </c>
      <c r="H696" s="89" t="str">
        <f t="shared" si="21"/>
        <v>KOR19</v>
      </c>
      <c r="I696" s="89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89" t="s">
        <v>3206</v>
      </c>
      <c r="G697" s="89" t="str">
        <f t="shared" si="20"/>
        <v>Hyunjun YANG - South Korea</v>
      </c>
      <c r="H697" s="89" t="str">
        <f t="shared" si="21"/>
        <v>KOR20</v>
      </c>
      <c r="I697" s="89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89" t="s">
        <v>3206</v>
      </c>
      <c r="G698" s="89" t="str">
        <f t="shared" si="20"/>
        <v>Hyeonwoo JO - South Korea</v>
      </c>
      <c r="H698" s="89" t="str">
        <f t="shared" si="21"/>
        <v>KOR21</v>
      </c>
      <c r="I698" s="89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89" t="s">
        <v>3206</v>
      </c>
      <c r="G699" s="89" t="str">
        <f t="shared" si="20"/>
        <v>Youngwoo SEOL - South Korea</v>
      </c>
      <c r="H699" s="89" t="str">
        <f t="shared" si="21"/>
        <v>KOR22</v>
      </c>
      <c r="I699" s="8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89" t="s">
        <v>3206</v>
      </c>
      <c r="G700" s="89" t="str">
        <f t="shared" si="20"/>
        <v>Jens CASTROP - South Korea</v>
      </c>
      <c r="H700" s="89" t="str">
        <f t="shared" si="21"/>
        <v>KOR23</v>
      </c>
      <c r="I700" s="89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89" t="s">
        <v>3206</v>
      </c>
      <c r="G701" s="89" t="str">
        <f t="shared" si="20"/>
        <v>Jingyu KIM - South Korea</v>
      </c>
      <c r="H701" s="89" t="str">
        <f t="shared" si="21"/>
        <v>KOR24</v>
      </c>
      <c r="I701" s="89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89" t="s">
        <v>3206</v>
      </c>
      <c r="G702" s="89" t="str">
        <f t="shared" si="20"/>
        <v>Jisung EOM - South Korea</v>
      </c>
      <c r="H702" s="89" t="str">
        <f t="shared" si="21"/>
        <v>KOR25</v>
      </c>
      <c r="I702" s="89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89" t="s">
        <v>3206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91" t="s">
        <v>3233</v>
      </c>
      <c r="G704" s="91" t="str">
        <f t="shared" si="20"/>
        <v>Raul RANGEL - Mexico</v>
      </c>
      <c r="H704" s="91" t="str">
        <f t="shared" si="21"/>
        <v>MEX1</v>
      </c>
      <c r="I704" s="91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91" t="s">
        <v>3233</v>
      </c>
      <c r="G705" s="91" t="str">
        <f t="shared" si="20"/>
        <v>Jorge SANCHEZ - Mexico</v>
      </c>
      <c r="H705" s="91" t="str">
        <f t="shared" si="21"/>
        <v>MEX2</v>
      </c>
      <c r="I705" s="91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91" t="s">
        <v>3233</v>
      </c>
      <c r="G706" s="91" t="str">
        <f t="shared" si="20"/>
        <v>Cesar MONTES - Mexico</v>
      </c>
      <c r="H706" s="91" t="str">
        <f t="shared" si="21"/>
        <v>MEX3</v>
      </c>
      <c r="I706" s="91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91" t="s">
        <v>3233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91" t="s">
        <v>3233</v>
      </c>
      <c r="G708" s="91" t="str">
        <f t="shared" si="22"/>
        <v>Johan VASQUEZ - Mexico</v>
      </c>
      <c r="H708" s="91" t="str">
        <f t="shared" si="23"/>
        <v>MEX5</v>
      </c>
      <c r="I708" s="91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91" t="s">
        <v>3233</v>
      </c>
      <c r="G709" s="91" t="str">
        <f t="shared" si="22"/>
        <v>Erik LIRA - Mexico</v>
      </c>
      <c r="H709" s="91" t="str">
        <f t="shared" si="23"/>
        <v>MEX6</v>
      </c>
      <c r="I709" s="91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91" t="s">
        <v>3233</v>
      </c>
      <c r="G710" s="91" t="str">
        <f t="shared" si="22"/>
        <v>Luis ROMO - Mexico</v>
      </c>
      <c r="H710" s="91" t="str">
        <f t="shared" si="23"/>
        <v>MEX7</v>
      </c>
      <c r="I710" s="91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91" t="s">
        <v>3233</v>
      </c>
      <c r="G711" s="91" t="str">
        <f t="shared" si="22"/>
        <v>Alvaro FIDALGO - Mexico</v>
      </c>
      <c r="H711" s="91" t="str">
        <f t="shared" si="23"/>
        <v>MEX8</v>
      </c>
      <c r="I711" s="9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91" t="s">
        <v>3233</v>
      </c>
      <c r="G712" s="91" t="str">
        <f t="shared" si="22"/>
        <v>Raul JIMENEZ - Mexico</v>
      </c>
      <c r="H712" s="91" t="str">
        <f t="shared" si="23"/>
        <v>MEX9</v>
      </c>
      <c r="I712" s="91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91" t="s">
        <v>3233</v>
      </c>
      <c r="G713" s="91" t="str">
        <f t="shared" si="22"/>
        <v>Alexis VEGA - Mexico</v>
      </c>
      <c r="H713" s="91" t="str">
        <f t="shared" si="23"/>
        <v>MEX10</v>
      </c>
      <c r="I713" s="91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91" t="s">
        <v>3233</v>
      </c>
      <c r="G714" s="91" t="str">
        <f t="shared" si="22"/>
        <v>Santiago GIMENEZ - Mexico</v>
      </c>
      <c r="H714" s="91" t="str">
        <f t="shared" si="23"/>
        <v>MEX11</v>
      </c>
      <c r="I714" s="91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91" t="s">
        <v>3233</v>
      </c>
      <c r="G715" s="91" t="str">
        <f t="shared" si="22"/>
        <v>Carlos ACEVEDO - Mexico</v>
      </c>
      <c r="H715" s="91" t="str">
        <f t="shared" si="23"/>
        <v>MEX12</v>
      </c>
      <c r="I715" s="91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91" t="s">
        <v>3233</v>
      </c>
      <c r="G716" s="91" t="str">
        <f t="shared" si="22"/>
        <v>Guillermo OCHOA - Mexico</v>
      </c>
      <c r="H716" s="91" t="str">
        <f t="shared" si="23"/>
        <v>MEX13</v>
      </c>
      <c r="I716" s="91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91" t="s">
        <v>3233</v>
      </c>
      <c r="G717" s="91" t="str">
        <f t="shared" si="22"/>
        <v>Armando GONZALEZ - Mexico</v>
      </c>
      <c r="H717" s="91" t="str">
        <f t="shared" si="23"/>
        <v>MEX14</v>
      </c>
      <c r="I717" s="91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91" t="s">
        <v>3233</v>
      </c>
      <c r="G718" s="91" t="str">
        <f t="shared" si="22"/>
        <v>Israel REYES - Mexico</v>
      </c>
      <c r="H718" s="91" t="str">
        <f t="shared" si="23"/>
        <v>MEX15</v>
      </c>
      <c r="I718" s="91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91" t="s">
        <v>3233</v>
      </c>
      <c r="G719" s="91" t="str">
        <f t="shared" si="22"/>
        <v>Julian QUINONES - Mexico</v>
      </c>
      <c r="H719" s="91" t="str">
        <f t="shared" si="23"/>
        <v>MEX16</v>
      </c>
      <c r="I719" s="91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91" t="s">
        <v>3233</v>
      </c>
      <c r="G720" s="91" t="str">
        <f t="shared" si="22"/>
        <v>Orbelin PINEDA - Mexico</v>
      </c>
      <c r="H720" s="91" t="str">
        <f t="shared" si="23"/>
        <v>MEX17</v>
      </c>
      <c r="I720" s="91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91" t="s">
        <v>3233</v>
      </c>
      <c r="G721" s="91" t="str">
        <f t="shared" si="22"/>
        <v>Obed VARGAS - Mexico</v>
      </c>
      <c r="H721" s="91" t="str">
        <f t="shared" si="23"/>
        <v>MEX18</v>
      </c>
      <c r="I721" s="9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91" t="s">
        <v>3233</v>
      </c>
      <c r="G722" s="91" t="str">
        <f t="shared" si="22"/>
        <v>Gilberto MORA - Mexico</v>
      </c>
      <c r="H722" s="91" t="str">
        <f t="shared" si="23"/>
        <v>MEX19</v>
      </c>
      <c r="I722" s="91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91" t="s">
        <v>3233</v>
      </c>
      <c r="G723" s="91" t="str">
        <f t="shared" si="22"/>
        <v>Mateo CHAVEZ - Mexico</v>
      </c>
      <c r="H723" s="91" t="str">
        <f t="shared" si="23"/>
        <v>MEX20</v>
      </c>
      <c r="I723" s="91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91" t="s">
        <v>3233</v>
      </c>
      <c r="G724" s="91" t="str">
        <f t="shared" si="22"/>
        <v>Cesar HUERTA - Mexico</v>
      </c>
      <c r="H724" s="91" t="str">
        <f t="shared" si="23"/>
        <v>MEX21</v>
      </c>
      <c r="I724" s="91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91" t="s">
        <v>3233</v>
      </c>
      <c r="G725" s="91" t="str">
        <f t="shared" si="22"/>
        <v>Guillermo MARTINEZ - Mexico</v>
      </c>
      <c r="H725" s="91" t="str">
        <f t="shared" si="23"/>
        <v>MEX22</v>
      </c>
      <c r="I725" s="91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91" t="s">
        <v>3233</v>
      </c>
      <c r="G726" s="91" t="str">
        <f t="shared" si="22"/>
        <v>Jesus GALLARDO - Mexico</v>
      </c>
      <c r="H726" s="91" t="str">
        <f t="shared" si="23"/>
        <v>MEX23</v>
      </c>
      <c r="I726" s="91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91" t="s">
        <v>3233</v>
      </c>
      <c r="G727" s="91" t="str">
        <f t="shared" si="22"/>
        <v>Luis CHAVEZ - Mexico</v>
      </c>
      <c r="H727" s="91" t="str">
        <f t="shared" si="23"/>
        <v>MEX24</v>
      </c>
      <c r="I727" s="91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91" t="s">
        <v>3233</v>
      </c>
      <c r="G728" s="91" t="str">
        <f t="shared" si="22"/>
        <v>Roberto ALVARADO - Mexico</v>
      </c>
      <c r="H728" s="91" t="str">
        <f t="shared" si="23"/>
        <v>MEX25</v>
      </c>
      <c r="I728" s="91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91" t="s">
        <v>3233</v>
      </c>
      <c r="G729" s="91" t="str">
        <f t="shared" si="22"/>
        <v>Brian GUTIERREZ - Mexico</v>
      </c>
      <c r="H729" s="91" t="str">
        <f t="shared" si="23"/>
        <v>MEX26</v>
      </c>
      <c r="I729" s="91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93" t="s">
        <v>3260</v>
      </c>
      <c r="G730" s="93" t="str">
        <f t="shared" si="22"/>
        <v>Yassine BOUNOU - Morocco</v>
      </c>
      <c r="H730" s="93" t="str">
        <f t="shared" si="23"/>
        <v>MAR1</v>
      </c>
      <c r="I730" s="93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93" t="s">
        <v>3260</v>
      </c>
      <c r="G731" s="93" t="str">
        <f t="shared" si="22"/>
        <v>Achraf HAKIMI - Morocco</v>
      </c>
      <c r="H731" s="93" t="str">
        <f t="shared" si="23"/>
        <v>MAR2</v>
      </c>
      <c r="I731" s="93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93" t="s">
        <v>3260</v>
      </c>
      <c r="G732" s="93" t="str">
        <f t="shared" si="22"/>
        <v>Noussair MAZRAOUI - Morocco</v>
      </c>
      <c r="H732" s="93" t="str">
        <f t="shared" si="23"/>
        <v>MAR3</v>
      </c>
      <c r="I732" s="93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93" t="s">
        <v>3260</v>
      </c>
      <c r="G733" s="93" t="str">
        <f t="shared" si="22"/>
        <v>Sofyan AMRABAT - Morocco</v>
      </c>
      <c r="H733" s="93" t="str">
        <f t="shared" si="23"/>
        <v>MAR4</v>
      </c>
      <c r="I733" s="9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93" t="s">
        <v>3260</v>
      </c>
      <c r="G734" s="93" t="str">
        <f t="shared" si="22"/>
        <v>Marwane SAADANE - Morocco</v>
      </c>
      <c r="H734" s="93" t="str">
        <f t="shared" si="23"/>
        <v>MAR5</v>
      </c>
      <c r="I734" s="93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93" t="s">
        <v>3260</v>
      </c>
      <c r="G735" s="93" t="str">
        <f t="shared" si="22"/>
        <v>Ayyoub BOUADDI - Morocco</v>
      </c>
      <c r="H735" s="93" t="str">
        <f t="shared" si="23"/>
        <v>MAR6</v>
      </c>
      <c r="I735" s="93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93" t="s">
        <v>3260</v>
      </c>
      <c r="G736" s="93" t="str">
        <f t="shared" si="22"/>
        <v>Chemsdine TALBI - Morocco</v>
      </c>
      <c r="H736" s="93" t="str">
        <f t="shared" si="23"/>
        <v>MAR7</v>
      </c>
      <c r="I736" s="93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93" t="s">
        <v>3260</v>
      </c>
      <c r="G737" s="93" t="str">
        <f t="shared" si="22"/>
        <v>Azzedine OUNAHI - Morocco</v>
      </c>
      <c r="H737" s="93" t="str">
        <f t="shared" si="23"/>
        <v>MAR8</v>
      </c>
      <c r="I737" s="93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93" t="s">
        <v>3260</v>
      </c>
      <c r="G738" s="93" t="str">
        <f t="shared" si="22"/>
        <v>Souane RAHIMI - Morocco</v>
      </c>
      <c r="H738" s="93" t="str">
        <f t="shared" si="23"/>
        <v>MAR9</v>
      </c>
      <c r="I738" s="93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93" t="s">
        <v>3260</v>
      </c>
      <c r="G739" s="93" t="str">
        <f t="shared" si="22"/>
        <v>Brahim DIAZ - Morocco</v>
      </c>
      <c r="H739" s="93" t="str">
        <f t="shared" si="23"/>
        <v>MAR10</v>
      </c>
      <c r="I739" s="93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93" t="s">
        <v>3260</v>
      </c>
      <c r="G740" s="93" t="str">
        <f t="shared" si="22"/>
        <v>Ismael SAIBARI - Morocco</v>
      </c>
      <c r="H740" s="93" t="str">
        <f t="shared" si="23"/>
        <v>MAR11</v>
      </c>
      <c r="I740" s="93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93" t="s">
        <v>3260</v>
      </c>
      <c r="G741" s="93" t="str">
        <f t="shared" si="22"/>
        <v>Munir EL KAJOUI - Morocco</v>
      </c>
      <c r="H741" s="93" t="str">
        <f t="shared" si="23"/>
        <v>MAR12</v>
      </c>
      <c r="I741" s="93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93" t="s">
        <v>3260</v>
      </c>
      <c r="G742" s="93" t="str">
        <f t="shared" si="22"/>
        <v>Zakaria EL OUAHDI - Morocco</v>
      </c>
      <c r="H742" s="93" t="str">
        <f t="shared" si="23"/>
        <v>MAR13</v>
      </c>
      <c r="I742" s="93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93" t="s">
        <v>3260</v>
      </c>
      <c r="G743" s="93" t="str">
        <f t="shared" si="22"/>
        <v>Issa DIOP - Morocco</v>
      </c>
      <c r="H743" s="93" t="str">
        <f t="shared" si="23"/>
        <v>MAR14</v>
      </c>
      <c r="I743" s="9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93" t="s">
        <v>3260</v>
      </c>
      <c r="G744" s="93" t="str">
        <f t="shared" si="22"/>
        <v>Samir EL MOURABET - Morocco</v>
      </c>
      <c r="H744" s="93" t="str">
        <f t="shared" si="23"/>
        <v>MAR15</v>
      </c>
      <c r="I744" s="93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93" t="s">
        <v>3260</v>
      </c>
      <c r="G745" s="93" t="str">
        <f t="shared" si="22"/>
        <v>Gessime YASSINE - Morocco</v>
      </c>
      <c r="H745" s="93" t="str">
        <f t="shared" si="23"/>
        <v>MAR16</v>
      </c>
      <c r="I745" s="93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93" t="s">
        <v>3260</v>
      </c>
      <c r="G746" s="93" t="str">
        <f t="shared" si="22"/>
        <v>Amine SBAI - Morocco</v>
      </c>
      <c r="H746" s="93" t="str">
        <f t="shared" si="23"/>
        <v>MAR17</v>
      </c>
      <c r="I746" s="93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93" t="s">
        <v>3260</v>
      </c>
      <c r="G747" s="93" t="str">
        <f t="shared" si="22"/>
        <v>Chadi RIAD - Morocco</v>
      </c>
      <c r="H747" s="93" t="str">
        <f t="shared" si="23"/>
        <v>MAR18</v>
      </c>
      <c r="I747" s="93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93" t="s">
        <v>3260</v>
      </c>
      <c r="G748" s="93" t="str">
        <f t="shared" si="22"/>
        <v>Youssef BELAMMARI - Morocco</v>
      </c>
      <c r="H748" s="93" t="str">
        <f t="shared" si="23"/>
        <v>MAR19</v>
      </c>
      <c r="I748" s="93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93" t="s">
        <v>3260</v>
      </c>
      <c r="G749" s="93" t="str">
        <f t="shared" si="22"/>
        <v>Ayoub EL KAABI - Morocco</v>
      </c>
      <c r="H749" s="93" t="str">
        <f t="shared" si="23"/>
        <v>MAR20</v>
      </c>
      <c r="I749" s="93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93" t="s">
        <v>3260</v>
      </c>
      <c r="G750" s="93" t="str">
        <f t="shared" si="22"/>
        <v>Ayoub AMAIMOUNI - Morocco</v>
      </c>
      <c r="H750" s="93" t="str">
        <f t="shared" si="23"/>
        <v>MAR21</v>
      </c>
      <c r="I750" s="93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93" t="s">
        <v>3260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93" t="s">
        <v>3260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93" t="s">
        <v>3260</v>
      </c>
      <c r="G753" s="93" t="str">
        <f t="shared" si="22"/>
        <v>Neil EL AYNAOUI - Morocco</v>
      </c>
      <c r="H753" s="93" t="str">
        <f t="shared" si="23"/>
        <v>MAR24</v>
      </c>
      <c r="I753" s="9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93" t="s">
        <v>3260</v>
      </c>
      <c r="G754" s="93" t="str">
        <f t="shared" si="22"/>
        <v>Redouane HALHAL - Morocco</v>
      </c>
      <c r="H754" s="93" t="str">
        <f t="shared" si="23"/>
        <v>MAR25</v>
      </c>
      <c r="I754" s="93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93" t="s">
        <v>3260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95" t="s">
        <v>3285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95" t="s">
        <v>3285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95" t="s">
        <v>3285</v>
      </c>
      <c r="G758" s="95" t="str">
        <f t="shared" si="22"/>
        <v>Marten DE ROON - Netherlands</v>
      </c>
      <c r="H758" s="95" t="str">
        <f t="shared" si="23"/>
        <v>NLD3</v>
      </c>
      <c r="I758" s="95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95" t="s">
        <v>3285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95" t="s">
        <v>3285</v>
      </c>
      <c r="G760" s="95" t="str">
        <f t="shared" si="22"/>
        <v>Nathan AKE - Netherlands</v>
      </c>
      <c r="H760" s="95" t="str">
        <f t="shared" si="23"/>
        <v>NLD5</v>
      </c>
      <c r="I760" s="95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95" t="s">
        <v>3285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95" t="s">
        <v>3285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95" t="s">
        <v>3285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95" t="s">
        <v>3285</v>
      </c>
      <c r="G764" s="95" t="str">
        <f t="shared" si="22"/>
        <v>Wout WEGHORST - Netherlands</v>
      </c>
      <c r="H764" s="95" t="str">
        <f t="shared" si="23"/>
        <v>NLD9</v>
      </c>
      <c r="I764" s="95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95" t="s">
        <v>3285</v>
      </c>
      <c r="G765" s="95" t="str">
        <f t="shared" si="22"/>
        <v>Memphis DEPAY - Netherlands</v>
      </c>
      <c r="H765" s="95" t="str">
        <f t="shared" si="23"/>
        <v>NLD10</v>
      </c>
      <c r="I765" s="9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95" t="s">
        <v>3285</v>
      </c>
      <c r="G766" s="95" t="str">
        <f t="shared" si="22"/>
        <v>Cody GAKPO - Netherlands</v>
      </c>
      <c r="H766" s="95" t="str">
        <f t="shared" si="23"/>
        <v>NLD11</v>
      </c>
      <c r="I766" s="95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95" t="s">
        <v>3285</v>
      </c>
      <c r="G767" s="95" t="str">
        <f t="shared" si="22"/>
        <v>Mats WIEFFER - Netherlands</v>
      </c>
      <c r="H767" s="95" t="str">
        <f t="shared" si="23"/>
        <v>NLD12</v>
      </c>
      <c r="I767" s="95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95" t="s">
        <v>3285</v>
      </c>
      <c r="G768" s="95" t="str">
        <f t="shared" si="22"/>
        <v>Robin ROEFS - Netherlands</v>
      </c>
      <c r="H768" s="95" t="str">
        <f t="shared" si="23"/>
        <v>NLD13</v>
      </c>
      <c r="I768" s="95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95" t="s">
        <v>3285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95" t="s">
        <v>3285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95" t="s">
        <v>3285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95" t="s">
        <v>3285</v>
      </c>
      <c r="G772" s="95" t="str">
        <f t="shared" si="24"/>
        <v>Noa LANG - Netherlands</v>
      </c>
      <c r="H772" s="95" t="str">
        <f t="shared" si="25"/>
        <v>NLD17</v>
      </c>
      <c r="I772" s="95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95" t="s">
        <v>3285</v>
      </c>
      <c r="G773" s="95" t="str">
        <f t="shared" si="24"/>
        <v>Donyell MALEN - Netherlands</v>
      </c>
      <c r="H773" s="95" t="str">
        <f t="shared" si="25"/>
        <v>NLD18</v>
      </c>
      <c r="I773" s="95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95" t="s">
        <v>3285</v>
      </c>
      <c r="G774" s="95" t="str">
        <f t="shared" si="24"/>
        <v>Brian BROBBEY - Netherlands</v>
      </c>
      <c r="H774" s="95" t="str">
        <f t="shared" si="25"/>
        <v>NLD19</v>
      </c>
      <c r="I774" s="95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95" t="s">
        <v>3285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95" t="s">
        <v>3285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95" t="s">
        <v>3285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95" t="s">
        <v>3285</v>
      </c>
      <c r="G778" s="95" t="str">
        <f t="shared" si="24"/>
        <v>Mark FLEKKEN - Netherlands</v>
      </c>
      <c r="H778" s="95" t="str">
        <f t="shared" si="25"/>
        <v>NLD23</v>
      </c>
      <c r="I778" s="95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95" t="s">
        <v>3285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95" t="s">
        <v>3285</v>
      </c>
      <c r="G780" s="95" t="str">
        <f t="shared" si="24"/>
        <v>Jorrel HATO - Netherlands</v>
      </c>
      <c r="H780" s="95" t="str">
        <f t="shared" si="25"/>
        <v>NLD25</v>
      </c>
      <c r="I780" s="95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95" t="s">
        <v>3285</v>
      </c>
      <c r="G781" s="95" t="str">
        <f t="shared" si="24"/>
        <v>Quinten TIMBER - Netherlands</v>
      </c>
      <c r="H781" s="95" t="str">
        <f t="shared" si="25"/>
        <v>NLD26</v>
      </c>
      <c r="I781" s="95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97" t="s">
        <v>3312</v>
      </c>
      <c r="G782" s="97" t="str">
        <f t="shared" si="24"/>
        <v>Max CROCOMBE - New Zealand</v>
      </c>
      <c r="H782" s="97" t="str">
        <f t="shared" si="25"/>
        <v>NZL1</v>
      </c>
      <c r="I782" s="97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97" t="s">
        <v>3312</v>
      </c>
      <c r="G783" s="97" t="str">
        <f t="shared" si="24"/>
        <v>Tim PAYNE - New Zealand</v>
      </c>
      <c r="H783" s="97" t="str">
        <f t="shared" si="25"/>
        <v>NZL2</v>
      </c>
      <c r="I783" s="97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97" t="s">
        <v>3312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97" t="s">
        <v>3312</v>
      </c>
      <c r="G785" s="97" t="str">
        <f t="shared" si="24"/>
        <v>Tyler BINDON - New Zealand</v>
      </c>
      <c r="H785" s="97" t="str">
        <f t="shared" si="25"/>
        <v>NZL4</v>
      </c>
      <c r="I785" s="97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97" t="s">
        <v>3312</v>
      </c>
      <c r="G786" s="97" t="str">
        <f t="shared" si="24"/>
        <v>Michael BOXALL - New Zealand</v>
      </c>
      <c r="H786" s="97" t="str">
        <f t="shared" si="25"/>
        <v>NZL5</v>
      </c>
      <c r="I786" s="97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97" t="s">
        <v>3312</v>
      </c>
      <c r="G787" s="97" t="str">
        <f t="shared" si="24"/>
        <v>Joe BELL - New Zealand</v>
      </c>
      <c r="H787" s="97" t="str">
        <f t="shared" si="25"/>
        <v>NZL6</v>
      </c>
      <c r="I787" s="9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97" t="s">
        <v>3312</v>
      </c>
      <c r="G788" s="97" t="str">
        <f t="shared" si="24"/>
        <v>Logan ROGERSON - New Zealand</v>
      </c>
      <c r="H788" s="97" t="str">
        <f t="shared" si="25"/>
        <v>NZL7</v>
      </c>
      <c r="I788" s="97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97" t="s">
        <v>3312</v>
      </c>
      <c r="G789" s="97" t="str">
        <f t="shared" si="24"/>
        <v>Marko STAMENIC - New Zealand</v>
      </c>
      <c r="H789" s="97" t="str">
        <f t="shared" si="25"/>
        <v>NZL8</v>
      </c>
      <c r="I789" s="97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97" t="s">
        <v>3312</v>
      </c>
      <c r="G790" s="97" t="str">
        <f t="shared" si="24"/>
        <v>Chris WOOD - New Zealand</v>
      </c>
      <c r="H790" s="97" t="str">
        <f t="shared" si="25"/>
        <v>NZL9</v>
      </c>
      <c r="I790" s="97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97" t="s">
        <v>3312</v>
      </c>
      <c r="G791" s="97" t="str">
        <f t="shared" si="24"/>
        <v>Sarpreet SINGH - New Zealand</v>
      </c>
      <c r="H791" s="97" t="str">
        <f t="shared" si="25"/>
        <v>NZL10</v>
      </c>
      <c r="I791" s="97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97" t="s">
        <v>3312</v>
      </c>
      <c r="G792" s="97" t="str">
        <f t="shared" si="24"/>
        <v>Elijah JUST - New Zealand</v>
      </c>
      <c r="H792" s="97" t="str">
        <f t="shared" si="25"/>
        <v>NZL11</v>
      </c>
      <c r="I792" s="97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97" t="s">
        <v>3312</v>
      </c>
      <c r="G793" s="97" t="str">
        <f t="shared" si="24"/>
        <v>Alex PAULSEN - New Zealand</v>
      </c>
      <c r="H793" s="97" t="str">
        <f t="shared" si="25"/>
        <v>NZL12</v>
      </c>
      <c r="I793" s="97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97" t="s">
        <v>3312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97" t="s">
        <v>3312</v>
      </c>
      <c r="G795" s="97" t="str">
        <f t="shared" si="24"/>
        <v>Alex RUFER - New Zealand</v>
      </c>
      <c r="H795" s="97" t="str">
        <f t="shared" si="25"/>
        <v>NZL14</v>
      </c>
      <c r="I795" s="97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97" t="s">
        <v>3312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97" t="s">
        <v>3312</v>
      </c>
      <c r="G797" s="97" t="str">
        <f t="shared" si="24"/>
        <v>Finn SURMAN - New Zealand</v>
      </c>
      <c r="H797" s="97" t="str">
        <f t="shared" si="25"/>
        <v>NZL16</v>
      </c>
      <c r="I797" s="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97" t="s">
        <v>3312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97" t="s">
        <v>3312</v>
      </c>
      <c r="G799" s="97" t="str">
        <f t="shared" si="24"/>
        <v>Ben WAINE - New Zealand</v>
      </c>
      <c r="H799" s="97" t="str">
        <f t="shared" si="25"/>
        <v>NZL18</v>
      </c>
      <c r="I799" s="97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97" t="s">
        <v>3312</v>
      </c>
      <c r="G800" s="97" t="str">
        <f t="shared" si="24"/>
        <v>Ben OLD - New Zealand</v>
      </c>
      <c r="H800" s="97" t="str">
        <f t="shared" si="25"/>
        <v>NZL19</v>
      </c>
      <c r="I800" s="97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97" t="s">
        <v>3312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97" t="s">
        <v>3312</v>
      </c>
      <c r="G802" s="97" t="str">
        <f t="shared" si="24"/>
        <v>Jesse RANDALL - New Zealand</v>
      </c>
      <c r="H802" s="97" t="str">
        <f t="shared" si="25"/>
        <v>NZL21</v>
      </c>
      <c r="I802" s="97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97" t="s">
        <v>3312</v>
      </c>
      <c r="G803" s="97" t="str">
        <f t="shared" si="24"/>
        <v>Michael WOUD - New Zealand</v>
      </c>
      <c r="H803" s="97" t="str">
        <f t="shared" si="25"/>
        <v>NZL22</v>
      </c>
      <c r="I803" s="97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97" t="s">
        <v>3312</v>
      </c>
      <c r="G804" s="97" t="str">
        <f t="shared" si="24"/>
        <v>Ryan THOMAS - New Zealand</v>
      </c>
      <c r="H804" s="97" t="str">
        <f t="shared" si="25"/>
        <v>NZL23</v>
      </c>
      <c r="I804" s="97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97" t="s">
        <v>3312</v>
      </c>
      <c r="G805" s="97" t="str">
        <f t="shared" si="24"/>
        <v>Callan ELLIOT - New Zealand</v>
      </c>
      <c r="H805" s="97" t="str">
        <f t="shared" si="25"/>
        <v>NZL24</v>
      </c>
      <c r="I805" s="97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97" t="s">
        <v>3312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97" t="s">
        <v>3312</v>
      </c>
      <c r="G807" s="97" t="str">
        <f t="shared" si="24"/>
        <v>Tommy SMITH - New Zealand</v>
      </c>
      <c r="H807" s="97" t="str">
        <f t="shared" si="25"/>
        <v>NZL26</v>
      </c>
      <c r="I807" s="9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99" t="s">
        <v>3338</v>
      </c>
      <c r="G808" s="99" t="str">
        <f t="shared" si="24"/>
        <v>Orjan NYLAND - Norway</v>
      </c>
      <c r="H808" s="99" t="str">
        <f t="shared" si="25"/>
        <v>NOR1</v>
      </c>
      <c r="I808" s="99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99" t="s">
        <v>3338</v>
      </c>
      <c r="G809" s="99" t="str">
        <f t="shared" si="24"/>
        <v>Morten THORSBY - Norway</v>
      </c>
      <c r="H809" s="99" t="str">
        <f t="shared" si="25"/>
        <v>NOR2</v>
      </c>
      <c r="I809" s="9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99" t="s">
        <v>3338</v>
      </c>
      <c r="G810" s="99" t="str">
        <f t="shared" si="24"/>
        <v>Kristoffer AJER - Norway</v>
      </c>
      <c r="H810" s="99" t="str">
        <f t="shared" si="25"/>
        <v>NOR3</v>
      </c>
      <c r="I810" s="99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99" t="s">
        <v>3338</v>
      </c>
      <c r="G811" s="99" t="str">
        <f t="shared" si="24"/>
        <v>Leo OSTIGARD - Norway</v>
      </c>
      <c r="H811" s="99" t="str">
        <f t="shared" si="25"/>
        <v>NOR4</v>
      </c>
      <c r="I811" s="99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99" t="s">
        <v>3338</v>
      </c>
      <c r="G812" s="99" t="str">
        <f t="shared" si="24"/>
        <v>David MOLLER WOLFE - Norway</v>
      </c>
      <c r="H812" s="99" t="str">
        <f t="shared" si="25"/>
        <v>NOR5</v>
      </c>
      <c r="I812" s="99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99" t="s">
        <v>3338</v>
      </c>
      <c r="G813" s="99" t="str">
        <f t="shared" si="24"/>
        <v>Patrick BERG - Norway</v>
      </c>
      <c r="H813" s="99" t="str">
        <f t="shared" si="25"/>
        <v>NOR6</v>
      </c>
      <c r="I813" s="99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99" t="s">
        <v>3338</v>
      </c>
      <c r="G814" s="99" t="str">
        <f t="shared" si="24"/>
        <v>Alexander SORLOTH - Norway</v>
      </c>
      <c r="H814" s="99" t="str">
        <f t="shared" si="25"/>
        <v>NOR7</v>
      </c>
      <c r="I814" s="99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99" t="s">
        <v>3338</v>
      </c>
      <c r="G815" s="99" t="str">
        <f t="shared" si="24"/>
        <v>Sander BERGE - Norway</v>
      </c>
      <c r="H815" s="99" t="str">
        <f t="shared" si="25"/>
        <v>NOR8</v>
      </c>
      <c r="I815" s="99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99" t="s">
        <v>3338</v>
      </c>
      <c r="G816" s="99" t="str">
        <f t="shared" si="24"/>
        <v>Erling HAALAND - Norway</v>
      </c>
      <c r="H816" s="99" t="str">
        <f t="shared" si="25"/>
        <v>NOR9</v>
      </c>
      <c r="I816" s="99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99" t="s">
        <v>3338</v>
      </c>
      <c r="G817" s="99" t="str">
        <f t="shared" si="24"/>
        <v>Martin ODEGAARD - Norway</v>
      </c>
      <c r="H817" s="99" t="str">
        <f t="shared" si="25"/>
        <v>NOR10</v>
      </c>
      <c r="I817" s="99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99" t="s">
        <v>3338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99" t="s">
        <v>3338</v>
      </c>
      <c r="G819" s="99" t="str">
        <f t="shared" si="24"/>
        <v>Sander TANGVIK - Norway</v>
      </c>
      <c r="H819" s="99" t="str">
        <f t="shared" si="25"/>
        <v>NOR12</v>
      </c>
      <c r="I819" s="9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99" t="s">
        <v>3338</v>
      </c>
      <c r="G820" s="99" t="str">
        <f t="shared" si="24"/>
        <v>Egil SELVIK - Norway</v>
      </c>
      <c r="H820" s="99" t="str">
        <f t="shared" si="25"/>
        <v>NOR13</v>
      </c>
      <c r="I820" s="99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99" t="s">
        <v>3338</v>
      </c>
      <c r="G821" s="99" t="str">
        <f t="shared" si="24"/>
        <v>Fredrik AURSNES - Norway</v>
      </c>
      <c r="H821" s="99" t="str">
        <f t="shared" si="25"/>
        <v>NOR14</v>
      </c>
      <c r="I821" s="99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99" t="s">
        <v>3338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99" t="s">
        <v>3338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99" t="s">
        <v>3338</v>
      </c>
      <c r="G824" s="99" t="str">
        <f t="shared" si="24"/>
        <v>Torbjorn HEGGEM - Norway</v>
      </c>
      <c r="H824" s="99" t="str">
        <f t="shared" si="25"/>
        <v>NOR17</v>
      </c>
      <c r="I824" s="99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99" t="s">
        <v>3338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99" t="s">
        <v>3338</v>
      </c>
      <c r="G826" s="99" t="str">
        <f t="shared" si="24"/>
        <v>Thelo AASGAARD - Norway</v>
      </c>
      <c r="H826" s="99" t="str">
        <f t="shared" si="25"/>
        <v>NOR19</v>
      </c>
      <c r="I826" s="99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99" t="s">
        <v>3338</v>
      </c>
      <c r="G827" s="99" t="str">
        <f t="shared" si="24"/>
        <v>Antonio NUSA - Norway</v>
      </c>
      <c r="H827" s="99" t="str">
        <f t="shared" si="25"/>
        <v>NOR20</v>
      </c>
      <c r="I827" s="99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99" t="s">
        <v>3338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99" t="s">
        <v>3338</v>
      </c>
      <c r="G829" s="99" t="str">
        <f t="shared" si="24"/>
        <v>Oscar BOBB - Norway</v>
      </c>
      <c r="H829" s="99" t="str">
        <f t="shared" si="25"/>
        <v>NOR22</v>
      </c>
      <c r="I829" s="9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99" t="s">
        <v>3338</v>
      </c>
      <c r="G830" s="99" t="str">
        <f t="shared" si="24"/>
        <v>Jens Petter HAUGE - Norway</v>
      </c>
      <c r="H830" s="99" t="str">
        <f t="shared" si="25"/>
        <v>NOR23</v>
      </c>
      <c r="I830" s="99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99" t="s">
        <v>3338</v>
      </c>
      <c r="G831" s="99" t="str">
        <f t="shared" si="24"/>
        <v>Sondre LANGAS - Norway</v>
      </c>
      <c r="H831" s="99" t="str">
        <f t="shared" si="25"/>
        <v>NOR24</v>
      </c>
      <c r="I831" s="99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99" t="s">
        <v>3338</v>
      </c>
      <c r="G832" s="99" t="str">
        <f t="shared" si="24"/>
        <v>Henrik FALCHENER - Norway</v>
      </c>
      <c r="H832" s="99" t="str">
        <f t="shared" si="25"/>
        <v>NOR25</v>
      </c>
      <c r="I832" s="99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99" t="s">
        <v>3338</v>
      </c>
      <c r="G833" s="99" t="str">
        <f t="shared" si="24"/>
        <v>Julian RYERSON - Norway</v>
      </c>
      <c r="H833" s="99" t="str">
        <f t="shared" si="25"/>
        <v>NOR26</v>
      </c>
      <c r="I833" s="99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01" t="s">
        <v>3365</v>
      </c>
      <c r="G834" s="101" t="str">
        <f t="shared" si="24"/>
        <v>Luis MEJIA - Panama</v>
      </c>
      <c r="H834" s="101" t="str">
        <f t="shared" si="25"/>
        <v>PAN1</v>
      </c>
      <c r="I834" s="101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01" t="s">
        <v>3365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01" t="s">
        <v>3365</v>
      </c>
      <c r="G836" s="101" t="str">
        <f t="shared" si="26"/>
        <v>Jose CORDOBA - Panama</v>
      </c>
      <c r="H836" s="101" t="str">
        <f t="shared" si="27"/>
        <v>PAN3</v>
      </c>
      <c r="I836" s="101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01" t="s">
        <v>3365</v>
      </c>
      <c r="G837" s="101" t="str">
        <f t="shared" si="26"/>
        <v>Fidel ESCOBAR - Panama</v>
      </c>
      <c r="H837" s="101" t="str">
        <f t="shared" si="27"/>
        <v>PAN4</v>
      </c>
      <c r="I837" s="101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01" t="s">
        <v>3365</v>
      </c>
      <c r="G838" s="101" t="str">
        <f t="shared" si="26"/>
        <v>Edgardo FARINA - Panama</v>
      </c>
      <c r="H838" s="101" t="str">
        <f t="shared" si="27"/>
        <v>PAN5</v>
      </c>
      <c r="I838" s="101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01" t="s">
        <v>3365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01" t="s">
        <v>3365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01" t="s">
        <v>3365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01" t="s">
        <v>3365</v>
      </c>
      <c r="G842" s="101" t="str">
        <f t="shared" si="26"/>
        <v>Tomas RODRIGUEZ - Panama</v>
      </c>
      <c r="H842" s="101" t="str">
        <f t="shared" si="27"/>
        <v>PAN9</v>
      </c>
      <c r="I842" s="101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01" t="s">
        <v>3365</v>
      </c>
      <c r="G843" s="101" t="str">
        <f t="shared" si="26"/>
        <v>Ismael DIAZ - Panama</v>
      </c>
      <c r="H843" s="101" t="str">
        <f t="shared" si="27"/>
        <v>PAN10</v>
      </c>
      <c r="I843" s="101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01" t="s">
        <v>3365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01" t="s">
        <v>3365</v>
      </c>
      <c r="G845" s="101" t="str">
        <f t="shared" si="26"/>
        <v>Cesar SAMUDIO - Panama</v>
      </c>
      <c r="H845" s="101" t="str">
        <f t="shared" si="27"/>
        <v>PAN12</v>
      </c>
      <c r="I845" s="101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01" t="s">
        <v>3365</v>
      </c>
      <c r="G846" s="101" t="str">
        <f t="shared" si="26"/>
        <v>Jiovany RAMOS - Panama</v>
      </c>
      <c r="H846" s="101" t="str">
        <f t="shared" si="27"/>
        <v>PAN13</v>
      </c>
      <c r="I846" s="101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01" t="s">
        <v>3365</v>
      </c>
      <c r="G847" s="101" t="str">
        <f t="shared" si="26"/>
        <v>Carlos HARVEY - Panama</v>
      </c>
      <c r="H847" s="101" t="str">
        <f t="shared" si="27"/>
        <v>PAN14</v>
      </c>
      <c r="I847" s="101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01" t="s">
        <v>3365</v>
      </c>
      <c r="G848" s="101" t="str">
        <f t="shared" si="26"/>
        <v>Eric DAVIS - Panama</v>
      </c>
      <c r="H848" s="101" t="str">
        <f t="shared" si="27"/>
        <v>PAN15</v>
      </c>
      <c r="I848" s="101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01" t="s">
        <v>3365</v>
      </c>
      <c r="G849" s="101" t="str">
        <f t="shared" si="26"/>
        <v>Andres ANDRADE - Panama</v>
      </c>
      <c r="H849" s="101" t="str">
        <f t="shared" si="27"/>
        <v>PAN16</v>
      </c>
      <c r="I849" s="101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01" t="s">
        <v>3365</v>
      </c>
      <c r="G850" s="101" t="str">
        <f t="shared" si="26"/>
        <v>Jose FAJARDO - Panama</v>
      </c>
      <c r="H850" s="101" t="str">
        <f t="shared" si="27"/>
        <v>PAN17</v>
      </c>
      <c r="I850" s="101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01" t="s">
        <v>3365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01" t="s">
        <v>3365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01" t="s">
        <v>3365</v>
      </c>
      <c r="G853" s="101" t="str">
        <f t="shared" si="26"/>
        <v>Anibal GODOY - Panama</v>
      </c>
      <c r="H853" s="101" t="str">
        <f t="shared" si="27"/>
        <v>PAN20</v>
      </c>
      <c r="I853" s="101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01" t="s">
        <v>3365</v>
      </c>
      <c r="G854" s="101" t="str">
        <f t="shared" si="26"/>
        <v>Cesar YANIS - Panama</v>
      </c>
      <c r="H854" s="101" t="str">
        <f t="shared" si="27"/>
        <v>PAN21</v>
      </c>
      <c r="I854" s="101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01" t="s">
        <v>3365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01" t="s">
        <v>3365</v>
      </c>
      <c r="G856" s="101" t="str">
        <f t="shared" si="26"/>
        <v>Amir MURILLO - Panama</v>
      </c>
      <c r="H856" s="101" t="str">
        <f t="shared" si="27"/>
        <v>PAN23</v>
      </c>
      <c r="I856" s="101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01" t="s">
        <v>3365</v>
      </c>
      <c r="G857" s="101" t="str">
        <f t="shared" si="26"/>
        <v>Azarias LONDONO - Panama</v>
      </c>
      <c r="H857" s="101" t="str">
        <f t="shared" si="27"/>
        <v>PAN24</v>
      </c>
      <c r="I857" s="101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01" t="s">
        <v>3365</v>
      </c>
      <c r="G858" s="101" t="str">
        <f t="shared" si="26"/>
        <v>Roderick MILLER - Panama</v>
      </c>
      <c r="H858" s="101" t="str">
        <f t="shared" si="27"/>
        <v>PAN25</v>
      </c>
      <c r="I858" s="101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01" t="s">
        <v>3365</v>
      </c>
      <c r="G859" s="101" t="str">
        <f t="shared" si="26"/>
        <v>Jorge GUTIERREZ - Panama</v>
      </c>
      <c r="H859" s="101" t="str">
        <f t="shared" si="27"/>
        <v>PAN26</v>
      </c>
      <c r="I859" s="101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03" t="s">
        <v>3392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03" t="s">
        <v>3392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03" t="s">
        <v>3392</v>
      </c>
      <c r="G862" s="103" t="str">
        <f t="shared" si="26"/>
        <v>Omar ALDERETE - Paraguay</v>
      </c>
      <c r="H862" s="103" t="str">
        <f t="shared" si="27"/>
        <v>PRY3</v>
      </c>
      <c r="I862" s="103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03" t="s">
        <v>3392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03" t="s">
        <v>3392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03" t="s">
        <v>3392</v>
      </c>
      <c r="G865" s="103" t="str">
        <f t="shared" si="26"/>
        <v>Junior ALONSO - Paraguay</v>
      </c>
      <c r="H865" s="103" t="str">
        <f t="shared" si="27"/>
        <v>PRY6</v>
      </c>
      <c r="I865" s="103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03" t="s">
        <v>3392</v>
      </c>
      <c r="G866" s="103" t="str">
        <f t="shared" si="26"/>
        <v>Ramon SOSA - Paraguay</v>
      </c>
      <c r="H866" s="103" t="str">
        <f t="shared" si="27"/>
        <v>PRY7</v>
      </c>
      <c r="I866" s="103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03" t="s">
        <v>3392</v>
      </c>
      <c r="G867" s="103" t="str">
        <f t="shared" si="26"/>
        <v>Diego GOMEZ - Paraguay</v>
      </c>
      <c r="H867" s="103" t="str">
        <f t="shared" si="27"/>
        <v>PRY8</v>
      </c>
      <c r="I867" s="103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03" t="s">
        <v>3392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03" t="s">
        <v>3392</v>
      </c>
      <c r="G869" s="103" t="str">
        <f t="shared" si="26"/>
        <v>Miguel ALMIRON - Paraguay</v>
      </c>
      <c r="H869" s="103" t="str">
        <f t="shared" si="27"/>
        <v>PRY10</v>
      </c>
      <c r="I869" s="103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03" t="s">
        <v>3392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03" t="s">
        <v>3392</v>
      </c>
      <c r="G871" s="103" t="str">
        <f t="shared" si="26"/>
        <v>Orlando GILL - Paraguay</v>
      </c>
      <c r="H871" s="103" t="str">
        <f t="shared" si="27"/>
        <v>PRY12</v>
      </c>
      <c r="I871" s="103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03" t="s">
        <v>3392</v>
      </c>
      <c r="G872" s="103" t="str">
        <f t="shared" si="26"/>
        <v>Jose CANALE - Paraguay</v>
      </c>
      <c r="H872" s="103" t="str">
        <f t="shared" si="27"/>
        <v>PRY13</v>
      </c>
      <c r="I872" s="103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03" t="s">
        <v>3392</v>
      </c>
      <c r="G873" s="103" t="str">
        <f t="shared" si="26"/>
        <v>Andres CUBAS - Paraguay</v>
      </c>
      <c r="H873" s="103" t="str">
        <f t="shared" si="27"/>
        <v>PRY14</v>
      </c>
      <c r="I873" s="10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03" t="s">
        <v>3392</v>
      </c>
      <c r="G874" s="103" t="str">
        <f t="shared" si="26"/>
        <v>Gustavo GOMEZ - Paraguay</v>
      </c>
      <c r="H874" s="103" t="str">
        <f t="shared" si="27"/>
        <v>PRY15</v>
      </c>
      <c r="I874" s="103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03" t="s">
        <v>3392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03" t="s">
        <v>3392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03" t="s">
        <v>3392</v>
      </c>
      <c r="G877" s="103" t="str">
        <f t="shared" si="26"/>
        <v>Alex ARCE - Paraguay</v>
      </c>
      <c r="H877" s="103" t="str">
        <f t="shared" si="27"/>
        <v>PRY18</v>
      </c>
      <c r="I877" s="103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03" t="s">
        <v>3392</v>
      </c>
      <c r="G878" s="103" t="str">
        <f t="shared" si="26"/>
        <v>Julio ENCISO - Paraguay</v>
      </c>
      <c r="H878" s="103" t="str">
        <f t="shared" si="27"/>
        <v>PRY19</v>
      </c>
      <c r="I878" s="103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03" t="s">
        <v>3392</v>
      </c>
      <c r="G879" s="103" t="str">
        <f t="shared" si="26"/>
        <v>Braian OJEDA - Paraguay</v>
      </c>
      <c r="H879" s="103" t="str">
        <f t="shared" si="27"/>
        <v>PRY20</v>
      </c>
      <c r="I879" s="103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03" t="s">
        <v>3392</v>
      </c>
      <c r="G880" s="103" t="str">
        <f t="shared" si="26"/>
        <v>Gabriel AVALOS - Paraguay</v>
      </c>
      <c r="H880" s="103" t="str">
        <f t="shared" si="27"/>
        <v>PRY21</v>
      </c>
      <c r="I880" s="103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03" t="s">
        <v>3392</v>
      </c>
      <c r="G881" s="103" t="str">
        <f t="shared" si="26"/>
        <v>Gaston OLVEIRA - Paraguay</v>
      </c>
      <c r="H881" s="103" t="str">
        <f t="shared" si="27"/>
        <v>PRY22</v>
      </c>
      <c r="I881" s="103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03" t="s">
        <v>3392</v>
      </c>
      <c r="G882" s="103" t="str">
        <f t="shared" si="26"/>
        <v>Matias GALARZA - Paraguay</v>
      </c>
      <c r="H882" s="103" t="str">
        <f t="shared" si="27"/>
        <v>PRY23</v>
      </c>
      <c r="I882" s="103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03" t="s">
        <v>3392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03" t="s">
        <v>3392</v>
      </c>
      <c r="G884" s="103" t="str">
        <f t="shared" si="26"/>
        <v>Isidro PITTA - Paraguay</v>
      </c>
      <c r="H884" s="103" t="str">
        <f t="shared" si="27"/>
        <v>PRY25</v>
      </c>
      <c r="I884" s="103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03" t="s">
        <v>3392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05" t="s">
        <v>3419</v>
      </c>
      <c r="G886" s="105" t="str">
        <f t="shared" si="26"/>
        <v>Diogo COSTA - Portugal</v>
      </c>
      <c r="H886" s="105" t="str">
        <f t="shared" si="27"/>
        <v>PRT1</v>
      </c>
      <c r="I886" s="105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05" t="s">
        <v>3419</v>
      </c>
      <c r="G887" s="105" t="str">
        <f t="shared" si="26"/>
        <v>Nelson SEMEDO - Portugal</v>
      </c>
      <c r="H887" s="105" t="str">
        <f t="shared" si="27"/>
        <v>PRT2</v>
      </c>
      <c r="I887" s="105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05" t="s">
        <v>3419</v>
      </c>
      <c r="G888" s="105" t="str">
        <f t="shared" si="26"/>
        <v>Ruben DIAS - Portugal</v>
      </c>
      <c r="H888" s="105" t="str">
        <f t="shared" si="27"/>
        <v>PRT3</v>
      </c>
      <c r="I888" s="105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05" t="s">
        <v>3419</v>
      </c>
      <c r="G889" s="105" t="str">
        <f t="shared" si="26"/>
        <v>Tomas ARAUJO - Portugal</v>
      </c>
      <c r="H889" s="105" t="str">
        <f t="shared" si="27"/>
        <v>PRT4</v>
      </c>
      <c r="I889" s="105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05" t="s">
        <v>3419</v>
      </c>
      <c r="G890" s="105" t="str">
        <f t="shared" si="26"/>
        <v>Diogo DALOT - Portugal</v>
      </c>
      <c r="H890" s="105" t="str">
        <f t="shared" si="27"/>
        <v>PRT5</v>
      </c>
      <c r="I890" s="105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05" t="s">
        <v>3419</v>
      </c>
      <c r="G891" s="105" t="str">
        <f t="shared" si="26"/>
        <v>Matheus NUNES - Portugal</v>
      </c>
      <c r="H891" s="105" t="str">
        <f t="shared" si="27"/>
        <v>PRT6</v>
      </c>
      <c r="I891" s="105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05" t="s">
        <v>3419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05" t="s">
        <v>3419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05" t="s">
        <v>3419</v>
      </c>
      <c r="G894" s="105" t="str">
        <f t="shared" si="26"/>
        <v>Goncalo RAMOS - Portugal</v>
      </c>
      <c r="H894" s="105" t="str">
        <f t="shared" si="27"/>
        <v>PRT9</v>
      </c>
      <c r="I894" s="105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05" t="s">
        <v>3419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05" t="s">
        <v>3419</v>
      </c>
      <c r="G896" s="105" t="str">
        <f t="shared" si="26"/>
        <v>Joao FELIX - Portugal</v>
      </c>
      <c r="H896" s="105" t="str">
        <f t="shared" si="27"/>
        <v>PRT11</v>
      </c>
      <c r="I896" s="105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05" t="s">
        <v>3419</v>
      </c>
      <c r="G897" s="105" t="str">
        <f t="shared" si="26"/>
        <v>Jose SA - Portugal</v>
      </c>
      <c r="H897" s="105" t="str">
        <f t="shared" si="27"/>
        <v>PRT12</v>
      </c>
      <c r="I897" s="105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05" t="s">
        <v>3419</v>
      </c>
      <c r="G898" s="105" t="str">
        <f t="shared" si="26"/>
        <v>Renato VEIGA - Portugal</v>
      </c>
      <c r="H898" s="105" t="str">
        <f t="shared" si="27"/>
        <v>PRT13</v>
      </c>
      <c r="I898" s="105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05" t="s">
        <v>3419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05" t="s">
        <v>3419</v>
      </c>
      <c r="G900" s="105" t="str">
        <f t="shared" si="28"/>
        <v>Joao NEVES - Portugal</v>
      </c>
      <c r="H900" s="105" t="str">
        <f t="shared" si="29"/>
        <v>PRT15</v>
      </c>
      <c r="I900" s="105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05" t="s">
        <v>3419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05" t="s">
        <v>3419</v>
      </c>
      <c r="G902" s="105" t="str">
        <f t="shared" si="28"/>
        <v>Rafael LEAO - Portugal</v>
      </c>
      <c r="H902" s="105" t="str">
        <f t="shared" si="29"/>
        <v>PRT17</v>
      </c>
      <c r="I902" s="105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05" t="s">
        <v>3419</v>
      </c>
      <c r="G903" s="105" t="str">
        <f t="shared" si="28"/>
        <v>Pedro NETO - Portugal</v>
      </c>
      <c r="H903" s="105" t="str">
        <f t="shared" si="29"/>
        <v>PRT18</v>
      </c>
      <c r="I903" s="105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05" t="s">
        <v>3419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05" t="s">
        <v>3419</v>
      </c>
      <c r="G905" s="105" t="str">
        <f t="shared" si="28"/>
        <v>Joao CANCELO - Portugal</v>
      </c>
      <c r="H905" s="105" t="str">
        <f t="shared" si="29"/>
        <v>PRT20</v>
      </c>
      <c r="I905" s="1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05" t="s">
        <v>3419</v>
      </c>
      <c r="G906" s="105" t="str">
        <f t="shared" si="28"/>
        <v>Ruben NEVES - Portugal</v>
      </c>
      <c r="H906" s="105" t="str">
        <f t="shared" si="29"/>
        <v>PRT21</v>
      </c>
      <c r="I906" s="105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05" t="s">
        <v>3419</v>
      </c>
      <c r="G907" s="105" t="str">
        <f t="shared" si="28"/>
        <v>Rui SILVA - Portugal</v>
      </c>
      <c r="H907" s="105" t="str">
        <f t="shared" si="29"/>
        <v>PRT22</v>
      </c>
      <c r="I907" s="105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05" t="s">
        <v>3419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05" t="s">
        <v>3419</v>
      </c>
      <c r="G909" s="105" t="str">
        <f t="shared" si="28"/>
        <v>Samu COSTA - Portugal</v>
      </c>
      <c r="H909" s="105" t="str">
        <f t="shared" si="29"/>
        <v>PRT24</v>
      </c>
      <c r="I909" s="105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05" t="s">
        <v>3419</v>
      </c>
      <c r="G910" s="105" t="str">
        <f t="shared" si="28"/>
        <v>Nuno MENDES - Portugal</v>
      </c>
      <c r="H910" s="105" t="str">
        <f t="shared" si="29"/>
        <v>PRT25</v>
      </c>
      <c r="I910" s="105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05" t="s">
        <v>3419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63" t="s">
        <v>3446</v>
      </c>
      <c r="G912" s="63" t="str">
        <f t="shared" si="28"/>
        <v>Mahmoud ABUNADA - Qatar</v>
      </c>
      <c r="H912" s="63" t="str">
        <f t="shared" si="29"/>
        <v>QAT1</v>
      </c>
      <c r="I912" s="63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63" t="s">
        <v>3446</v>
      </c>
      <c r="G913" s="63" t="str">
        <f t="shared" si="28"/>
        <v>Pedro MIGUEL - Qatar</v>
      </c>
      <c r="H913" s="63" t="str">
        <f t="shared" si="29"/>
        <v>QAT2</v>
      </c>
      <c r="I913" s="6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63" t="s">
        <v>3446</v>
      </c>
      <c r="G914" s="63" t="str">
        <f t="shared" si="28"/>
        <v>Lucas MENDES - Qatar</v>
      </c>
      <c r="H914" s="63" t="str">
        <f t="shared" si="29"/>
        <v>QAT3</v>
      </c>
      <c r="I914" s="63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63" t="s">
        <v>3446</v>
      </c>
      <c r="G915" s="63" t="str">
        <f t="shared" si="28"/>
        <v>Issa Laye GUEYE - Qatar</v>
      </c>
      <c r="H915" s="63" t="str">
        <f t="shared" si="29"/>
        <v>QAT4</v>
      </c>
      <c r="I915" s="63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63" t="s">
        <v>3446</v>
      </c>
      <c r="G916" s="63" t="str">
        <f t="shared" si="28"/>
        <v>Jassem GABER - Qatar</v>
      </c>
      <c r="H916" s="63" t="str">
        <f t="shared" si="29"/>
        <v>QAT5</v>
      </c>
      <c r="I916" s="63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63" t="s">
        <v>3446</v>
      </c>
      <c r="G917" s="63" t="str">
        <f t="shared" si="28"/>
        <v>Abdulaziz HATEM - Qatar</v>
      </c>
      <c r="H917" s="63" t="str">
        <f t="shared" si="29"/>
        <v>QAT6</v>
      </c>
      <c r="I917" s="63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63" t="s">
        <v>3446</v>
      </c>
      <c r="G918" s="63" t="str">
        <f t="shared" si="28"/>
        <v>Ahmed ALAAELDIN - Qatar</v>
      </c>
      <c r="H918" s="63" t="str">
        <f t="shared" si="29"/>
        <v>QAT7</v>
      </c>
      <c r="I918" s="63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63" t="s">
        <v>3446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63" t="s">
        <v>3446</v>
      </c>
      <c r="G920" s="63" t="str">
        <f t="shared" si="28"/>
        <v>Mohammed MUNTARI - Qatar</v>
      </c>
      <c r="H920" s="63" t="str">
        <f t="shared" si="29"/>
        <v>QAT9</v>
      </c>
      <c r="I920" s="63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63" t="s">
        <v>3446</v>
      </c>
      <c r="G921" s="63" t="str">
        <f t="shared" si="28"/>
        <v>Hassan ALHAYDOS - Qatar</v>
      </c>
      <c r="H921" s="63" t="str">
        <f t="shared" si="29"/>
        <v>QAT10</v>
      </c>
      <c r="I921" s="63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63" t="s">
        <v>3446</v>
      </c>
      <c r="G922" s="63" t="str">
        <f t="shared" si="28"/>
        <v>Akram AFIF - Qatar</v>
      </c>
      <c r="H922" s="63" t="str">
        <f t="shared" si="29"/>
        <v>QAT11</v>
      </c>
      <c r="I922" s="63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63" t="s">
        <v>3446</v>
      </c>
      <c r="G923" s="63" t="str">
        <f t="shared" si="28"/>
        <v>Karim BOUDIAF - Qatar</v>
      </c>
      <c r="H923" s="63" t="str">
        <f t="shared" si="29"/>
        <v>QAT12</v>
      </c>
      <c r="I923" s="6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63" t="s">
        <v>3446</v>
      </c>
      <c r="G924" s="63" t="str">
        <f t="shared" si="28"/>
        <v>Ayoub ALOUI - Qatar</v>
      </c>
      <c r="H924" s="63" t="str">
        <f t="shared" si="29"/>
        <v>QAT13</v>
      </c>
      <c r="I924" s="63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63" t="s">
        <v>3446</v>
      </c>
      <c r="G925" s="63" t="str">
        <f t="shared" si="28"/>
        <v>Homam AHMED - Qatar</v>
      </c>
      <c r="H925" s="63" t="str">
        <f t="shared" si="29"/>
        <v>QAT14</v>
      </c>
      <c r="I925" s="63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63" t="s">
        <v>3446</v>
      </c>
      <c r="G926" s="63" t="str">
        <f t="shared" si="28"/>
        <v>Yusuf ABDURISAG - Qatar</v>
      </c>
      <c r="H926" s="63" t="str">
        <f t="shared" si="29"/>
        <v>QAT15</v>
      </c>
      <c r="I926" s="63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63" t="s">
        <v>3446</v>
      </c>
      <c r="G927" s="63" t="str">
        <f t="shared" si="28"/>
        <v>Boualem KHOUKHI - Qatar</v>
      </c>
      <c r="H927" s="63" t="str">
        <f t="shared" si="29"/>
        <v>QAT16</v>
      </c>
      <c r="I927" s="63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63" t="s">
        <v>3446</v>
      </c>
      <c r="G928" s="63" t="str">
        <f t="shared" si="28"/>
        <v>Ahmed ALGANEHI - Qatar</v>
      </c>
      <c r="H928" s="63" t="str">
        <f t="shared" si="29"/>
        <v>QAT17</v>
      </c>
      <c r="I928" s="63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63" t="s">
        <v>3446</v>
      </c>
      <c r="G929" s="63" t="str">
        <f t="shared" si="28"/>
        <v>Sultan ALBRAKE - Qatar</v>
      </c>
      <c r="H929" s="63" t="str">
        <f t="shared" si="29"/>
        <v>QAT18</v>
      </c>
      <c r="I929" s="63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63" t="s">
        <v>3446</v>
      </c>
      <c r="G930" s="63" t="str">
        <f t="shared" si="28"/>
        <v>Almoez ALI - Qatar</v>
      </c>
      <c r="H930" s="63" t="str">
        <f t="shared" si="29"/>
        <v>QAT19</v>
      </c>
      <c r="I930" s="63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63" t="s">
        <v>3446</v>
      </c>
      <c r="G931" s="63" t="str">
        <f t="shared" si="28"/>
        <v>Ahmed FATHY - Qatar</v>
      </c>
      <c r="H931" s="63" t="str">
        <f t="shared" si="29"/>
        <v>QAT20</v>
      </c>
      <c r="I931" s="63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63" t="s">
        <v>3446</v>
      </c>
      <c r="G932" s="63" t="str">
        <f t="shared" si="28"/>
        <v>Salah ZAKARIA - Qatar</v>
      </c>
      <c r="H932" s="63" t="str">
        <f t="shared" si="29"/>
        <v>QAT21</v>
      </c>
      <c r="I932" s="63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63" t="s">
        <v>3446</v>
      </c>
      <c r="G933" s="63" t="str">
        <f t="shared" si="28"/>
        <v>Meshaal BARSHAM - Qatar</v>
      </c>
      <c r="H933" s="63" t="str">
        <f t="shared" si="29"/>
        <v>QAT22</v>
      </c>
      <c r="I933" s="6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63" t="s">
        <v>3446</v>
      </c>
      <c r="G934" s="63" t="str">
        <f t="shared" si="28"/>
        <v>Assim MADIBO - Qatar</v>
      </c>
      <c r="H934" s="63" t="str">
        <f t="shared" si="29"/>
        <v>QAT23</v>
      </c>
      <c r="I934" s="63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63" t="s">
        <v>3446</v>
      </c>
      <c r="G935" s="63" t="str">
        <f t="shared" si="28"/>
        <v>Tahsin JAMSHID - Qatar</v>
      </c>
      <c r="H935" s="63" t="str">
        <f t="shared" si="29"/>
        <v>QAT24</v>
      </c>
      <c r="I935" s="63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63" t="s">
        <v>3446</v>
      </c>
      <c r="G936" s="63" t="str">
        <f t="shared" si="28"/>
        <v>Alhashmi ALHUSSEIN - Qatar</v>
      </c>
      <c r="H936" s="63" t="str">
        <f t="shared" si="29"/>
        <v>QAT25</v>
      </c>
      <c r="I936" s="63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63" t="s">
        <v>3446</v>
      </c>
      <c r="G937" s="63" t="str">
        <f t="shared" si="28"/>
        <v>Mohamed MANAI - Qatar</v>
      </c>
      <c r="H937" s="63" t="str">
        <f t="shared" si="29"/>
        <v>QAT26</v>
      </c>
      <c r="I937" s="63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07" t="s">
        <v>3473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07" t="s">
        <v>3473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07" t="s">
        <v>3473</v>
      </c>
      <c r="G940" s="107" t="str">
        <f t="shared" si="28"/>
        <v>Ali LAJAMI - Saudi Arabia</v>
      </c>
      <c r="H940" s="107" t="str">
        <f t="shared" si="29"/>
        <v>SAU3</v>
      </c>
      <c r="I940" s="107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07" t="s">
        <v>3473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07" t="s">
        <v>3473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07" t="s">
        <v>3473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07" t="s">
        <v>3473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07" t="s">
        <v>3473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07" t="s">
        <v>3473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07" t="s">
        <v>3473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07" t="s">
        <v>3473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07" t="s">
        <v>3473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07" t="s">
        <v>3473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07" t="s">
        <v>3473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07" t="s">
        <v>3473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07" t="s">
        <v>3473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07" t="s">
        <v>3473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07" t="s">
        <v>3473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07" t="s">
        <v>3473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07" t="s">
        <v>3473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07" t="s">
        <v>3473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07" t="s">
        <v>3473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07" t="s">
        <v>3473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07" t="s">
        <v>3473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07" t="s">
        <v>3473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07" t="s">
        <v>3473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61" t="s">
        <v>3500</v>
      </c>
      <c r="G964" s="61" t="str">
        <f t="shared" si="30"/>
        <v>Angus GUNN - Scotland</v>
      </c>
      <c r="H964" s="61" t="str">
        <f t="shared" si="31"/>
        <v>SCO1</v>
      </c>
      <c r="I964" s="61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61" t="s">
        <v>3500</v>
      </c>
      <c r="G965" s="61" t="str">
        <f t="shared" si="30"/>
        <v>Aaron HICKEY - Scotland</v>
      </c>
      <c r="H965" s="61" t="str">
        <f t="shared" si="31"/>
        <v>SCO2</v>
      </c>
      <c r="I965" s="61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61" t="s">
        <v>3500</v>
      </c>
      <c r="G966" s="61" t="str">
        <f t="shared" si="30"/>
        <v>Andy ROBERTSON - Scotland</v>
      </c>
      <c r="H966" s="61" t="str">
        <f t="shared" si="31"/>
        <v>SCO3</v>
      </c>
      <c r="I966" s="61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61" t="s">
        <v>3500</v>
      </c>
      <c r="G967" s="61" t="str">
        <f t="shared" si="30"/>
        <v>Scott McTOMINAY - Scotland</v>
      </c>
      <c r="H967" s="61" t="str">
        <f t="shared" si="31"/>
        <v>SCO4</v>
      </c>
      <c r="I967" s="61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61" t="s">
        <v>3500</v>
      </c>
      <c r="G968" s="61" t="str">
        <f t="shared" si="30"/>
        <v>Grant HANLEY - Scotland</v>
      </c>
      <c r="H968" s="61" t="str">
        <f t="shared" si="31"/>
        <v>SCO5</v>
      </c>
      <c r="I968" s="61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61" t="s">
        <v>3500</v>
      </c>
      <c r="G969" s="61" t="str">
        <f t="shared" si="30"/>
        <v>Kieran TIERNEY - Scotland</v>
      </c>
      <c r="H969" s="61" t="str">
        <f t="shared" si="31"/>
        <v>SCO6</v>
      </c>
      <c r="I969" s="61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61" t="s">
        <v>3500</v>
      </c>
      <c r="G970" s="61" t="str">
        <f t="shared" si="30"/>
        <v>John McGINN - Scotland</v>
      </c>
      <c r="H970" s="61" t="str">
        <f t="shared" si="31"/>
        <v>SCO7</v>
      </c>
      <c r="I970" s="61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61" t="s">
        <v>3500</v>
      </c>
      <c r="G971" s="61" t="str">
        <f t="shared" si="30"/>
        <v>Tyler FLETCHER - Scotland</v>
      </c>
      <c r="H971" s="61" t="str">
        <f t="shared" si="31"/>
        <v>SCO8</v>
      </c>
      <c r="I971" s="6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61" t="s">
        <v>3500</v>
      </c>
      <c r="G972" s="61" t="str">
        <f t="shared" si="30"/>
        <v>Lyndon DYKES - Scotland</v>
      </c>
      <c r="H972" s="61" t="str">
        <f t="shared" si="31"/>
        <v>SCO9</v>
      </c>
      <c r="I972" s="61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61" t="s">
        <v>3500</v>
      </c>
      <c r="G973" s="61" t="str">
        <f t="shared" si="30"/>
        <v>Che ADAMS - Scotland</v>
      </c>
      <c r="H973" s="61" t="str">
        <f t="shared" si="31"/>
        <v>SCO10</v>
      </c>
      <c r="I973" s="61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61" t="s">
        <v>3500</v>
      </c>
      <c r="G974" s="61" t="str">
        <f t="shared" si="30"/>
        <v>Ryan CHRISTIE - Scotland</v>
      </c>
      <c r="H974" s="61" t="str">
        <f t="shared" si="31"/>
        <v>SCO11</v>
      </c>
      <c r="I974" s="61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61" t="s">
        <v>3500</v>
      </c>
      <c r="G975" s="61" t="str">
        <f t="shared" si="30"/>
        <v>Liam KELLY - Scotland</v>
      </c>
      <c r="H975" s="61" t="str">
        <f t="shared" si="31"/>
        <v>SCO12</v>
      </c>
      <c r="I975" s="61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61" t="s">
        <v>3500</v>
      </c>
      <c r="G976" s="61" t="str">
        <f t="shared" si="30"/>
        <v>Jack HENDRY - Scotland</v>
      </c>
      <c r="H976" s="61" t="str">
        <f t="shared" si="31"/>
        <v>SCO13</v>
      </c>
      <c r="I976" s="61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61" t="s">
        <v>3500</v>
      </c>
      <c r="G977" s="61" t="str">
        <f t="shared" si="30"/>
        <v>Ross STEWART - Scotland</v>
      </c>
      <c r="H977" s="61" t="str">
        <f t="shared" si="31"/>
        <v>SCO14</v>
      </c>
      <c r="I977" s="61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61" t="s">
        <v>3500</v>
      </c>
      <c r="G978" s="61" t="str">
        <f t="shared" si="30"/>
        <v>John SOUTTAR - Scotland</v>
      </c>
      <c r="H978" s="61" t="str">
        <f t="shared" si="31"/>
        <v>SCO15</v>
      </c>
      <c r="I978" s="61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61" t="s">
        <v>3500</v>
      </c>
      <c r="G979" s="61" t="str">
        <f t="shared" si="30"/>
        <v>Dominic HYAM - Scotland</v>
      </c>
      <c r="H979" s="61" t="str">
        <f t="shared" si="31"/>
        <v>SCO16</v>
      </c>
      <c r="I979" s="61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61" t="s">
        <v>3500</v>
      </c>
      <c r="G980" s="61" t="str">
        <f t="shared" si="30"/>
        <v>Ben GANNON-DOAK - Scotland</v>
      </c>
      <c r="H980" s="61" t="str">
        <f t="shared" si="31"/>
        <v>SCO17</v>
      </c>
      <c r="I980" s="61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61" t="s">
        <v>3500</v>
      </c>
      <c r="G981" s="61" t="str">
        <f t="shared" si="30"/>
        <v>George HIRST - Scotland</v>
      </c>
      <c r="H981" s="61" t="str">
        <f t="shared" si="31"/>
        <v>SCO18</v>
      </c>
      <c r="I981" s="6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61" t="s">
        <v>3500</v>
      </c>
      <c r="G982" s="61" t="str">
        <f t="shared" si="30"/>
        <v>Lewis FERGUSON - Scotland</v>
      </c>
      <c r="H982" s="61" t="str">
        <f t="shared" si="31"/>
        <v>SCO19</v>
      </c>
      <c r="I982" s="61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61" t="s">
        <v>3500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61" t="s">
        <v>3500</v>
      </c>
      <c r="G984" s="61" t="str">
        <f t="shared" si="30"/>
        <v>Craig GORDON - Scotland</v>
      </c>
      <c r="H984" s="61" t="str">
        <f t="shared" si="31"/>
        <v>SCO21</v>
      </c>
      <c r="I984" s="61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61" t="s">
        <v>3500</v>
      </c>
      <c r="G985" s="61" t="str">
        <f t="shared" si="30"/>
        <v>Nathan PATTERSON - Scotland</v>
      </c>
      <c r="H985" s="61" t="str">
        <f t="shared" si="31"/>
        <v>SCO22</v>
      </c>
      <c r="I985" s="61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61" t="s">
        <v>3500</v>
      </c>
      <c r="G986" s="61" t="str">
        <f t="shared" si="30"/>
        <v>Kenny McLEAN - Scotland</v>
      </c>
      <c r="H986" s="61" t="str">
        <f t="shared" si="31"/>
        <v>SCO23</v>
      </c>
      <c r="I986" s="61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61" t="s">
        <v>3500</v>
      </c>
      <c r="G987" s="61" t="str">
        <f t="shared" si="30"/>
        <v>Anthony RALSTON - Scotland</v>
      </c>
      <c r="H987" s="61" t="str">
        <f t="shared" si="31"/>
        <v>SCO24</v>
      </c>
      <c r="I987" s="61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61" t="s">
        <v>3500</v>
      </c>
      <c r="G988" s="61" t="str">
        <f t="shared" si="30"/>
        <v>Findlay CURTIS - Scotland</v>
      </c>
      <c r="H988" s="61" t="str">
        <f t="shared" si="31"/>
        <v>SCO25</v>
      </c>
      <c r="I988" s="61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61" t="s">
        <v>3500</v>
      </c>
      <c r="G989" s="61" t="str">
        <f t="shared" si="30"/>
        <v>Scott McKENNA - Scotland</v>
      </c>
      <c r="H989" s="61" t="str">
        <f t="shared" si="31"/>
        <v>SCO26</v>
      </c>
      <c r="I989" s="61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09" t="s">
        <v>3527</v>
      </c>
      <c r="G990" s="109" t="str">
        <f t="shared" si="30"/>
        <v>Yehvann DIOUF - Senegal</v>
      </c>
      <c r="H990" s="109" t="str">
        <f t="shared" si="31"/>
        <v>SEN1</v>
      </c>
      <c r="I990" s="109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09" t="s">
        <v>3527</v>
      </c>
      <c r="G991" s="109" t="str">
        <f t="shared" si="30"/>
        <v>Mamadou SARR - Senegal</v>
      </c>
      <c r="H991" s="109" t="str">
        <f t="shared" si="31"/>
        <v>SEN2</v>
      </c>
      <c r="I991" s="109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09" t="s">
        <v>3527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09" t="s">
        <v>3527</v>
      </c>
      <c r="G993" s="109" t="str">
        <f t="shared" si="30"/>
        <v>Abdoulaye SECK - Senegal</v>
      </c>
      <c r="H993" s="109" t="str">
        <f t="shared" si="31"/>
        <v>SEN4</v>
      </c>
      <c r="I993" s="109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09" t="s">
        <v>3527</v>
      </c>
      <c r="G994" s="109" t="str">
        <f t="shared" si="30"/>
        <v>Idrissa GUEYE - Senegal</v>
      </c>
      <c r="H994" s="109" t="str">
        <f t="shared" si="31"/>
        <v>SEN5</v>
      </c>
      <c r="I994" s="109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09" t="s">
        <v>3527</v>
      </c>
      <c r="G995" s="109" t="str">
        <f t="shared" si="30"/>
        <v>Pathe CISS - Senegal</v>
      </c>
      <c r="H995" s="109" t="str">
        <f t="shared" si="31"/>
        <v>SEN6</v>
      </c>
      <c r="I995" s="109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09" t="s">
        <v>3527</v>
      </c>
      <c r="G996" s="109" t="str">
        <f t="shared" si="30"/>
        <v>Assane DIAO - Senegal</v>
      </c>
      <c r="H996" s="109" t="str">
        <f t="shared" si="31"/>
        <v>SEN7</v>
      </c>
      <c r="I996" s="109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09" t="s">
        <v>3527</v>
      </c>
      <c r="G997" s="109" t="str">
        <f t="shared" si="30"/>
        <v>Lamine CAMARA - Senegal</v>
      </c>
      <c r="H997" s="109" t="str">
        <f t="shared" si="31"/>
        <v>SEN8</v>
      </c>
      <c r="I997" s="109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09" t="s">
        <v>3527</v>
      </c>
      <c r="G998" s="109" t="str">
        <f t="shared" si="30"/>
        <v>Bamba DIENG - Senegal</v>
      </c>
      <c r="H998" s="109" t="str">
        <f t="shared" si="31"/>
        <v>SEN9</v>
      </c>
      <c r="I998" s="109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09" t="s">
        <v>3527</v>
      </c>
      <c r="G999" s="109" t="str">
        <f t="shared" si="30"/>
        <v>Sadio MANE - Senegal</v>
      </c>
      <c r="H999" s="109" t="str">
        <f t="shared" si="31"/>
        <v>SEN10</v>
      </c>
      <c r="I999" s="10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09" t="s">
        <v>3527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09" t="s">
        <v>3527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09" t="s">
        <v>3527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09" t="s">
        <v>3527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09" t="s">
        <v>3527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09" t="s">
        <v>3527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09" t="s">
        <v>3527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09" t="s">
        <v>3527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09" t="s">
        <v>3527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09" t="s">
        <v>3527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09" t="s">
        <v>3527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09" t="s">
        <v>3527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09" t="s">
        <v>3527</v>
      </c>
      <c r="G1012" s="109" t="str">
        <f t="shared" si="30"/>
        <v>Mory DIAW - Senegal</v>
      </c>
      <c r="H1012" s="109" t="str">
        <f t="shared" si="31"/>
        <v>SEN23</v>
      </c>
      <c r="I1012" s="109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09" t="s">
        <v>3527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09" t="s">
        <v>3527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09" t="s">
        <v>3527</v>
      </c>
      <c r="G1015" s="109" t="str">
        <f t="shared" si="30"/>
        <v>Pape GUEYE - Senegal</v>
      </c>
      <c r="H1015" s="109" t="str">
        <f t="shared" si="31"/>
        <v>SEN26</v>
      </c>
      <c r="I1015" s="109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11" t="s">
        <v>3554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11" t="s">
        <v>3554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11" t="s">
        <v>3554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11" t="s">
        <v>3554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11" t="s">
        <v>3554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11" t="s">
        <v>3554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11" t="s">
        <v>3554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11" t="s">
        <v>3554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11" t="s">
        <v>3554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11" t="s">
        <v>3554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11" t="s">
        <v>3554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11" t="s">
        <v>3554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11" t="s">
        <v>3554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11" t="s">
        <v>3554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11" t="s">
        <v>3554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11" t="s">
        <v>3554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11" t="s">
        <v>3554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11" t="s">
        <v>3554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11" t="s">
        <v>3554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11" t="s">
        <v>3554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11" t="s">
        <v>3554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11" t="s">
        <v>3554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11" t="s">
        <v>3554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11" t="s">
        <v>3554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11" t="s">
        <v>3554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11" t="s">
        <v>3554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13" t="s">
        <v>3581</v>
      </c>
      <c r="G1042" s="113" t="str">
        <f t="shared" si="32"/>
        <v>David RAYA - Spain</v>
      </c>
      <c r="H1042" s="113" t="str">
        <f t="shared" si="33"/>
        <v>ESP1</v>
      </c>
      <c r="I1042" s="113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13" t="s">
        <v>3581</v>
      </c>
      <c r="G1043" s="113" t="str">
        <f t="shared" si="32"/>
        <v>Marc PUBILL - Spain</v>
      </c>
      <c r="H1043" s="113" t="str">
        <f t="shared" si="33"/>
        <v>ESP2</v>
      </c>
      <c r="I1043" s="11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13" t="s">
        <v>3581</v>
      </c>
      <c r="G1044" s="113" t="str">
        <f t="shared" si="32"/>
        <v>Alex GRIMALDO - Spain</v>
      </c>
      <c r="H1044" s="113" t="str">
        <f t="shared" si="33"/>
        <v>ESP3</v>
      </c>
      <c r="I1044" s="113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13" t="s">
        <v>3581</v>
      </c>
      <c r="G1045" s="113" t="str">
        <f t="shared" si="32"/>
        <v>Eric GARCIA - Spain</v>
      </c>
      <c r="H1045" s="113" t="str">
        <f t="shared" si="33"/>
        <v>ESP4</v>
      </c>
      <c r="I1045" s="113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13" t="s">
        <v>3581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13" t="s">
        <v>3581</v>
      </c>
      <c r="G1047" s="113" t="str">
        <f t="shared" si="32"/>
        <v>Mikel MERINO - Spain</v>
      </c>
      <c r="H1047" s="113" t="str">
        <f t="shared" si="33"/>
        <v>ESP6</v>
      </c>
      <c r="I1047" s="113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13" t="s">
        <v>3581</v>
      </c>
      <c r="G1048" s="113" t="str">
        <f t="shared" si="32"/>
        <v>Ferran TORRES - Spain</v>
      </c>
      <c r="H1048" s="113" t="str">
        <f t="shared" si="33"/>
        <v>ESP7</v>
      </c>
      <c r="I1048" s="113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13" t="s">
        <v>3581</v>
      </c>
      <c r="G1049" s="113" t="str">
        <f t="shared" si="32"/>
        <v>Fabian RUIZ - Spain</v>
      </c>
      <c r="H1049" s="113" t="str">
        <f t="shared" si="33"/>
        <v>ESP8</v>
      </c>
      <c r="I1049" s="113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13" t="s">
        <v>3581</v>
      </c>
      <c r="G1050" s="113" t="str">
        <f t="shared" si="32"/>
        <v>Gavi GAVI - Spain</v>
      </c>
      <c r="H1050" s="113" t="str">
        <f t="shared" si="33"/>
        <v>ESP9</v>
      </c>
      <c r="I1050" s="113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13" t="s">
        <v>3581</v>
      </c>
      <c r="G1051" s="113" t="str">
        <f t="shared" si="32"/>
        <v>Dani OLMO - Spain</v>
      </c>
      <c r="H1051" s="113" t="str">
        <f t="shared" si="33"/>
        <v>ESP10</v>
      </c>
      <c r="I1051" s="113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13" t="s">
        <v>3581</v>
      </c>
      <c r="G1052" s="113" t="str">
        <f t="shared" si="32"/>
        <v>Yeremy PINO - Spain</v>
      </c>
      <c r="H1052" s="113" t="str">
        <f t="shared" si="33"/>
        <v>ESP11</v>
      </c>
      <c r="I1052" s="113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13" t="s">
        <v>3581</v>
      </c>
      <c r="G1053" s="113" t="str">
        <f t="shared" si="32"/>
        <v>Pedro PORRO - Spain</v>
      </c>
      <c r="H1053" s="113" t="str">
        <f t="shared" si="33"/>
        <v>ESP12</v>
      </c>
      <c r="I1053" s="11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13" t="s">
        <v>3581</v>
      </c>
      <c r="G1054" s="113" t="str">
        <f t="shared" si="32"/>
        <v>Joan GARCIA - Spain</v>
      </c>
      <c r="H1054" s="113" t="str">
        <f t="shared" si="33"/>
        <v>ESP13</v>
      </c>
      <c r="I1054" s="113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13" t="s">
        <v>3581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13" t="s">
        <v>3581</v>
      </c>
      <c r="G1056" s="113" t="str">
        <f t="shared" si="32"/>
        <v>Alex BAENA - Spain</v>
      </c>
      <c r="H1056" s="113" t="str">
        <f t="shared" si="33"/>
        <v>ESP15</v>
      </c>
      <c r="I1056" s="113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13" t="s">
        <v>3581</v>
      </c>
      <c r="G1057" s="113" t="str">
        <f t="shared" si="32"/>
        <v>Rodri RODRI - Spain</v>
      </c>
      <c r="H1057" s="113" t="str">
        <f t="shared" si="33"/>
        <v>ESP16</v>
      </c>
      <c r="I1057" s="113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13" t="s">
        <v>3581</v>
      </c>
      <c r="G1058" s="113" t="str">
        <f t="shared" si="32"/>
        <v>Nico WILLIAMS - Spain</v>
      </c>
      <c r="H1058" s="113" t="str">
        <f t="shared" si="33"/>
        <v>ESP17</v>
      </c>
      <c r="I1058" s="113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13" t="s">
        <v>3581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13" t="s">
        <v>3581</v>
      </c>
      <c r="G1060" s="113" t="str">
        <f t="shared" si="32"/>
        <v>Lamine YAMAL - Spain</v>
      </c>
      <c r="H1060" s="113" t="str">
        <f t="shared" si="33"/>
        <v>ESP19</v>
      </c>
      <c r="I1060" s="113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13" t="s">
        <v>3581</v>
      </c>
      <c r="G1061" s="113" t="str">
        <f t="shared" si="32"/>
        <v>Pedri PEDRI - Spain</v>
      </c>
      <c r="H1061" s="113" t="str">
        <f t="shared" si="33"/>
        <v>ESP20</v>
      </c>
      <c r="I1061" s="113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13" t="s">
        <v>3581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13" t="s">
        <v>3581</v>
      </c>
      <c r="G1063" s="113" t="str">
        <f t="shared" si="32"/>
        <v>Pau CUBARSI - Spain</v>
      </c>
      <c r="H1063" s="113" t="str">
        <f t="shared" si="33"/>
        <v>ESP22</v>
      </c>
      <c r="I1063" s="11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13" t="s">
        <v>3581</v>
      </c>
      <c r="G1064" s="113" t="str">
        <f t="shared" si="32"/>
        <v>Unai SIMON - Spain</v>
      </c>
      <c r="H1064" s="113" t="str">
        <f t="shared" si="33"/>
        <v>ESP23</v>
      </c>
      <c r="I1064" s="113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13" t="s">
        <v>3581</v>
      </c>
      <c r="G1065" s="113" t="str">
        <f t="shared" si="32"/>
        <v>Marc CUCURELLA - Spain</v>
      </c>
      <c r="H1065" s="113" t="str">
        <f t="shared" si="33"/>
        <v>ESP24</v>
      </c>
      <c r="I1065" s="113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13" t="s">
        <v>3581</v>
      </c>
      <c r="G1066" s="113" t="str">
        <f t="shared" si="32"/>
        <v>Victor MUNOZ - Spain</v>
      </c>
      <c r="H1066" s="113" t="str">
        <f t="shared" si="33"/>
        <v>ESP25</v>
      </c>
      <c r="I1066" s="113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13" t="s">
        <v>3581</v>
      </c>
      <c r="G1067" s="113" t="str">
        <f t="shared" si="32"/>
        <v>Borja IGLESIAS - Spain</v>
      </c>
      <c r="H1067" s="113" t="str">
        <f t="shared" si="33"/>
        <v>ESP26</v>
      </c>
      <c r="I1067" s="113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15" t="s">
        <v>3608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15" t="s">
        <v>3608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15" t="s">
        <v>3608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15" t="s">
        <v>3608</v>
      </c>
      <c r="G1071" s="115" t="str">
        <f t="shared" si="32"/>
        <v>Isak HIEN - Sweden</v>
      </c>
      <c r="H1071" s="115" t="str">
        <f t="shared" si="33"/>
        <v>SWE4</v>
      </c>
      <c r="I1071" s="115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15" t="s">
        <v>3608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15" t="s">
        <v>3608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15" t="s">
        <v>3608</v>
      </c>
      <c r="G1074" s="115" t="str">
        <f t="shared" si="32"/>
        <v>Lucas BERGVALL - Sweden</v>
      </c>
      <c r="H1074" s="115" t="str">
        <f t="shared" si="33"/>
        <v>SWE7</v>
      </c>
      <c r="I1074" s="115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15" t="s">
        <v>3608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15" t="s">
        <v>3608</v>
      </c>
      <c r="G1076" s="115" t="str">
        <f t="shared" si="32"/>
        <v>Alexander ISAK - Sweden</v>
      </c>
      <c r="H1076" s="115" t="str">
        <f t="shared" si="33"/>
        <v>SWE9</v>
      </c>
      <c r="I1076" s="115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15" t="s">
        <v>3608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15" t="s">
        <v>3608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15" t="s">
        <v>3608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15" t="s">
        <v>3608</v>
      </c>
      <c r="G1080" s="115" t="str">
        <f t="shared" si="32"/>
        <v>Ken SEMA - Sweden</v>
      </c>
      <c r="H1080" s="115" t="str">
        <f t="shared" si="33"/>
        <v>SWE13</v>
      </c>
      <c r="I1080" s="115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15" t="s">
        <v>3608</v>
      </c>
      <c r="G1081" s="115" t="str">
        <f t="shared" si="32"/>
        <v>Hjalmar EKDAL - Sweden</v>
      </c>
      <c r="H1081" s="115" t="str">
        <f t="shared" si="33"/>
        <v>SWE14</v>
      </c>
      <c r="I1081" s="115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15" t="s">
        <v>3608</v>
      </c>
      <c r="G1082" s="115" t="str">
        <f t="shared" si="32"/>
        <v>Carl STARFELT - Sweden</v>
      </c>
      <c r="H1082" s="115" t="str">
        <f t="shared" si="33"/>
        <v>SWE15</v>
      </c>
      <c r="I1082" s="115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15" t="s">
        <v>3608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15" t="s">
        <v>3608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15" t="s">
        <v>3608</v>
      </c>
      <c r="G1085" s="115" t="str">
        <f t="shared" si="32"/>
        <v>Yasin AYARI - Sweden</v>
      </c>
      <c r="H1085" s="115" t="str">
        <f t="shared" si="33"/>
        <v>SWE18</v>
      </c>
      <c r="I1085" s="11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15" t="s">
        <v>3608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15" t="s">
        <v>3608</v>
      </c>
      <c r="G1087" s="115" t="str">
        <f t="shared" si="32"/>
        <v>Eric SMITH - Sweden</v>
      </c>
      <c r="H1087" s="115" t="str">
        <f t="shared" si="33"/>
        <v>SWE20</v>
      </c>
      <c r="I1087" s="115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15" t="s">
        <v>3608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15" t="s">
        <v>3608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15" t="s">
        <v>3608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15" t="s">
        <v>3608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15" t="s">
        <v>3608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15" t="s">
        <v>3608</v>
      </c>
      <c r="G1093" s="115" t="str">
        <f t="shared" si="34"/>
        <v>Taha ALI - Sweden</v>
      </c>
      <c r="H1093" s="115" t="str">
        <f t="shared" si="35"/>
        <v>SWE26</v>
      </c>
      <c r="I1093" s="115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17" t="s">
        <v>3635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17" t="s">
        <v>3635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17" t="s">
        <v>3635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17" t="s">
        <v>3635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17" t="s">
        <v>3635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17" t="s">
        <v>3635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17" t="s">
        <v>3635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17" t="s">
        <v>3635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17" t="s">
        <v>3635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17" t="s">
        <v>3635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17" t="s">
        <v>3635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17" t="s">
        <v>3635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17" t="s">
        <v>3635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17" t="s">
        <v>3635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17" t="s">
        <v>3635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17" t="s">
        <v>3635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17" t="s">
        <v>3635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17" t="s">
        <v>3635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17" t="s">
        <v>3635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17" t="s">
        <v>3635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17" t="s">
        <v>3635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17" t="s">
        <v>3635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17" t="s">
        <v>3635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17" t="s">
        <v>3635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17" t="s">
        <v>3635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17" t="s">
        <v>3635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19" t="s">
        <v>3662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19" t="s">
        <v>3662</v>
      </c>
      <c r="G1121" s="119" t="str">
        <f t="shared" si="34"/>
        <v>Ali ABDI - Tunisia</v>
      </c>
      <c r="H1121" s="119" t="str">
        <f t="shared" si="35"/>
        <v>TUN2</v>
      </c>
      <c r="I1121" s="119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19" t="s">
        <v>3662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19" t="s">
        <v>3662</v>
      </c>
      <c r="G1123" s="119" t="str">
        <f t="shared" si="34"/>
        <v>Omar REKIK - Tunisia</v>
      </c>
      <c r="H1123" s="119" t="str">
        <f t="shared" si="35"/>
        <v>TUN4</v>
      </c>
      <c r="I1123" s="119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19" t="s">
        <v>3662</v>
      </c>
      <c r="G1124" s="119" t="str">
        <f t="shared" si="34"/>
        <v>Adam AROUS - Tunisia</v>
      </c>
      <c r="H1124" s="119" t="str">
        <f t="shared" si="35"/>
        <v>TUN5</v>
      </c>
      <c r="I1124" s="119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19" t="s">
        <v>3662</v>
      </c>
      <c r="G1125" s="119" t="str">
        <f t="shared" si="34"/>
        <v>Dylan BRONN - Tunisia</v>
      </c>
      <c r="H1125" s="119" t="str">
        <f t="shared" si="35"/>
        <v>TUN6</v>
      </c>
      <c r="I1125" s="119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19" t="s">
        <v>3662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19" t="s">
        <v>3662</v>
      </c>
      <c r="G1127" s="119" t="str">
        <f t="shared" si="34"/>
        <v>Elias SAAD - Tunisia</v>
      </c>
      <c r="H1127" s="119" t="str">
        <f t="shared" si="35"/>
        <v>TUN8</v>
      </c>
      <c r="I1127" s="119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19" t="s">
        <v>3662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19" t="s">
        <v>3662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19" t="s">
        <v>3662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19" t="s">
        <v>3662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19" t="s">
        <v>3662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19" t="s">
        <v>3662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19" t="s">
        <v>3662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19" t="s">
        <v>3662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19" t="s">
        <v>3662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19" t="s">
        <v>3662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19" t="s">
        <v>3662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19" t="s">
        <v>3662</v>
      </c>
      <c r="G1139" s="119" t="str">
        <f t="shared" si="34"/>
        <v>Yan VALERY - Tunisia</v>
      </c>
      <c r="H1139" s="119" t="str">
        <f t="shared" si="35"/>
        <v>TUN20</v>
      </c>
      <c r="I1139" s="11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19" t="s">
        <v>3662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19" t="s">
        <v>3662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19" t="s">
        <v>3662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19" t="s">
        <v>3662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19" t="s">
        <v>3662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19" t="s">
        <v>3662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21" t="s">
        <v>3689</v>
      </c>
      <c r="G1146" s="121" t="str">
        <f t="shared" si="34"/>
        <v>Mert GUNOK - Türkiye</v>
      </c>
      <c r="H1146" s="121" t="str">
        <f t="shared" si="35"/>
        <v>TUR1</v>
      </c>
      <c r="I1146" s="121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21" t="s">
        <v>3689</v>
      </c>
      <c r="G1147" s="121" t="str">
        <f t="shared" si="34"/>
        <v>Zeki CELIK - Türkiye</v>
      </c>
      <c r="H1147" s="121" t="str">
        <f t="shared" si="35"/>
        <v>TUR2</v>
      </c>
      <c r="I1147" s="121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21" t="s">
        <v>3689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21" t="s">
        <v>3689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21" t="s">
        <v>3689</v>
      </c>
      <c r="G1150" s="121" t="str">
        <f t="shared" si="34"/>
        <v>Salih OZCAN - Türkiye</v>
      </c>
      <c r="H1150" s="121" t="str">
        <f t="shared" si="35"/>
        <v>TUR5</v>
      </c>
      <c r="I1150" s="121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21" t="s">
        <v>3689</v>
      </c>
      <c r="G1151" s="121" t="str">
        <f t="shared" si="34"/>
        <v>Orkun KOKCU - Türkiye</v>
      </c>
      <c r="H1151" s="121" t="str">
        <f t="shared" si="35"/>
        <v>TUR6</v>
      </c>
      <c r="I1151" s="12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21" t="s">
        <v>3689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21" t="s">
        <v>3689</v>
      </c>
      <c r="G1153" s="121" t="str">
        <f t="shared" si="34"/>
        <v>Arda GULER - Türkiye</v>
      </c>
      <c r="H1153" s="121" t="str">
        <f t="shared" si="35"/>
        <v>TUR8</v>
      </c>
      <c r="I1153" s="121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21" t="s">
        <v>3689</v>
      </c>
      <c r="G1154" s="121" t="str">
        <f t="shared" si="34"/>
        <v>Deniz GUL - Türkiye</v>
      </c>
      <c r="H1154" s="121" t="str">
        <f t="shared" si="35"/>
        <v>TUR9</v>
      </c>
      <c r="I1154" s="121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21" t="s">
        <v>3689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21" t="s">
        <v>3689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21" t="s">
        <v>3689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21" t="s">
        <v>3689</v>
      </c>
      <c r="G1158" s="121" t="str">
        <f t="shared" si="36"/>
        <v>Eren ELMALI - Türkiye</v>
      </c>
      <c r="H1158" s="121" t="str">
        <f t="shared" si="37"/>
        <v>TUR13</v>
      </c>
      <c r="I1158" s="121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21" t="s">
        <v>3689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21" t="s">
        <v>3689</v>
      </c>
      <c r="G1160" s="121" t="str">
        <f t="shared" si="36"/>
        <v>Ozan KABAK - Türkiye</v>
      </c>
      <c r="H1160" s="121" t="str">
        <f t="shared" si="37"/>
        <v>TUR15</v>
      </c>
      <c r="I1160" s="121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21" t="s">
        <v>3689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21" t="s">
        <v>3689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21" t="s">
        <v>3689</v>
      </c>
      <c r="G1163" s="121" t="str">
        <f t="shared" si="36"/>
        <v>Mert MULDUR - Türkiye</v>
      </c>
      <c r="H1163" s="121" t="str">
        <f t="shared" si="37"/>
        <v>TUR18</v>
      </c>
      <c r="I1163" s="121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21" t="s">
        <v>3689</v>
      </c>
      <c r="G1164" s="121" t="str">
        <f t="shared" si="36"/>
        <v>Yunus AKGUN - Türkiye</v>
      </c>
      <c r="H1164" s="121" t="str">
        <f t="shared" si="37"/>
        <v>TUR19</v>
      </c>
      <c r="I1164" s="121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21" t="s">
        <v>3689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21" t="s">
        <v>3689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21" t="s">
        <v>3689</v>
      </c>
      <c r="G1167" s="121" t="str">
        <f t="shared" si="36"/>
        <v>Kaan AYHAN - Türkiye</v>
      </c>
      <c r="H1167" s="121" t="str">
        <f t="shared" si="37"/>
        <v>TUR22</v>
      </c>
      <c r="I1167" s="121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21" t="s">
        <v>3689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21" t="s">
        <v>3689</v>
      </c>
      <c r="G1169" s="121" t="str">
        <f t="shared" si="36"/>
        <v>Oguz AYDIN - Türkiye</v>
      </c>
      <c r="H1169" s="121" t="str">
        <f t="shared" si="37"/>
        <v>TUR24</v>
      </c>
      <c r="I1169" s="121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21" t="s">
        <v>3689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21" t="s">
        <v>3689</v>
      </c>
      <c r="G1171" s="121" t="str">
        <f t="shared" si="36"/>
        <v>Can UZUN - Türkiye</v>
      </c>
      <c r="H1171" s="121" t="str">
        <f t="shared" si="37"/>
        <v>TUR26</v>
      </c>
      <c r="I1171" s="12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23" t="s">
        <v>3716</v>
      </c>
      <c r="G1172" s="123" t="str">
        <f t="shared" si="36"/>
        <v>Sergio ROCHET - Uruguay</v>
      </c>
      <c r="H1172" s="123" t="str">
        <f t="shared" si="37"/>
        <v>URY1</v>
      </c>
      <c r="I1172" s="123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23" t="s">
        <v>3716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23" t="s">
        <v>3716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23" t="s">
        <v>3716</v>
      </c>
      <c r="G1175" s="123" t="str">
        <f t="shared" si="36"/>
        <v>Ronald ARAUJO - Uruguay</v>
      </c>
      <c r="H1175" s="123" t="str">
        <f t="shared" si="37"/>
        <v>URY4</v>
      </c>
      <c r="I1175" s="123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23" t="s">
        <v>3716</v>
      </c>
      <c r="G1176" s="123" t="str">
        <f t="shared" si="36"/>
        <v>Manuel UGARTE - Uruguay</v>
      </c>
      <c r="H1176" s="123" t="str">
        <f t="shared" si="37"/>
        <v>URY5</v>
      </c>
      <c r="I1176" s="123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23" t="s">
        <v>3716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23" t="s">
        <v>3716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23" t="s">
        <v>3716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23" t="s">
        <v>3716</v>
      </c>
      <c r="G1180" s="123" t="str">
        <f t="shared" si="36"/>
        <v>Darwin NUNEZ - Uruguay</v>
      </c>
      <c r="H1180" s="123" t="str">
        <f t="shared" si="37"/>
        <v>URY9</v>
      </c>
      <c r="I1180" s="123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23" t="s">
        <v>3716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23" t="s">
        <v>3716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23" t="s">
        <v>3716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23" t="s">
        <v>3716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23" t="s">
        <v>3716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23" t="s">
        <v>3716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23" t="s">
        <v>3716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23" t="s">
        <v>3716</v>
      </c>
      <c r="G1188" s="123" t="str">
        <f t="shared" si="36"/>
        <v>Matias VINA - Uruguay</v>
      </c>
      <c r="H1188" s="123" t="str">
        <f t="shared" si="37"/>
        <v>URY17</v>
      </c>
      <c r="I1188" s="123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23" t="s">
        <v>3716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23" t="s">
        <v>3716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23" t="s">
        <v>3716</v>
      </c>
      <c r="G1191" s="123" t="str">
        <f t="shared" si="36"/>
        <v>Maxi ARAUJO - Uruguay</v>
      </c>
      <c r="H1191" s="123" t="str">
        <f t="shared" si="37"/>
        <v>URY20</v>
      </c>
      <c r="I1191" s="123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23" t="s">
        <v>3716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23" t="s">
        <v>3716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23" t="s">
        <v>3716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23" t="s">
        <v>3716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23" t="s">
        <v>3716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23" t="s">
        <v>3716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75" t="s">
        <v>2247</v>
      </c>
      <c r="G1198" s="75" t="str">
        <f t="shared" si="36"/>
        <v>Matt TURNER - USA</v>
      </c>
      <c r="H1198" s="75" t="str">
        <f t="shared" si="37"/>
        <v>USA1</v>
      </c>
      <c r="I1198" s="75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75" t="s">
        <v>2247</v>
      </c>
      <c r="G1199" s="75" t="str">
        <f t="shared" si="36"/>
        <v>Sergino DEST - USA</v>
      </c>
      <c r="H1199" s="75" t="str">
        <f t="shared" si="37"/>
        <v>USA2</v>
      </c>
      <c r="I1199" s="75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75" t="s">
        <v>2247</v>
      </c>
      <c r="G1200" s="75" t="str">
        <f t="shared" si="36"/>
        <v>Chris RICHARDS - USA</v>
      </c>
      <c r="H1200" s="75" t="str">
        <f t="shared" si="37"/>
        <v>USA3</v>
      </c>
      <c r="I1200" s="75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75" t="s">
        <v>2247</v>
      </c>
      <c r="G1201" s="75" t="str">
        <f t="shared" si="36"/>
        <v>Tyler ADAMS - USA</v>
      </c>
      <c r="H1201" s="75" t="str">
        <f t="shared" si="37"/>
        <v>USA4</v>
      </c>
      <c r="I1201" s="75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75" t="s">
        <v>2247</v>
      </c>
      <c r="G1202" s="75" t="str">
        <f t="shared" si="36"/>
        <v>Antonee ROBINSON - USA</v>
      </c>
      <c r="H1202" s="75" t="str">
        <f t="shared" si="37"/>
        <v>USA5</v>
      </c>
      <c r="I1202" s="75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75" t="s">
        <v>2247</v>
      </c>
      <c r="G1203" s="75" t="str">
        <f t="shared" si="36"/>
        <v>Auston TRUSTY - USA</v>
      </c>
      <c r="H1203" s="75" t="str">
        <f t="shared" si="37"/>
        <v>USA6</v>
      </c>
      <c r="I1203" s="75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75" t="s">
        <v>2247</v>
      </c>
      <c r="G1204" s="75" t="str">
        <f t="shared" si="36"/>
        <v>Giovanni REYNA - USA</v>
      </c>
      <c r="H1204" s="75" t="str">
        <f t="shared" si="37"/>
        <v>USA7</v>
      </c>
      <c r="I1204" s="75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75" t="s">
        <v>2247</v>
      </c>
      <c r="G1205" s="75" t="str">
        <f t="shared" si="36"/>
        <v>Weston McKENNIE - USA</v>
      </c>
      <c r="H1205" s="75" t="str">
        <f t="shared" si="37"/>
        <v>USA8</v>
      </c>
      <c r="I1205" s="7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75" t="s">
        <v>2247</v>
      </c>
      <c r="G1206" s="75" t="str">
        <f t="shared" si="36"/>
        <v>Ricardo PEPI - USA</v>
      </c>
      <c r="H1206" s="75" t="str">
        <f t="shared" si="37"/>
        <v>USA9</v>
      </c>
      <c r="I1206" s="75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75" t="s">
        <v>2247</v>
      </c>
      <c r="G1207" s="75" t="str">
        <f t="shared" si="36"/>
        <v>Christian PULISIC - USA</v>
      </c>
      <c r="H1207" s="75" t="str">
        <f t="shared" si="37"/>
        <v>USA10</v>
      </c>
      <c r="I1207" s="75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75" t="s">
        <v>2247</v>
      </c>
      <c r="G1208" s="75" t="str">
        <f t="shared" si="36"/>
        <v>Brenden AARONSON - USA</v>
      </c>
      <c r="H1208" s="75" t="str">
        <f t="shared" si="37"/>
        <v>USA11</v>
      </c>
      <c r="I1208" s="75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75" t="s">
        <v>2247</v>
      </c>
      <c r="G1209" s="75" t="str">
        <f t="shared" si="36"/>
        <v>Miles ROBINSON - USA</v>
      </c>
      <c r="H1209" s="75" t="str">
        <f t="shared" si="37"/>
        <v>USA12</v>
      </c>
      <c r="I1209" s="75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75" t="s">
        <v>2247</v>
      </c>
      <c r="G1210" s="75" t="str">
        <f t="shared" si="36"/>
        <v>Tim REAM - USA</v>
      </c>
      <c r="H1210" s="75" t="str">
        <f t="shared" si="37"/>
        <v>USA13</v>
      </c>
      <c r="I1210" s="75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75" t="s">
        <v>2247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75" t="s">
        <v>2247</v>
      </c>
      <c r="G1212" s="75" t="str">
        <f t="shared" si="36"/>
        <v>Cristian ROLDAN - USA</v>
      </c>
      <c r="H1212" s="75" t="str">
        <f t="shared" si="37"/>
        <v>USA15</v>
      </c>
      <c r="I1212" s="75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75" t="s">
        <v>2247</v>
      </c>
      <c r="G1213" s="75" t="str">
        <f t="shared" si="36"/>
        <v>Alex FREEMAN - USA</v>
      </c>
      <c r="H1213" s="75" t="str">
        <f t="shared" si="37"/>
        <v>USA16</v>
      </c>
      <c r="I1213" s="75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75" t="s">
        <v>2247</v>
      </c>
      <c r="G1214" s="75" t="str">
        <f t="shared" si="36"/>
        <v>Malik TILLMAN - USA</v>
      </c>
      <c r="H1214" s="75" t="str">
        <f t="shared" si="37"/>
        <v>USA17</v>
      </c>
      <c r="I1214" s="75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75" t="s">
        <v>2247</v>
      </c>
      <c r="G1215" s="75" t="str">
        <f t="shared" si="36"/>
        <v>Max ARFSTEN - USA</v>
      </c>
      <c r="H1215" s="75" t="str">
        <f t="shared" si="37"/>
        <v>USA18</v>
      </c>
      <c r="I1215" s="7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75" t="s">
        <v>2247</v>
      </c>
      <c r="G1216" s="75" t="str">
        <f t="shared" si="36"/>
        <v>Haji WRIGHT - USA</v>
      </c>
      <c r="H1216" s="75" t="str">
        <f t="shared" si="37"/>
        <v>USA19</v>
      </c>
      <c r="I1216" s="75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75" t="s">
        <v>2247</v>
      </c>
      <c r="G1217" s="75" t="str">
        <f t="shared" si="36"/>
        <v>Folarin BALOGUN - USA</v>
      </c>
      <c r="H1217" s="75" t="str">
        <f t="shared" si="37"/>
        <v>USA20</v>
      </c>
      <c r="I1217" s="75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75" t="s">
        <v>2247</v>
      </c>
      <c r="G1218" s="75" t="str">
        <f t="shared" si="36"/>
        <v>Timothy WEAH - USA</v>
      </c>
      <c r="H1218" s="75" t="str">
        <f t="shared" si="37"/>
        <v>USA21</v>
      </c>
      <c r="I1218" s="75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75" t="s">
        <v>2247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75" t="s">
        <v>2247</v>
      </c>
      <c r="G1220" s="75" t="str">
        <f t="shared" si="38"/>
        <v>Joe SCALLY - USA</v>
      </c>
      <c r="H1220" s="75" t="str">
        <f t="shared" si="39"/>
        <v>USA23</v>
      </c>
      <c r="I1220" s="75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75" t="s">
        <v>2247</v>
      </c>
      <c r="G1221" s="75" t="str">
        <f t="shared" si="38"/>
        <v>Matt FREESE - USA</v>
      </c>
      <c r="H1221" s="75" t="str">
        <f t="shared" si="39"/>
        <v>USA24</v>
      </c>
      <c r="I1221" s="75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75" t="s">
        <v>2247</v>
      </c>
      <c r="G1222" s="75" t="str">
        <f t="shared" si="38"/>
        <v>Chris BRADY - USA</v>
      </c>
      <c r="H1222" s="75" t="str">
        <f t="shared" si="39"/>
        <v>USA25</v>
      </c>
      <c r="I1222" s="75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75" t="s">
        <v>2247</v>
      </c>
      <c r="G1223" s="75" t="str">
        <f t="shared" si="38"/>
        <v>Alex ZENDEJAS - USA</v>
      </c>
      <c r="H1223" s="75" t="str">
        <f t="shared" si="39"/>
        <v>USA26</v>
      </c>
      <c r="I1223" s="75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25" t="s">
        <v>3769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25" t="s">
        <v>3769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25" t="s">
        <v>3769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25" t="s">
        <v>3769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25" t="s">
        <v>3769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25" t="s">
        <v>3769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25" t="s">
        <v>3769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25" t="s">
        <v>3769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25" t="s">
        <v>3769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25" t="s">
        <v>3769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25" t="s">
        <v>3769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25" t="s">
        <v>3769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25" t="s">
        <v>3769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25" t="s">
        <v>3769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25" t="s">
        <v>3769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25" t="s">
        <v>3769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25" t="s">
        <v>3769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25" t="s">
        <v>3769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25" t="s">
        <v>3769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25" t="s">
        <v>3769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25" t="s">
        <v>3769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25" t="s">
        <v>3769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25" t="s">
        <v>3769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25" t="s">
        <v>3769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25" t="s">
        <v>3769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25" t="s">
        <v>3769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2026-06-18T08:19:27Z</dcterms:modified>
</cp:coreProperties>
</file>