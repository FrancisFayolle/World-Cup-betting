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358" documentId="13_ncr:1_{AD0E7F59-3B0E-407E-93E9-FE21F83F93C7}" xr6:coauthVersionLast="47" xr6:coauthVersionMax="47" xr10:uidLastSave="{DA4E0B95-30AC-46B0-A81D-2FE0CA6D3B35}"/>
  <bookViews>
    <workbookView xWindow="-110" yWindow="-110" windowWidth="19420" windowHeight="11500" activeTab="1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9" i="2" l="1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/>
  <c r="I61" i="1" a="1"/>
  <c r="I61" i="1" s="1"/>
  <c r="I62" i="1" a="1"/>
  <c r="I62" i="1"/>
  <c r="I63" i="1" a="1"/>
  <c r="I63" i="1" s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 s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 s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<sst xmlns="http://schemas.openxmlformats.org/spreadsheetml/2006/main" count="8170" uniqueCount="3814">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</sst>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  <font>
      <sz val="10"/>
      <color rgb="FF000000"/>
      <name val="Arial"/>
    </font>
    <font>
      <b/>
      <sz val="10"/>
      <color rgb="FF9C570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  <fill>
      <patternFill patternType="solid">
        <fgColor rgb="FFFFF3B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53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horizontal="left" vertical="center"/>
    </xf>
    <xf numFmtId="0" fontId="5" fillId="32" borderId="1" xfId="0" applyFont="1" applyFill="1" applyBorder="1" applyAlignment="1">
      <alignment horizontal="left" vertical="center"/>
    </xf>
    <xf numFmtId="0" fontId="5" fillId="33" borderId="1" xfId="0" applyFont="1" applyFill="1" applyBorder="1" applyAlignment="1">
      <alignment horizontal="left" vertical="center"/>
    </xf>
    <xf numFmtId="0" fontId="5" fillId="34" borderId="1" xfId="0" applyFont="1" applyFill="1" applyBorder="1" applyAlignment="1">
      <alignment horizontal="left" vertical="center"/>
    </xf>
    <xf numFmtId="0" fontId="5" fillId="35" borderId="1" xfId="0" applyFont="1" applyFill="1" applyBorder="1" applyAlignment="1">
      <alignment horizontal="left" vertical="center"/>
    </xf>
    <xf numFmtId="0" fontId="5" fillId="36" borderId="1" xfId="0" applyFont="1" applyFill="1" applyBorder="1" applyAlignment="1">
      <alignment horizontal="left" vertical="center"/>
    </xf>
    <xf numFmtId="0" fontId="5" fillId="37" borderId="1" xfId="0" applyFont="1" applyFill="1" applyBorder="1" applyAlignment="1">
      <alignment horizontal="left" vertical="center"/>
    </xf>
    <xf numFmtId="0" fontId="5" fillId="38" borderId="1" xfId="0" applyFont="1" applyFill="1" applyBorder="1" applyAlignment="1">
      <alignment horizontal="left" vertical="center"/>
    </xf>
    <xf numFmtId="0" fontId="5" fillId="39" borderId="1" xfId="0" applyFont="1" applyFill="1" applyBorder="1" applyAlignment="1">
      <alignment horizontal="left" vertical="center"/>
    </xf>
    <xf numFmtId="0" fontId="5" fillId="40" borderId="1" xfId="0" applyFont="1" applyFill="1" applyBorder="1" applyAlignment="1">
      <alignment horizontal="left" vertical="center"/>
    </xf>
    <xf numFmtId="0" fontId="5" fillId="41" borderId="1" xfId="0" applyFont="1" applyFill="1" applyBorder="1" applyAlignment="1">
      <alignment horizontal="left" vertical="center"/>
    </xf>
    <xf numFmtId="0" fontId="5" fillId="42" borderId="1" xfId="0" applyFont="1" applyFill="1" applyBorder="1" applyAlignment="1">
      <alignment horizontal="left" vertical="center"/>
    </xf>
    <xf numFmtId="0" fontId="5" fillId="43" borderId="1" xfId="0" applyFont="1" applyFill="1" applyBorder="1" applyAlignment="1">
      <alignment horizontal="left" vertical="center"/>
    </xf>
    <xf numFmtId="0" fontId="5" fillId="44" borderId="1" xfId="0" applyFont="1" applyFill="1" applyBorder="1" applyAlignment="1">
      <alignment horizontal="left" vertical="center"/>
    </xf>
    <xf numFmtId="0" fontId="5" fillId="45" borderId="1" xfId="0" applyFont="1" applyFill="1" applyBorder="1" applyAlignment="1">
      <alignment horizontal="left" vertical="center"/>
    </xf>
    <xf numFmtId="0" fontId="5" fillId="46" borderId="1" xfId="0" applyFont="1" applyFill="1" applyBorder="1" applyAlignment="1">
      <alignment horizontal="left" vertical="center"/>
    </xf>
    <xf numFmtId="0" fontId="5" fillId="47" borderId="1" xfId="0" applyFont="1" applyFill="1" applyBorder="1" applyAlignment="1">
      <alignment horizontal="left" vertical="center"/>
    </xf>
    <xf numFmtId="0" fontId="5" fillId="48" borderId="1" xfId="0" applyFont="1" applyFill="1" applyBorder="1" applyAlignment="1">
      <alignment horizontal="left" vertical="center"/>
    </xf>
    <xf numFmtId="0" fontId="5" fillId="49" borderId="1" xfId="0" applyFont="1" applyFill="1" applyBorder="1" applyAlignment="1">
      <alignment horizontal="left" vertical="center"/>
    </xf>
    <xf numFmtId="0" fontId="5" fillId="50" borderId="1" xfId="0" applyFont="1" applyFill="1" applyBorder="1" applyAlignment="1">
      <alignment horizontal="left" vertical="center"/>
    </xf>
    <xf numFmtId="0" fontId="5" fillId="51" borderId="1" xfId="0" applyFont="1" applyFill="1" applyBorder="1" applyAlignment="1">
      <alignment horizontal="left" vertical="center"/>
    </xf>
    <xf numFmtId="0" fontId="5" fillId="52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zoomScale="80" zoomScaleNormal="80" workbookViewId="0">
      <pane ySplit="1" topLeftCell="A46" activePane="bottomLeft" state="frozen"/>
      <selection pane="bottomLeft" activeCell="G61" sqref="G61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4" customWidth="1"/>
    <col min="8" max="8" width="30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94" t="s">
        <v>2458</v>
      </c>
      <c r="H1" s="1" t="s">
        <v>2459</v>
      </c>
      <c r="I1" s="143" t="s">
        <v>2428</v>
      </c>
      <c r="J1" s="143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95" t="s">
        <v>2454</v>
      </c>
      <c r="H2" s="3" t="s">
        <v>2456</v>
      </c>
      <c r="I2" t="str" cm="1">
        <f t="array" ref="I2">_xlfn.IFS(LEFT(G2,1)-RIGHT(G2,1) &gt; 0, "W1",LEFT(G2,1)-RIGHT(G2,1) = 0, "D",LEFT(G2,1)-RIGHT(G2,1) &lt; 0, "W2", ISBLANK(G2), "")</f>
        <v>W1</v>
      </c>
      <c r="J2" s="144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95" t="s">
        <v>2455</v>
      </c>
      <c r="H3" s="3" t="s">
        <v>2457</v>
      </c>
      <c r="I3" t="str" cm="1">
        <f t="array" ref="I3">_xlfn.IFS(LEFT(G3,1)-RIGHT(G3,1) &gt; 0, "W1",LEFT(G3,1)-RIGHT(G3,1) = 0, "D",LEFT(G3,1)-RIGHT(G3,1) &lt; 0, "W2", ISBLANK(G3), "")</f>
        <v>W1</v>
      </c>
      <c r="J3" s="144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95"/>
      <c r="H4" s="3"/>
      <c r="I4" t="e" cm="1">
        <f t="array" ref="I4">_xlfn.IFS(LEFT(G4,1)-RIGHT(G4,1)&gt;0,"W1",LEFT(G4,1)-RIGHT(G4,1)=0,"D",LEFT(G4,1)-RIGHT(G4,1)&lt;0,"W2",ISBLANK(G4),"")</f>
        <v>#VALUE!</v>
      </c>
      <c r="J4" s="144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95"/>
      <c r="H5" s="3"/>
      <c r="I5" t="e" cm="1">
        <f t="array" ref="I5">_xlfn.IFS(LEFT(G5,1)-RIGHT(G5,1) &gt; 0, "W1",LEFT(G5,1)-RIGHT(G5,1) = 0, "D",LEFT(G5,1)-RIGHT(G5,1) &lt; 0, "W2", ISBLANK(G5), "")</f>
        <v>#VALUE!</v>
      </c>
      <c r="J5" s="144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95"/>
      <c r="H6" s="3"/>
      <c r="I6" t="e" cm="1">
        <f t="array" ref="I6">_xlfn.IFS(LEFT(G6,1)-RIGHT(G6,1) &gt; 0, "W1",LEFT(G6,1)-RIGHT(G6,1) = 0, "D",LEFT(G6,1)-RIGHT(G6,1) &lt; 0, "W2", ISBLANK(G6), "")</f>
        <v>#VALUE!</v>
      </c>
      <c r="J6" s="144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95"/>
      <c r="H7" s="3"/>
      <c r="I7" t="e" cm="1">
        <f t="array" ref="I7">_xlfn.IFS(LEFT(G7,1)-RIGHT(G7,1) &gt; 0, "W1",LEFT(G7,1)-RIGHT(G7,1) = 0, "D",LEFT(G7,1)-RIGHT(G7,1) &lt; 0, "W2", ISBLANK(G7), "")</f>
        <v>#VALUE!</v>
      </c>
      <c r="J7" s="144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96" t="s">
        <v>2461</v>
      </c>
      <c r="H8" s="5" t="s">
        <v>2463</v>
      </c>
      <c r="I8" t="str" cm="1">
        <f t="array" ref="I8">_xlfn.IFS(LEFT(G8,1)-RIGHT(G8,1) &gt; 0, "W1",LEFT(G8,1)-RIGHT(G8,1) = 0, "D",LEFT(G8,1)-RIGHT(G8,1) &lt; 0, "W2", ISBLANK(G8), "")</f>
        <v>D</v>
      </c>
      <c r="J8" s="144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96" t="s">
        <v>2461</v>
      </c>
      <c r="H9" s="5" t="s">
        <v>2473</v>
      </c>
      <c r="I9" t="str" cm="1">
        <f t="array" ref="I9">_xlfn.IFS(LEFT(G9,1)-RIGHT(G9,1) &gt; 0, "W1",LEFT(G9,1)-RIGHT(G9,1) = 0, "D",LEFT(G9,1)-RIGHT(G9,1) &lt; 0, "W2", ISBLANK(G9), "")</f>
        <v>D</v>
      </c>
      <c r="J9" s="144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96"/>
      <c r="H10" s="5"/>
      <c r="I10" t="e" cm="1">
        <f t="array" ref="I10">_xlfn.IFS(LEFT(G10,1)-RIGHT(G10,1) &gt; 0, "W1",LEFT(G10,1)-RIGHT(G10,1) = 0, "D",LEFT(G10,1)-RIGHT(G10,1) &lt; 0, "W2", ISBLANK(G10), "")</f>
        <v>#VALUE!</v>
      </c>
      <c r="J10" s="144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96"/>
      <c r="H11" s="5"/>
      <c r="I11" t="e" cm="1">
        <f t="array" ref="I11">_xlfn.IFS(LEFT(G11,1)-RIGHT(G11,1) &gt; 0, "W1",LEFT(G11,1)-RIGHT(G11,1) = 0, "D",LEFT(G11,1)-RIGHT(G11,1) &lt; 0, "W2", ISBLANK(G11), "")</f>
        <v>#VALUE!</v>
      </c>
      <c r="J11" s="144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96"/>
      <c r="H12" s="5"/>
      <c r="I12" t="e" cm="1">
        <f t="array" ref="I12">_xlfn.IFS(LEFT(G12,1)-RIGHT(G12,1) &gt; 0, "W1",LEFT(G12,1)-RIGHT(G12,1) = 0, "D",LEFT(G12,1)-RIGHT(G12,1) &lt; 0, "W2", ISBLANK(G12), "")</f>
        <v>#VALUE!</v>
      </c>
      <c r="J12" s="144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96"/>
      <c r="H13" s="5"/>
      <c r="I13" t="e" cm="1">
        <f t="array" ref="I13">_xlfn.IFS(LEFT(G13,1)-RIGHT(G13,1) &gt; 0, "W1",LEFT(G13,1)-RIGHT(G13,1) = 0, "D",LEFT(G13,1)-RIGHT(G13,1) &lt; 0, "W2", ISBLANK(G13), "")</f>
        <v>#VALUE!</v>
      </c>
      <c r="J13" s="144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97" t="s">
        <v>2461</v>
      </c>
      <c r="H14" s="7" t="s">
        <v>2474</v>
      </c>
      <c r="I14" t="str" cm="1">
        <f t="array" ref="I14">_xlfn.IFS(LEFT(G14,1)-RIGHT(G14,1) &gt; 0, "W1",LEFT(G14,1)-RIGHT(G14,1) = 0, "D",LEFT(G14,1)-RIGHT(G14,1) &lt; 0, "W2", ISBLANK(G14), "")</f>
        <v>D</v>
      </c>
      <c r="J14" s="144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97" t="s">
        <v>2471</v>
      </c>
      <c r="H15" s="7" t="s">
        <v>2472</v>
      </c>
      <c r="I15" t="str" cm="1">
        <f t="array" ref="I15">_xlfn.IFS(LEFT(G15,1)-RIGHT(G15,1) &gt; 0, "W1",LEFT(G15,1)-RIGHT(G15,1) = 0, "D",LEFT(G15,1)-RIGHT(G15,1) &lt; 0, "W2", ISBLANK(G15), "")</f>
        <v>W2</v>
      </c>
      <c r="J15" s="144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97"/>
      <c r="H16" s="7"/>
      <c r="I16" t="e" cm="1">
        <f t="array" ref="I16">_xlfn.IFS(LEFT(G16,1)-RIGHT(G16,1) &gt; 0, "W1",LEFT(G16,1)-RIGHT(G16,1) = 0, "D",LEFT(G16,1)-RIGHT(G16,1) &lt; 0, "W2", ISBLANK(G16), "")</f>
        <v>#VALUE!</v>
      </c>
      <c r="J16" s="144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97"/>
      <c r="H17" s="7"/>
      <c r="I17" t="e" cm="1">
        <f t="array" ref="I17">_xlfn.IFS(LEFT(G17,1)-RIGHT(G17,1) &gt; 0, "W1",LEFT(G17,1)-RIGHT(G17,1) = 0, "D",LEFT(G17,1)-RIGHT(G17,1) &lt; 0, "W2", ISBLANK(G17), "")</f>
        <v>#VALUE!</v>
      </c>
      <c r="J17" s="144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97"/>
      <c r="H18" s="7"/>
      <c r="I18" t="e" cm="1">
        <f t="array" ref="I18">_xlfn.IFS(LEFT(G18,1)-RIGHT(G18,1) &gt; 0, "W1",LEFT(G18,1)-RIGHT(G18,1) = 0, "D",LEFT(G18,1)-RIGHT(G18,1) &lt; 0, "W2", ISBLANK(G18), "")</f>
        <v>#VALUE!</v>
      </c>
      <c r="J18" s="144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97"/>
      <c r="H19" s="7"/>
      <c r="I19" t="e" cm="1">
        <f t="array" ref="I19">_xlfn.IFS(LEFT(G19,1)-RIGHT(G19,1) &gt; 0, "W1",LEFT(G19,1)-RIGHT(G19,1) = 0, "D",LEFT(G19,1)-RIGHT(G19,1) &lt; 0, "W2", ISBLANK(G19), "")</f>
        <v>#VALUE!</v>
      </c>
      <c r="J19" s="144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98" t="s">
        <v>2462</v>
      </c>
      <c r="H20" s="9" t="s">
        <v>2464</v>
      </c>
      <c r="I20" t="str" cm="1">
        <f t="array" ref="I20">_xlfn.IFS(LEFT(G20,1)-RIGHT(G20,1) &gt; 0, "W1",LEFT(G20,1)-RIGHT(G20,1) = 0, "D",LEFT(G20,1)-RIGHT(G20,1) &lt; 0, "W2", ISBLANK(G20), "")</f>
        <v>W1</v>
      </c>
      <c r="J20" s="144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98" t="s">
        <v>2454</v>
      </c>
      <c r="H21" s="9" t="s">
        <v>2475</v>
      </c>
      <c r="I21" t="str" cm="1">
        <f t="array" ref="I21">_xlfn.IFS(LEFT(G21,1)-RIGHT(G21,1) &gt; 0, "W1",LEFT(G21,1)-RIGHT(G21,1) = 0, "D",LEFT(G21,1)-RIGHT(G21,1) &lt; 0, "W2", ISBLANK(G21), "")</f>
        <v>W1</v>
      </c>
      <c r="J21" s="144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98"/>
      <c r="H22" s="9"/>
      <c r="I22" t="e" cm="1">
        <f t="array" ref="I22">_xlfn.IFS(LEFT(G22,1)-RIGHT(G22,1) &gt; 0, "W1",LEFT(G22,1)-RIGHT(G22,1) = 0, "D",LEFT(G22,1)-RIGHT(G22,1) &lt; 0, "W2", ISBLANK(G22), "")</f>
        <v>#VALUE!</v>
      </c>
      <c r="J22" s="144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98"/>
      <c r="H23" s="9"/>
      <c r="I23" t="e" cm="1">
        <f t="array" ref="I23">_xlfn.IFS(LEFT(G23,1)-RIGHT(G23,1) &gt; 0, "W1",LEFT(G23,1)-RIGHT(G23,1) = 0, "D",LEFT(G23,1)-RIGHT(G23,1) &lt; 0, "W2", ISBLANK(G23), "")</f>
        <v>#VALUE!</v>
      </c>
      <c r="J23" s="144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98"/>
      <c r="H24" s="9"/>
      <c r="I24" t="e" cm="1">
        <f t="array" ref="I24">_xlfn.IFS(LEFT(G24,1)-RIGHT(G24,1) &gt; 0, "W1",LEFT(G24,1)-RIGHT(G24,1) = 0, "D",LEFT(G24,1)-RIGHT(G24,1) &lt; 0, "W2", ISBLANK(G24), "")</f>
        <v>#VALUE!</v>
      </c>
      <c r="J24" s="144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98"/>
      <c r="H25" s="9"/>
      <c r="I25" t="e" cm="1">
        <f t="array" ref="I25">_xlfn.IFS(LEFT(G25,1)-RIGHT(G25,1) &gt; 0, "W1",LEFT(G25,1)-RIGHT(G25,1) = 0, "D",LEFT(G25,1)-RIGHT(G25,1) &lt; 0, "W2", ISBLANK(G25), "")</f>
        <v>#VALUE!</v>
      </c>
      <c r="J25" s="144" t="e">
        <f>LEFT(G25,1)-RIGHT(G25,1)</f>
        <v>#VALUE!</v>
      </c>
    </row>
    <row r="26" spans="1:10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99" t="s">
        <v>2477</v>
      </c>
      <c r="H26" s="11" t="s">
        <v>2476</v>
      </c>
      <c r="I26" t="str" cm="1">
        <f t="array" ref="I26">_xlfn.IFS(LEFT(G26,1)-RIGHT(G26,1) &gt; 0, "W1",LEFT(G26,1)-RIGHT(G26,1) = 0, "D",LEFT(G26,1)-RIGHT(G26,1) &lt; 0, "W2", ISBLANK(G26), "")</f>
        <v>W1</v>
      </c>
      <c r="J26" s="144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99" t="s">
        <v>2478</v>
      </c>
      <c r="H27" s="11" t="s">
        <v>2479</v>
      </c>
      <c r="I27" t="str" cm="1">
        <f t="array" ref="I27">_xlfn.IFS(LEFT(G27,1)-RIGHT(G27,1) &gt; 0, "W1",LEFT(G27,1)-RIGHT(G27,1) = 0, "D",LEFT(G27,1)-RIGHT(G27,1) &lt; 0, "W2", ISBLANK(G27), "")</f>
        <v>W1</v>
      </c>
      <c r="J27" s="144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99"/>
      <c r="H28" s="11"/>
      <c r="I28" t="e" cm="1">
        <f t="array" ref="I28">_xlfn.IFS(LEFT(G28,1)-RIGHT(G28,1) &gt; 0, "W1",LEFT(G28,1)-RIGHT(G28,1) = 0, "D",LEFT(G28,1)-RIGHT(G28,1) &lt; 0, "W2", ISBLANK(G28), "")</f>
        <v>#VALUE!</v>
      </c>
      <c r="J28" s="144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99"/>
      <c r="H29" s="11"/>
      <c r="I29" t="e" cm="1">
        <f t="array" ref="I29">_xlfn.IFS(LEFT(G29,1)-RIGHT(G29,1) &gt; 0, "W1",LEFT(G29,1)-RIGHT(G29,1) = 0, "D",LEFT(G29,1)-RIGHT(G29,1) &lt; 0, "W2", ISBLANK(G29), "")</f>
        <v>#VALUE!</v>
      </c>
      <c r="J29" s="144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99"/>
      <c r="H30" s="11"/>
      <c r="I30" t="e" cm="1">
        <f t="array" ref="I30">_xlfn.IFS(LEFT(G30,1)-RIGHT(G30,1) &gt; 0, "W1",LEFT(G30,1)-RIGHT(G30,1) = 0, "D",LEFT(G30,1)-RIGHT(G30,1) &lt; 0, "W2", ISBLANK(G30), "")</f>
        <v>#VALUE!</v>
      </c>
      <c r="J30" s="144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99"/>
      <c r="H31" s="11"/>
      <c r="I31" t="e" cm="1">
        <f t="array" ref="I31">_xlfn.IFS(LEFT(G31,1)-RIGHT(G31,1) &gt; 0, "W1",LEFT(G31,1)-RIGHT(G31,1) = 0, "D",LEFT(G31,1)-RIGHT(G31,1) &lt; 0, "W2", ISBLANK(G31), "")</f>
        <v>#VALUE!</v>
      </c>
      <c r="J31" s="144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200" t="s">
        <v>2480</v>
      </c>
      <c r="H32" s="13" t="s">
        <v>2483</v>
      </c>
      <c r="I32" t="str" cm="1">
        <f t="array" ref="I32">_xlfn.IFS(LEFT(G32,1)-RIGHT(G32,1) &gt; 0, "W1",LEFT(G32,1)-RIGHT(G32,1) = 0, "D",LEFT(G32,1)-RIGHT(G32,1) &lt; 0, "W2", ISBLANK(G32), "")</f>
        <v>D</v>
      </c>
      <c r="J32" s="144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200" t="s">
        <v>2482</v>
      </c>
      <c r="H33" s="13" t="s">
        <v>2481</v>
      </c>
      <c r="I33" t="str" cm="1">
        <f t="array" ref="I33">_xlfn.IFS(LEFT(G33,1)-RIGHT(G33,1) &gt; 0, "W1",LEFT(G33,1)-RIGHT(G33,1) = 0, "D",LEFT(G33,1)-RIGHT(G33,1) &lt; 0, "W2", ISBLANK(G33), "")</f>
        <v>W1</v>
      </c>
      <c r="J33" s="144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200"/>
      <c r="H34" s="13"/>
      <c r="I34" t="e" cm="1">
        <f t="array" ref="I34">_xlfn.IFS(LEFT(G34,1)-RIGHT(G34,1) &gt; 0, "W1",LEFT(G34,1)-RIGHT(G34,1) = 0, "D",LEFT(G34,1)-RIGHT(G34,1) &lt; 0, "W2", ISBLANK(G34), "")</f>
        <v>#VALUE!</v>
      </c>
      <c r="J34" s="144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200"/>
      <c r="H35" s="13"/>
      <c r="I35" t="e" cm="1">
        <f t="array" ref="I35">_xlfn.IFS(LEFT(G35,1)-RIGHT(G35,1) &gt; 0, "W1",LEFT(G35,1)-RIGHT(G35,1) = 0, "D",LEFT(G35,1)-RIGHT(G35,1) &lt; 0, "W2", ISBLANK(G35), "")</f>
        <v>#VALUE!</v>
      </c>
      <c r="J35" s="144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200"/>
      <c r="H36" s="13"/>
      <c r="I36" t="e" cm="1">
        <f t="array" ref="I36">_xlfn.IFS(LEFT(G36,1)-RIGHT(G36,1) &gt; 0, "W1",LEFT(G36,1)-RIGHT(G36,1) = 0, "D",LEFT(G36,1)-RIGHT(G36,1) &lt; 0, "W2", ISBLANK(G36), "")</f>
        <v>#VALUE!</v>
      </c>
      <c r="J36" s="144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200"/>
      <c r="H37" s="13"/>
      <c r="I37" t="e" cm="1">
        <f t="array" ref="I37">_xlfn.IFS(LEFT(G37,1)-RIGHT(G37,1) &gt; 0, "W1",LEFT(G37,1)-RIGHT(G37,1) = 0, "D",LEFT(G37,1)-RIGHT(G37,1) &lt; 0, "W2", ISBLANK(G37), "")</f>
        <v>#VALUE!</v>
      </c>
      <c r="J37" s="144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201" t="s">
        <v>2461</v>
      </c>
      <c r="H38" s="15" t="s">
        <v>2486</v>
      </c>
      <c r="I38" t="str" cm="1">
        <f t="array" ref="I38">_xlfn.IFS(LEFT(G38,1)-RIGHT(G38,1) &gt; 0, "W1",LEFT(G38,1)-RIGHT(G38,1) = 0, "D",LEFT(G38,1)-RIGHT(G38,1) &lt; 0, "W2", ISBLANK(G38), "")</f>
        <v>D</v>
      </c>
      <c r="J38" s="144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201" t="s">
        <v>2480</v>
      </c>
      <c r="H39" s="15" t="s">
        <v>2487</v>
      </c>
      <c r="I39" t="str" cm="1">
        <f t="array" ref="I39">_xlfn.IFS(LEFT(G39,1)-RIGHT(G39,1) &gt; 0, "W1",LEFT(G39,1)-RIGHT(G39,1) = 0, "D",LEFT(G39,1)-RIGHT(G39,1) &lt; 0, "W2", ISBLANK(G39), "")</f>
        <v>D</v>
      </c>
      <c r="J39" s="144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201"/>
      <c r="H40" s="15"/>
      <c r="I40" t="e" cm="1">
        <f t="array" ref="I40">_xlfn.IFS(LEFT(G40,1)-RIGHT(G40,1) &gt; 0, "W1",LEFT(G40,1)-RIGHT(G40,1) = 0, "D",LEFT(G40,1)-RIGHT(G40,1) &lt; 0, "W2", ISBLANK(G40), "")</f>
        <v>#VALUE!</v>
      </c>
      <c r="J40" s="144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201"/>
      <c r="H41" s="15"/>
      <c r="I41" t="e" cm="1">
        <f t="array" ref="I41">_xlfn.IFS(LEFT(G41,1)-RIGHT(G41,1) &gt; 0, "W1",LEFT(G41,1)-RIGHT(G41,1) = 0, "D",LEFT(G41,1)-RIGHT(G41,1) &lt; 0, "W2", ISBLANK(G41), "")</f>
        <v>#VALUE!</v>
      </c>
      <c r="J41" s="144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201"/>
      <c r="H42" s="15"/>
      <c r="I42" t="e" cm="1">
        <f t="array" ref="I42">_xlfn.IFS(LEFT(G42,1)-RIGHT(G42,1) &gt; 0, "W1",LEFT(G42,1)-RIGHT(G42,1) = 0, "D",LEFT(G42,1)-RIGHT(G42,1) &lt; 0, "W2", ISBLANK(G42), "")</f>
        <v>#VALUE!</v>
      </c>
      <c r="J42" s="144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201"/>
      <c r="H43" s="15"/>
      <c r="I43" t="e" cm="1">
        <f t="array" ref="I43">_xlfn.IFS(LEFT(G43,1)-RIGHT(G43,1) &gt; 0, "W1",LEFT(G43,1)-RIGHT(G43,1) = 0, "D",LEFT(G43,1)-RIGHT(G43,1) &lt; 0, "W2", ISBLANK(G43), "")</f>
        <v>#VALUE!</v>
      </c>
      <c r="J43" s="144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202" t="s">
        <v>2484</v>
      </c>
      <c r="H44" s="17"/>
      <c r="I44" t="str" cm="1">
        <f t="array" ref="I44">_xlfn.IFS(LEFT(G44,1)-RIGHT(G44,1) &gt; 0, "W1",LEFT(G44,1)-RIGHT(G44,1) = 0, "D",LEFT(G44,1)-RIGHT(G44,1) &lt; 0, "W2", ISBLANK(G44), "")</f>
        <v>D</v>
      </c>
      <c r="J44" s="144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202" t="s">
        <v>2461</v>
      </c>
      <c r="H45" s="17" t="s">
        <v>2485</v>
      </c>
      <c r="I45" t="str" cm="1">
        <f t="array" ref="I45">_xlfn.IFS(LEFT(G45,1)-RIGHT(G45,1) &gt; 0, "W1",LEFT(G45,1)-RIGHT(G45,1) = 0, "D",LEFT(G45,1)-RIGHT(G45,1) &lt; 0, "W2", ISBLANK(G45), "")</f>
        <v>D</v>
      </c>
      <c r="J45" s="144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202"/>
      <c r="H46" s="17"/>
      <c r="I46" t="e" cm="1">
        <f t="array" ref="I46">_xlfn.IFS(LEFT(G46,1)-RIGHT(G46,1) &gt; 0, "W1",LEFT(G46,1)-RIGHT(G46,1) = 0, "D",LEFT(G46,1)-RIGHT(G46,1) &lt; 0, "W2", ISBLANK(G46), "")</f>
        <v>#VALUE!</v>
      </c>
      <c r="J46" s="144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202"/>
      <c r="H47" s="17"/>
      <c r="I47" t="e" cm="1">
        <f t="array" ref="I47">_xlfn.IFS(LEFT(G47,1)-RIGHT(G47,1) &gt; 0, "W1",LEFT(G47,1)-RIGHT(G47,1) = 0, "D",LEFT(G47,1)-RIGHT(G47,1) &lt; 0, "W2", ISBLANK(G47), "")</f>
        <v>#VALUE!</v>
      </c>
      <c r="J47" s="144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202"/>
      <c r="H48" s="17"/>
      <c r="I48" t="e" cm="1">
        <f t="array" ref="I48">_xlfn.IFS(LEFT(G48,1)-RIGHT(G48,1) &gt; 0, "W1",LEFT(G48,1)-RIGHT(G48,1) = 0, "D",LEFT(G48,1)-RIGHT(G48,1) &lt; 0, "W2", ISBLANK(G48), "")</f>
        <v>#VALUE!</v>
      </c>
      <c r="J48" s="144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202"/>
      <c r="H49" s="17"/>
      <c r="I49" t="e" cm="1">
        <f t="array" ref="I49">_xlfn.IFS(LEFT(G49,1)-RIGHT(G49,1) &gt; 0, "W1",LEFT(G49,1)-RIGHT(G49,1) = 0, "D",LEFT(G49,1)-RIGHT(G49,1) &lt; 0, "W2", ISBLANK(G49), "")</f>
        <v>#VALUE!</v>
      </c>
      <c r="J49" s="144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203" t="s">
        <v>3809</v>
      </c>
      <c r="H50" s="19" t="s">
        <v>3812</v>
      </c>
      <c r="I50" t="str" cm="1">
        <f t="array" ref="I50">_xlfn.IFS(LEFT(G50,1)-RIGHT(G50,1) &gt; 0, "W1",LEFT(G50,1)-RIGHT(G50,1) = 0, "D",LEFT(G50,1)-RIGHT(G50,1) &lt; 0, "W2", ISBLANK(G50), "")</f>
        <v>W1</v>
      </c>
      <c r="J50" s="144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203" t="s">
        <v>3810</v>
      </c>
      <c r="H51" s="19" t="s">
        <v>3811</v>
      </c>
      <c r="I51" t="str" cm="1">
        <f t="array" ref="I51">_xlfn.IFS(LEFT(G51,1)-RIGHT(G51,1) &gt; 0, "W1",LEFT(G51,1)-RIGHT(G51,1) = 0, "D",LEFT(G51,1)-RIGHT(G51,1) &lt; 0, "W2", ISBLANK(G51), "")</f>
        <v>W2</v>
      </c>
      <c r="J51" s="144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203"/>
      <c r="H52" s="19"/>
      <c r="I52" t="e" cm="1">
        <f t="array" ref="I52">_xlfn.IFS(LEFT(G52,1)-RIGHT(G52,1) &gt; 0, "W1",LEFT(G52,1)-RIGHT(G52,1) = 0, "D",LEFT(G52,1)-RIGHT(G52,1) &lt; 0, "W2", ISBLANK(G52), "")</f>
        <v>#VALUE!</v>
      </c>
      <c r="J52" s="144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203"/>
      <c r="H53" s="19"/>
      <c r="I53" t="e" cm="1">
        <f t="array" ref="I53">_xlfn.IFS(LEFT(G53,1)-RIGHT(G53,1) &gt; 0, "W1",LEFT(G53,1)-RIGHT(G53,1) = 0, "D",LEFT(G53,1)-RIGHT(G53,1) &lt; 0, "W2", ISBLANK(G53), "")</f>
        <v>#VALUE!</v>
      </c>
      <c r="J53" s="144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203"/>
      <c r="H54" s="19"/>
      <c r="I54" t="e" cm="1">
        <f t="array" ref="I54">_xlfn.IFS(LEFT(G54,1)-RIGHT(G54,1) &gt; 0, "W1",LEFT(G54,1)-RIGHT(G54,1) = 0, "D",LEFT(G54,1)-RIGHT(G54,1) &lt; 0, "W2", ISBLANK(G54), "")</f>
        <v>#VALUE!</v>
      </c>
      <c r="J54" s="144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203"/>
      <c r="H55" s="19"/>
      <c r="I55" t="e" cm="1">
        <f t="array" ref="I55">_xlfn.IFS(LEFT(G55,1)-RIGHT(G55,1) &gt; 0, "W1",LEFT(G55,1)-RIGHT(G55,1) = 0, "D",LEFT(G55,1)-RIGHT(G55,1) &lt; 0, "W2", ISBLANK(G55), "")</f>
        <v>#VALUE!</v>
      </c>
      <c r="J55" s="144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204" t="s">
        <v>3807</v>
      </c>
      <c r="H56" s="21" t="s">
        <v>3808</v>
      </c>
      <c r="I56" t="str" cm="1">
        <f t="array" ref="I56">_xlfn.IFS(LEFT(G56,1)-RIGHT(G56,1) &gt; 0, "W1",LEFT(G56,1)-RIGHT(G56,1) = 0, "D",LEFT(G56,1)-RIGHT(G56,1) &lt; 0, "W2", ISBLANK(G56), "")</f>
        <v>W1</v>
      </c>
      <c r="J56" s="144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204" t="s">
        <v>3809</v>
      </c>
      <c r="H57" s="21" t="s">
        <v>3813</v>
      </c>
      <c r="I57" t="str" cm="1">
        <f t="array" ref="I57">_xlfn.IFS(LEFT(G57,1)-RIGHT(G57,1) &gt; 0, "W1",LEFT(G57,1)-RIGHT(G57,1) = 0, "D",LEFT(G57,1)-RIGHT(G57,1) &lt; 0, "W2", ISBLANK(G57), "")</f>
        <v>W1</v>
      </c>
      <c r="J57" s="144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204"/>
      <c r="H58" s="21"/>
      <c r="I58" t="e" cm="1">
        <f t="array" ref="I58">_xlfn.IFS(LEFT(G58,1)-RIGHT(G58,1) &gt; 0, "W1",LEFT(G58,1)-RIGHT(G58,1) = 0, "D",LEFT(G58,1)-RIGHT(G58,1) &lt; 0, "W2", ISBLANK(G58), "")</f>
        <v>#VALUE!</v>
      </c>
      <c r="J58" s="144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204"/>
      <c r="H59" s="21"/>
      <c r="I59" t="e" cm="1">
        <f t="array" ref="I59">_xlfn.IFS(LEFT(G59,1)-RIGHT(G59,1) &gt; 0, "W1",LEFT(G59,1)-RIGHT(G59,1) = 0, "D",LEFT(G59,1)-RIGHT(G59,1) &lt; 0, "W2", ISBLANK(G59), "")</f>
        <v>#VALUE!</v>
      </c>
      <c r="J59" s="144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204"/>
      <c r="H60" s="21"/>
      <c r="I60" t="e" cm="1">
        <f t="array" ref="I60">_xlfn.IFS(LEFT(G60,1)-RIGHT(G60,1) &gt; 0, "W1",LEFT(G60,1)-RIGHT(G60,1) = 0, "D",LEFT(G60,1)-RIGHT(G60,1) &lt; 0, "W2", ISBLANK(G60), "")</f>
        <v>#VALUE!</v>
      </c>
      <c r="J60" s="144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204"/>
      <c r="H61" s="21"/>
      <c r="I61" t="e" cm="1">
        <f t="array" ref="I61">_xlfn.IFS(LEFT(G61,1)-RIGHT(G61,1) &gt; 0, "W1",LEFT(G61,1)-RIGHT(G61,1) = 0, "D",LEFT(G61,1)-RIGHT(G61,1) &lt; 0, "W2", ISBLANK(G61), "")</f>
        <v>#VALUE!</v>
      </c>
      <c r="J61" s="144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205"/>
      <c r="H62" s="23"/>
      <c r="I62" t="e" cm="1">
        <f t="array" ref="I62">_xlfn.IFS(LEFT(G62,1)-RIGHT(G62,1) &gt; 0, "W1",LEFT(G62,1)-RIGHT(G62,1) = 0, "D",LEFT(G62,1)-RIGHT(G62,1) &lt; 0, "W2", ISBLANK(G62), "")</f>
        <v>#VALUE!</v>
      </c>
      <c r="J62" s="144" t="e">
        <f t="shared" si="1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205"/>
      <c r="H63" s="23"/>
      <c r="I63" t="e" cm="1">
        <f t="array" ref="I63">_xlfn.IFS(LEFT(G63,1)-RIGHT(G63,1) &gt; 0, "W1",LEFT(G63,1)-RIGHT(G63,1) = 0, "D",LEFT(G63,1)-RIGHT(G63,1) &lt; 0, "W2", ISBLANK(G63), "")</f>
        <v>#VALUE!</v>
      </c>
      <c r="J63" s="144" t="e">
        <f t="shared" si="1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205"/>
      <c r="H64" s="23"/>
      <c r="I64" t="e" cm="1">
        <f t="array" ref="I64">_xlfn.IFS(LEFT(G64,1)-RIGHT(G64,1) &gt; 0, "W1",LEFT(G64,1)-RIGHT(G64,1) = 0, "D",LEFT(G64,1)-RIGHT(G64,1) &lt; 0, "W2", ISBLANK(G64), "")</f>
        <v>#VALUE!</v>
      </c>
      <c r="J64" s="144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205"/>
      <c r="H65" s="23"/>
      <c r="I65" t="e" cm="1">
        <f t="array" ref="I65">_xlfn.IFS(LEFT(G65,1)-RIGHT(G65,1) &gt; 0, "W1",LEFT(G65,1)-RIGHT(G65,1) = 0, "D",LEFT(G65,1)-RIGHT(G65,1) &lt; 0, "W2", ISBLANK(G65), "")</f>
        <v>#VALUE!</v>
      </c>
      <c r="J65" s="144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205"/>
      <c r="H66" s="23"/>
      <c r="I66" t="e" cm="1">
        <f t="array" ref="I66">_xlfn.IFS(LEFT(G66,1)-RIGHT(G66,1) &gt; 0, "W1",LEFT(G66,1)-RIGHT(G66,1) = 0, "D",LEFT(G66,1)-RIGHT(G66,1) &lt; 0, "W2", ISBLANK(G66), "")</f>
        <v>#VALUE!</v>
      </c>
      <c r="J66" s="144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205"/>
      <c r="H67" s="23"/>
      <c r="I67" t="e" cm="1">
        <f t="array" ref="I67">_xlfn.IFS(LEFT(G67,1)-RIGHT(G67,1) &gt; 0, "W1",LEFT(G67,1)-RIGHT(G67,1) = 0, "D",LEFT(G67,1)-RIGHT(G67,1) &lt; 0, "W2", ISBLANK(G67), "")</f>
        <v>#VALUE!</v>
      </c>
      <c r="J67" s="144" t="e">
        <f t="shared" si="1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206"/>
      <c r="H68" s="25"/>
      <c r="I68" t="e" cm="1">
        <f t="array" ref="I68">_xlfn.IFS(LEFT(G68,1)-RIGHT(G68,1) &gt; 0, "W1",LEFT(G68,1)-RIGHT(G68,1) = 0, "D",LEFT(G68,1)-RIGHT(G68,1) &lt; 0, "W2", ISBLANK(G68), "")</f>
        <v>#VALUE!</v>
      </c>
      <c r="J68" s="144" t="e">
        <f t="shared" si="1"/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206"/>
      <c r="H69" s="25"/>
      <c r="I69" t="e" cm="1">
        <f t="array" ref="I69">_xlfn.IFS(LEFT(G69,1)-RIGHT(G69,1) &gt; 0, "W1",LEFT(G69,1)-RIGHT(G69,1) = 0, "D",LEFT(G69,1)-RIGHT(G69,1) &lt; 0, "W2", ISBLANK(G69), "")</f>
        <v>#VALUE!</v>
      </c>
      <c r="J69" s="144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206"/>
      <c r="H70" s="25"/>
      <c r="I70" t="e" cm="1">
        <f t="array" ref="I70">_xlfn.IFS(LEFT(G70,1)-RIGHT(G70,1) &gt; 0, "W1",LEFT(G70,1)-RIGHT(G70,1) = 0, "D",LEFT(G70,1)-RIGHT(G70,1) &lt; 0, "W2", ISBLANK(G70), "")</f>
        <v>#VALUE!</v>
      </c>
      <c r="J70" s="144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206"/>
      <c r="H71" s="25"/>
      <c r="I71" t="e" cm="1">
        <f t="array" ref="I71">_xlfn.IFS(LEFT(G71,1)-RIGHT(G71,1) &gt; 0, "W1",LEFT(G71,1)-RIGHT(G71,1) = 0, "D",LEFT(G71,1)-RIGHT(G71,1) &lt; 0, "W2", ISBLANK(G71), "")</f>
        <v>#VALUE!</v>
      </c>
      <c r="J71" s="144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206"/>
      <c r="H72" s="25"/>
      <c r="I72" t="e" cm="1">
        <f t="array" ref="I72">_xlfn.IFS(LEFT(G72,1)-RIGHT(G72,1) &gt; 0, "W1",LEFT(G72,1)-RIGHT(G72,1) = 0, "D",LEFT(G72,1)-RIGHT(G72,1) &lt; 0, "W2", ISBLANK(G72), "")</f>
        <v>#VALUE!</v>
      </c>
      <c r="J72" s="144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206"/>
      <c r="H73" s="25"/>
      <c r="I73" t="e" cm="1">
        <f t="array" ref="I73">_xlfn.IFS(LEFT(G73,1)-RIGHT(G73,1) &gt; 0, "W1",LEFT(G73,1)-RIGHT(G73,1) = 0, "D",LEFT(G73,1)-RIGHT(G73,1) &lt; 0, "W2", ISBLANK(G73), "")</f>
        <v>#VALUE!</v>
      </c>
      <c r="J73" s="144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207"/>
      <c r="H74" s="27"/>
      <c r="I74" t="e" cm="1">
        <f t="array" ref="I74">_xlfn.IFS(LEFT(G74,1)-RIGHT(G74,1) &gt; 0, "W1",LEFT(G74,1)-RIGHT(G74,1) = 0, "D",LEFT(G74,1)-RIGHT(G74,1) &lt; 0, "W2", ISBLANK(G74), "")</f>
        <v>#VALUE!</v>
      </c>
      <c r="J74" s="144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207"/>
      <c r="H75" s="27"/>
      <c r="I75" t="e" cm="1">
        <f t="array" ref="I75">_xlfn.IFS(LEFT(G75,1)-RIGHT(G75,1) &gt; 0, "W1",LEFT(G75,1)-RIGHT(G75,1) = 0, "D",LEFT(G75,1)-RIGHT(G75,1) &lt; 0, "W2", ISBLANK(G75), "")</f>
        <v>#VALUE!</v>
      </c>
      <c r="J75" s="144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207"/>
      <c r="H76" s="27"/>
      <c r="I76" t="e" cm="1">
        <f t="array" ref="I76">_xlfn.IFS(LEFT(G76,1)-RIGHT(G76,1) &gt; 0, "W1",LEFT(G76,1)-RIGHT(G76,1) = 0, "D",LEFT(G76,1)-RIGHT(G76,1) &lt; 0, "W2", ISBLANK(G76), "")</f>
        <v>#VALUE!</v>
      </c>
      <c r="J76" s="144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207"/>
      <c r="H77" s="27"/>
      <c r="I77" t="e" cm="1">
        <f t="array" ref="I77">_xlfn.IFS(LEFT(G77,1)-RIGHT(G77,1) &gt; 0, "W1",LEFT(G77,1)-RIGHT(G77,1) = 0, "D",LEFT(G77,1)-RIGHT(G77,1) &lt; 0, "W2", ISBLANK(G77), "")</f>
        <v>#VALUE!</v>
      </c>
      <c r="J77" s="144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207"/>
      <c r="H78" s="27"/>
      <c r="I78" t="e" cm="1">
        <f t="array" ref="I78">_xlfn.IFS(LEFT(G78,1)-RIGHT(G78,1) &gt; 0, "W1",LEFT(G78,1)-RIGHT(G78,1) = 0, "D",LEFT(G78,1)-RIGHT(G78,1) &lt; 0, "W2", ISBLANK(G78), "")</f>
        <v>#VALUE!</v>
      </c>
      <c r="J78" s="144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207"/>
      <c r="H79" s="27"/>
      <c r="I79" t="e" cm="1">
        <f t="array" ref="I79">_xlfn.IFS(LEFT(G79,1)-RIGHT(G79,1) &gt; 0, "W1",LEFT(G79,1)-RIGHT(G79,1) = 0, "D",LEFT(G79,1)-RIGHT(G79,1) &lt; 0, "W2", ISBLANK(G79), "")</f>
        <v>#VALUE!</v>
      </c>
      <c r="J79" s="144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207"/>
      <c r="H80" s="27"/>
      <c r="I80" t="e" cm="1">
        <f t="array" ref="I80">_xlfn.IFS(LEFT(G80,1)-RIGHT(G80,1) &gt; 0, "W1",LEFT(G80,1)-RIGHT(G80,1) = 0, "D",LEFT(G80,1)-RIGHT(G80,1) &lt; 0, "W2", ISBLANK(G80), "")</f>
        <v>#VALUE!</v>
      </c>
      <c r="J80" s="144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207"/>
      <c r="H81" s="27"/>
      <c r="I81" t="e" cm="1">
        <f t="array" ref="I81">_xlfn.IFS(LEFT(G81,1)-RIGHT(G81,1) &gt; 0, "W1",LEFT(G81,1)-RIGHT(G81,1) = 0, "D",LEFT(G81,1)-RIGHT(G81,1) &lt; 0, "W2", ISBLANK(G81), "")</f>
        <v>#VALUE!</v>
      </c>
      <c r="J81" s="144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207"/>
      <c r="H82" s="27"/>
      <c r="I82" t="e" cm="1">
        <f t="array" ref="I82">_xlfn.IFS(LEFT(G82,1)-RIGHT(G82,1) &gt; 0, "W1",LEFT(G82,1)-RIGHT(G82,1) = 0, "D",LEFT(G82,1)-RIGHT(G82,1) &lt; 0, "W2", ISBLANK(G82), "")</f>
        <v>#VALUE!</v>
      </c>
      <c r="J82" s="144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207"/>
      <c r="H83" s="27"/>
      <c r="I83" t="e" cm="1">
        <f t="array" ref="I83">_xlfn.IFS(LEFT(G83,1)-RIGHT(G83,1) &gt; 0, "W1",LEFT(G83,1)-RIGHT(G83,1) = 0, "D",LEFT(G83,1)-RIGHT(G83,1) &lt; 0, "W2", ISBLANK(G83), "")</f>
        <v>#VALUE!</v>
      </c>
      <c r="J83" s="144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207"/>
      <c r="H84" s="27"/>
      <c r="I84" t="e" cm="1">
        <f t="array" ref="I84">_xlfn.IFS(LEFT(G84,1)-RIGHT(G84,1) &gt; 0, "W1",LEFT(G84,1)-RIGHT(G84,1) = 0, "D",LEFT(G84,1)-RIGHT(G84,1) &lt; 0, "W2", ISBLANK(G84), "")</f>
        <v>#VALUE!</v>
      </c>
      <c r="J84" s="144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207"/>
      <c r="H85" s="27"/>
      <c r="I85" t="e" cm="1">
        <f t="array" ref="I85">_xlfn.IFS(LEFT(G85,1)-RIGHT(G85,1) &gt; 0, "W1",LEFT(G85,1)-RIGHT(G85,1) = 0, "D",LEFT(G85,1)-RIGHT(G85,1) &lt; 0, "W2", ISBLANK(G85), "")</f>
        <v>#VALUE!</v>
      </c>
      <c r="J85" s="144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207"/>
      <c r="H86" s="27"/>
      <c r="I86" t="e" cm="1">
        <f t="array" ref="I86">_xlfn.IFS(LEFT(G86,1)-RIGHT(G86,1) &gt; 0, "W1",LEFT(G86,1)-RIGHT(G86,1) = 0, "D",LEFT(G86,1)-RIGHT(G86,1) &lt; 0, "W2", ISBLANK(G86), "")</f>
        <v>#VALUE!</v>
      </c>
      <c r="J86" s="144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207"/>
      <c r="H87" s="27"/>
      <c r="I87" t="e" cm="1">
        <f t="array" ref="I87">_xlfn.IFS(LEFT(G87,1)-RIGHT(G87,1) &gt; 0, "W1",LEFT(G87,1)-RIGHT(G87,1) = 0, "D",LEFT(G87,1)-RIGHT(G87,1) &lt; 0, "W2", ISBLANK(G87), "")</f>
        <v>#VALUE!</v>
      </c>
      <c r="J87" s="144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207"/>
      <c r="H88" s="27"/>
      <c r="I88" t="e" cm="1">
        <f t="array" ref="I88">_xlfn.IFS(LEFT(G88,1)-RIGHT(G88,1) &gt; 0, "W1",LEFT(G88,1)-RIGHT(G88,1) = 0, "D",LEFT(G88,1)-RIGHT(G88,1) &lt; 0, "W2", ISBLANK(G88), "")</f>
        <v>#VALUE!</v>
      </c>
      <c r="J88" s="144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207"/>
      <c r="H89" s="27"/>
      <c r="I89" t="e" cm="1">
        <f t="array" ref="I89">_xlfn.IFS(LEFT(G89,1)-RIGHT(G89,1) &gt; 0, "W1",LEFT(G89,1)-RIGHT(G89,1) = 0, "D",LEFT(G89,1)-RIGHT(G89,1) &lt; 0, "W2", ISBLANK(G89), "")</f>
        <v>#VALUE!</v>
      </c>
      <c r="J89" s="144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208"/>
      <c r="H90" s="29"/>
      <c r="I90" t="e" cm="1">
        <f t="array" ref="I90">_xlfn.IFS(LEFT(G90,1)-RIGHT(G90,1) &gt; 0, "W1",LEFT(G90,1)-RIGHT(G90,1) = 0, "D",LEFT(G90,1)-RIGHT(G90,1) &lt; 0, "W2", ISBLANK(G90), "")</f>
        <v>#VALUE!</v>
      </c>
      <c r="J90" s="144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208"/>
      <c r="H91" s="29"/>
      <c r="I91" t="e" cm="1">
        <f t="array" ref="I91">_xlfn.IFS(LEFT(G91,1)-RIGHT(G91,1) &gt; 0, "W1",LEFT(G91,1)-RIGHT(G91,1) = 0, "D",LEFT(G91,1)-RIGHT(G91,1) &lt; 0, "W2", ISBLANK(G91), "")</f>
        <v>#VALUE!</v>
      </c>
      <c r="J91" s="144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208"/>
      <c r="H92" s="29"/>
      <c r="I92" t="e" cm="1">
        <f t="array" ref="I92">_xlfn.IFS(LEFT(G92,1)-RIGHT(G92,1) &gt; 0, "W1",LEFT(G92,1)-RIGHT(G92,1) = 0, "D",LEFT(G92,1)-RIGHT(G92,1) &lt; 0, "W2", ISBLANK(G92), "")</f>
        <v>#VALUE!</v>
      </c>
      <c r="J92" s="144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208"/>
      <c r="H93" s="29"/>
      <c r="I93" t="e" cm="1">
        <f t="array" ref="I93">_xlfn.IFS(LEFT(G93,1)-RIGHT(G93,1) &gt; 0, "W1",LEFT(G93,1)-RIGHT(G93,1) = 0, "D",LEFT(G93,1)-RIGHT(G93,1) &lt; 0, "W2", ISBLANK(G93), "")</f>
        <v>#VALUE!</v>
      </c>
      <c r="J93" s="144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208"/>
      <c r="H94" s="29"/>
      <c r="I94" t="e" cm="1">
        <f t="array" ref="I94">_xlfn.IFS(LEFT(G94,1)-RIGHT(G94,1) &gt; 0, "W1",LEFT(G94,1)-RIGHT(G94,1) = 0, "D",LEFT(G94,1)-RIGHT(G94,1) &lt; 0, "W2", ISBLANK(G94), "")</f>
        <v>#VALUE!</v>
      </c>
      <c r="J94" s="144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208"/>
      <c r="H95" s="29"/>
      <c r="I95" t="e" cm="1">
        <f t="array" ref="I95">_xlfn.IFS(LEFT(G95,1)-RIGHT(G95,1) &gt; 0, "W1",LEFT(G95,1)-RIGHT(G95,1) = 0, "D",LEFT(G95,1)-RIGHT(G95,1) &lt; 0, "W2", ISBLANK(G95), "")</f>
        <v>#VALUE!</v>
      </c>
      <c r="J95" s="144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208"/>
      <c r="H96" s="29"/>
      <c r="I96" t="e" cm="1">
        <f t="array" ref="I96">_xlfn.IFS(LEFT(G96,1)-RIGHT(G96,1) &gt; 0, "W1",LEFT(G96,1)-RIGHT(G96,1) = 0, "D",LEFT(G96,1)-RIGHT(G96,1) &lt; 0, "W2", ISBLANK(G96), "")</f>
        <v>#VALUE!</v>
      </c>
      <c r="J96" s="144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208"/>
      <c r="H97" s="29"/>
      <c r="I97" t="e" cm="1">
        <f t="array" ref="I97">_xlfn.IFS(LEFT(G97,1)-RIGHT(G97,1) &gt; 0, "W1",LEFT(G97,1)-RIGHT(G97,1) = 0, "D",LEFT(G97,1)-RIGHT(G97,1) &lt; 0, "W2", ISBLANK(G97), "")</f>
        <v>#VALUE!</v>
      </c>
      <c r="J97" s="144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209"/>
      <c r="H98" s="31"/>
      <c r="I98" t="e" cm="1">
        <f t="array" ref="I98">_xlfn.IFS(LEFT(G98,1)-RIGHT(G98,1) &gt; 0, "W1",LEFT(G98,1)-RIGHT(G98,1) = 0, "D",LEFT(G98,1)-RIGHT(G98,1) &lt; 0, "W2", ISBLANK(G98), "")</f>
        <v>#VALUE!</v>
      </c>
      <c r="J98" s="144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209"/>
      <c r="H99" s="31"/>
      <c r="I99" t="e" cm="1">
        <f t="array" ref="I99">_xlfn.IFS(LEFT(G99,1)-RIGHT(G99,1) &gt; 0, "W1",LEFT(G99,1)-RIGHT(G99,1) = 0, "D",LEFT(G99,1)-RIGHT(G99,1) &lt; 0, "W2", ISBLANK(G99), "")</f>
        <v>#VALUE!</v>
      </c>
      <c r="J99" s="144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209"/>
      <c r="H100" s="31"/>
      <c r="I100" t="e" cm="1">
        <f t="array" ref="I100">_xlfn.IFS(LEFT(G100,1)-RIGHT(G100,1) &gt; 0, "W1",LEFT(G100,1)-RIGHT(G100,1) = 0, "D",LEFT(G100,1)-RIGHT(G100,1) &lt; 0, "W2", ISBLANK(G100), "")</f>
        <v>#VALUE!</v>
      </c>
      <c r="J100" s="144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209"/>
      <c r="H101" s="31"/>
      <c r="I101" t="e" cm="1">
        <f t="array" ref="I101">_xlfn.IFS(LEFT(G101,1)-RIGHT(G101,1) &gt; 0, "W1",LEFT(G101,1)-RIGHT(G101,1) = 0, "D",LEFT(G101,1)-RIGHT(G101,1) &lt; 0, "W2", ISBLANK(G101), "")</f>
        <v>#VALUE!</v>
      </c>
      <c r="J101" s="144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210"/>
      <c r="H102" s="33"/>
      <c r="I102" t="e" cm="1">
        <f t="array" ref="I102">_xlfn.IFS(LEFT(G102,1)-RIGHT(G102,1) &gt; 0, "W1",LEFT(G102,1)-RIGHT(G102,1) = 0, "D",LEFT(G102,1)-RIGHT(G102,1) &lt; 0, "W2", ISBLANK(G102), "")</f>
        <v>#VALUE!</v>
      </c>
      <c r="J102" s="144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210"/>
      <c r="H103" s="33"/>
      <c r="I103" t="e" cm="1">
        <f t="array" ref="I103">_xlfn.IFS(LEFT(G103,1)-RIGHT(G103,1) &gt; 0, "W1",LEFT(G103,1)-RIGHT(G103,1) = 0, "D",LEFT(G103,1)-RIGHT(G103,1) &lt; 0, "W2", ISBLANK(G103), "")</f>
        <v>#VALUE!</v>
      </c>
      <c r="J103" s="144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211"/>
      <c r="H104" s="35"/>
      <c r="I104" t="e" cm="1">
        <f t="array" ref="I104">_xlfn.IFS(LEFT(G104,1)-RIGHT(G104,1) &gt; 0, "W1",LEFT(G104,1)-RIGHT(G104,1) = 0, "D",LEFT(G104,1)-RIGHT(G104,1) &lt; 0, "W2", ISBLANK(G104), "")</f>
        <v>#VALUE!</v>
      </c>
      <c r="J104" s="144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207"/>
      <c r="H105" s="27"/>
      <c r="I105" t="e" cm="1">
        <f t="array" ref="I105">_xlfn.IFS(LEFT(G105,1)-RIGHT(G105,1) &gt; 0, "W1",LEFT(G105,1)-RIGHT(G105,1) = 0, "D",LEFT(G105,1)-RIGHT(G105,1) &lt; 0, "W2", ISBLANK(G105), "")</f>
        <v>#VALUE!</v>
      </c>
      <c r="J105" s="144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tabSelected="1" zoomScale="85" zoomScaleNormal="85" workbookViewId="0">
      <pane ySplit="1" topLeftCell="A81" activePane="bottomLeft" state="frozen"/>
      <selection pane="bottomLeft" activeCell="I2" sqref="I2:I1249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21.1796875" customWidth="1"/>
    <col min="7" max="7" width="35.36328125" customWidth="1"/>
    <col min="8" max="8" width="21.1796875" customWidth="1"/>
    <col min="9" max="9" width="13.6328125" customWidth="1"/>
  </cols>
  <sheetData>
    <row r="1" spans="1:9" ht="22" customHeight="1" x14ac:dyDescent="0.35">
      <c r="A1" s="145" t="s">
        <v>262</v>
      </c>
      <c r="B1" s="145" t="s">
        <v>263</v>
      </c>
      <c r="C1" s="145" t="s">
        <v>264</v>
      </c>
      <c r="D1" s="145" t="s">
        <v>265</v>
      </c>
      <c r="E1" s="145" t="s">
        <v>266</v>
      </c>
      <c r="F1" s="145" t="s">
        <v>2510</v>
      </c>
      <c r="G1" s="145" t="s">
        <v>2511</v>
      </c>
      <c r="H1" s="146" t="s">
        <v>2512</v>
      </c>
      <c r="I1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147" t="s">
        <v>2513</v>
      </c>
      <c r="G2" s="148" t="str">
        <f>_xlfn.CONCAT(C2, " ",D2, " - ",F2)</f>
        <v>Melvin MASTIL - Algeria</v>
      </c>
      <c r="H2" t="str">
        <f>_xlfn.CONCAT(E2,A2)</f>
        <v>DZA1</v>
      </c>
      <c r="I2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147" t="s">
        <v>2513</v>
      </c>
      <c r="G3" s="148" t="str">
        <f t="shared" ref="G3:G66" si="0">_xlfn.CONCAT(C3, " ",D3, " - ",F3)</f>
        <v>Aissa MANDI - Algeria</v>
      </c>
      <c r="H3" t="str">
        <f t="shared" ref="H3:H66" si="1">_xlfn.CONCAT(E3,A3)</f>
        <v>DZA2</v>
      </c>
      <c r="I3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147" t="s">
        <v>2513</v>
      </c>
      <c r="G4" s="148" t="str">
        <f t="shared" si="0"/>
        <v>Achraf ABADA - Algeria</v>
      </c>
      <c r="H4" t="str">
        <f t="shared" si="1"/>
        <v>DZA3</v>
      </c>
      <c r="I4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147" t="s">
        <v>2513</v>
      </c>
      <c r="G5" s="148" t="str">
        <f t="shared" si="0"/>
        <v>Mohamed Amine TOUGAI - Algeria</v>
      </c>
      <c r="H5" t="str">
        <f t="shared" si="1"/>
        <v>DZA4</v>
      </c>
      <c r="I5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147" t="s">
        <v>2513</v>
      </c>
      <c r="G6" s="148" t="str">
        <f t="shared" si="0"/>
        <v>Zineddine BELAID - Algeria</v>
      </c>
      <c r="H6" t="str">
        <f t="shared" si="1"/>
        <v>DZA5</v>
      </c>
      <c r="I6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147" t="s">
        <v>2513</v>
      </c>
      <c r="G7" s="148" t="str">
        <f t="shared" si="0"/>
        <v>Ramiz ZERROUKI - Algeria</v>
      </c>
      <c r="H7" t="str">
        <f t="shared" si="1"/>
        <v>DZA6</v>
      </c>
      <c r="I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147" t="s">
        <v>2513</v>
      </c>
      <c r="G8" s="148" t="str">
        <f t="shared" si="0"/>
        <v>Riyad MAHREZ - Algeria</v>
      </c>
      <c r="H8" t="str">
        <f t="shared" si="1"/>
        <v>DZA7</v>
      </c>
      <c r="I8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147" t="s">
        <v>2513</v>
      </c>
      <c r="G9" s="148" t="str">
        <f t="shared" si="0"/>
        <v>Houssem AOUAR - Algeria</v>
      </c>
      <c r="H9" t="str">
        <f t="shared" si="1"/>
        <v>DZA8</v>
      </c>
      <c r="I9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147" t="s">
        <v>2513</v>
      </c>
      <c r="G10" s="148" t="str">
        <f t="shared" si="0"/>
        <v>Amine GOUIRI - Algeria</v>
      </c>
      <c r="H10" t="str">
        <f t="shared" si="1"/>
        <v>DZA9</v>
      </c>
      <c r="I10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147" t="s">
        <v>2513</v>
      </c>
      <c r="G11" s="148" t="str">
        <f t="shared" si="0"/>
        <v>Fares CHAIBI - Algeria</v>
      </c>
      <c r="H11" t="str">
        <f t="shared" si="1"/>
        <v>DZA10</v>
      </c>
      <c r="I11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147" t="s">
        <v>2513</v>
      </c>
      <c r="G12" s="148" t="str">
        <f t="shared" si="0"/>
        <v>Anis HADJ MOUSSA - Algeria</v>
      </c>
      <c r="H12" t="str">
        <f t="shared" si="1"/>
        <v>DZA11</v>
      </c>
      <c r="I12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147" t="s">
        <v>2513</v>
      </c>
      <c r="G13" s="148" t="str">
        <f t="shared" si="0"/>
        <v>Nadhir BENBOUALI - Algeria</v>
      </c>
      <c r="H13" t="str">
        <f t="shared" si="1"/>
        <v>DZA12</v>
      </c>
      <c r="I13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147" t="s">
        <v>2513</v>
      </c>
      <c r="G14" s="148" t="str">
        <f t="shared" si="0"/>
        <v>Jaouen HADJAM - Algeria</v>
      </c>
      <c r="H14" t="str">
        <f t="shared" si="1"/>
        <v>DZA13</v>
      </c>
      <c r="I14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147" t="s">
        <v>2513</v>
      </c>
      <c r="G15" s="148" t="str">
        <f t="shared" si="0"/>
        <v>Hicham BOUDAOUI - Algeria</v>
      </c>
      <c r="H15" t="str">
        <f t="shared" si="1"/>
        <v>DZA14</v>
      </c>
      <c r="I15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147" t="s">
        <v>2513</v>
      </c>
      <c r="G16" s="148" t="str">
        <f t="shared" si="0"/>
        <v>Rayan AIT-NOURI - Algeria</v>
      </c>
      <c r="H16" t="str">
        <f t="shared" si="1"/>
        <v>DZA15</v>
      </c>
      <c r="I16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147" t="s">
        <v>2513</v>
      </c>
      <c r="G17" s="148" t="str">
        <f t="shared" si="0"/>
        <v>Oussama BENBOT - Algeria</v>
      </c>
      <c r="H17" t="str">
        <f t="shared" si="1"/>
        <v>DZA16</v>
      </c>
      <c r="I1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147" t="s">
        <v>2513</v>
      </c>
      <c r="G18" s="148" t="str">
        <f t="shared" si="0"/>
        <v>Rak BELGHALI - Algeria</v>
      </c>
      <c r="H18" t="str">
        <f t="shared" si="1"/>
        <v>DZA17</v>
      </c>
      <c r="I18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147" t="s">
        <v>2513</v>
      </c>
      <c r="G19" s="148" t="str">
        <f t="shared" si="0"/>
        <v>Mohamed AMOURA - Algeria</v>
      </c>
      <c r="H19" t="str">
        <f t="shared" si="1"/>
        <v>DZA18</v>
      </c>
      <c r="I19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147" t="s">
        <v>2513</v>
      </c>
      <c r="G20" s="148" t="str">
        <f t="shared" si="0"/>
        <v>Nabil BENTALEB - Algeria</v>
      </c>
      <c r="H20" t="str">
        <f t="shared" si="1"/>
        <v>DZA19</v>
      </c>
      <c r="I20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147" t="s">
        <v>2513</v>
      </c>
      <c r="G21" s="148" t="str">
        <f t="shared" si="0"/>
        <v>Adil BOULBINA - Algeria</v>
      </c>
      <c r="H21" t="str">
        <f t="shared" si="1"/>
        <v>DZA20</v>
      </c>
      <c r="I21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147" t="s">
        <v>2513</v>
      </c>
      <c r="G22" s="148" t="str">
        <f t="shared" si="0"/>
        <v>Ramy BENSEBAINI - Algeria</v>
      </c>
      <c r="H22" t="str">
        <f t="shared" si="1"/>
        <v>DZA21</v>
      </c>
      <c r="I22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147" t="s">
        <v>2513</v>
      </c>
      <c r="G23" s="148" t="str">
        <f t="shared" si="0"/>
        <v>Ibrahim MAZA - Algeria</v>
      </c>
      <c r="H23" t="str">
        <f t="shared" si="1"/>
        <v>DZA22</v>
      </c>
      <c r="I23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147" t="s">
        <v>2513</v>
      </c>
      <c r="G24" s="148" t="str">
        <f t="shared" si="0"/>
        <v>Luca ZIDANE - Algeria</v>
      </c>
      <c r="H24" t="str">
        <f t="shared" si="1"/>
        <v>DZA23</v>
      </c>
      <c r="I24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147" t="s">
        <v>2513</v>
      </c>
      <c r="G25" s="148" t="str">
        <f t="shared" si="0"/>
        <v>Yassine TITRAOUI - Algeria</v>
      </c>
      <c r="H25" t="str">
        <f t="shared" si="1"/>
        <v>DZA24</v>
      </c>
      <c r="I25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147" t="s">
        <v>2513</v>
      </c>
      <c r="G26" s="148" t="str">
        <f t="shared" si="0"/>
        <v>Fares GHEDJEMIS - Algeria</v>
      </c>
      <c r="H26" t="str">
        <f t="shared" si="1"/>
        <v>DZA25</v>
      </c>
      <c r="I26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147" t="s">
        <v>2513</v>
      </c>
      <c r="G27" s="148" t="str">
        <f t="shared" si="0"/>
        <v>Samir CHERGUI - Algeria</v>
      </c>
      <c r="H27" t="str">
        <f t="shared" si="1"/>
        <v>DZA26</v>
      </c>
      <c r="I2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149" t="s">
        <v>2540</v>
      </c>
      <c r="G28" s="148" t="str">
        <f t="shared" si="0"/>
        <v>Juan MUSSO - Argentina</v>
      </c>
      <c r="H28" t="str">
        <f t="shared" si="1"/>
        <v>ARG1</v>
      </c>
      <c r="I28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150" t="s">
        <v>2540</v>
      </c>
      <c r="G29" s="148" t="str">
        <f t="shared" si="0"/>
        <v>Marcos SENESI - Argentina</v>
      </c>
      <c r="H29" t="str">
        <f t="shared" si="1"/>
        <v>ARG2</v>
      </c>
      <c r="I2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149" t="s">
        <v>2540</v>
      </c>
      <c r="G30" s="148" t="str">
        <f t="shared" si="0"/>
        <v>Nicolas TAGLIAFICO - Argentina</v>
      </c>
      <c r="H30" t="str">
        <f t="shared" si="1"/>
        <v>ARG3</v>
      </c>
      <c r="I30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149" t="s">
        <v>2540</v>
      </c>
      <c r="G31" s="148" t="str">
        <f t="shared" si="0"/>
        <v>Gonzalo MONTIEL - Argentina</v>
      </c>
      <c r="H31" t="str">
        <f t="shared" si="1"/>
        <v>ARG4</v>
      </c>
      <c r="I31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149" t="s">
        <v>2540</v>
      </c>
      <c r="G32" s="148" t="str">
        <f t="shared" si="0"/>
        <v>Leandro PAREDES - Argentina</v>
      </c>
      <c r="H32" t="str">
        <f t="shared" si="1"/>
        <v>ARG5</v>
      </c>
      <c r="I32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149" t="s">
        <v>2540</v>
      </c>
      <c r="G33" s="148" t="str">
        <f t="shared" si="0"/>
        <v>Lisandro MARTINEZ - Argentina</v>
      </c>
      <c r="H33" t="str">
        <f t="shared" si="1"/>
        <v>ARG6</v>
      </c>
      <c r="I33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149" t="s">
        <v>2540</v>
      </c>
      <c r="G34" s="148" t="str">
        <f t="shared" si="0"/>
        <v>Rodrigo DE PAUL - Argentina</v>
      </c>
      <c r="H34" t="str">
        <f t="shared" si="1"/>
        <v>ARG7</v>
      </c>
      <c r="I34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149" t="s">
        <v>2540</v>
      </c>
      <c r="G35" s="148" t="str">
        <f t="shared" si="0"/>
        <v>Valentin BARCO - Argentina</v>
      </c>
      <c r="H35" t="str">
        <f t="shared" si="1"/>
        <v>ARG8</v>
      </c>
      <c r="I35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149" t="s">
        <v>2540</v>
      </c>
      <c r="G36" s="148" t="str">
        <f t="shared" si="0"/>
        <v>Julian ALVAREZ - Argentina</v>
      </c>
      <c r="H36" t="str">
        <f t="shared" si="1"/>
        <v>ARG9</v>
      </c>
      <c r="I36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149" t="s">
        <v>2540</v>
      </c>
      <c r="G37" s="148" t="str">
        <f t="shared" si="0"/>
        <v>Lionel MESSI - Argentina</v>
      </c>
      <c r="H37" t="str">
        <f t="shared" si="1"/>
        <v>ARG10</v>
      </c>
      <c r="I37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149" t="s">
        <v>2540</v>
      </c>
      <c r="G38" s="148" t="str">
        <f t="shared" si="0"/>
        <v>Giovani LO CELSO - Argentina</v>
      </c>
      <c r="H38" t="str">
        <f t="shared" si="1"/>
        <v>ARG11</v>
      </c>
      <c r="I38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149" t="s">
        <v>2540</v>
      </c>
      <c r="G39" s="148" t="str">
        <f t="shared" si="0"/>
        <v>Geronimo RULLI - Argentina</v>
      </c>
      <c r="H39" t="str">
        <f t="shared" si="1"/>
        <v>ARG12</v>
      </c>
      <c r="I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149" t="s">
        <v>2540</v>
      </c>
      <c r="G40" s="148" t="str">
        <f t="shared" si="0"/>
        <v>Cristian ROMERO - Argentina</v>
      </c>
      <c r="H40" t="str">
        <f t="shared" si="1"/>
        <v>ARG13</v>
      </c>
      <c r="I40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149" t="s">
        <v>2540</v>
      </c>
      <c r="G41" s="148" t="str">
        <f t="shared" si="0"/>
        <v>Exequiel PALACIOS - Argentina</v>
      </c>
      <c r="H41" t="str">
        <f t="shared" si="1"/>
        <v>ARG14</v>
      </c>
      <c r="I41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149" t="s">
        <v>2540</v>
      </c>
      <c r="G42" s="148" t="str">
        <f t="shared" si="0"/>
        <v>Nico GONZALEZ - Argentina</v>
      </c>
      <c r="H42" t="str">
        <f t="shared" si="1"/>
        <v>ARG15</v>
      </c>
      <c r="I42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149" t="s">
        <v>2540</v>
      </c>
      <c r="G43" s="148" t="str">
        <f t="shared" si="0"/>
        <v>Thiago ALMADA - Argentina</v>
      </c>
      <c r="H43" t="str">
        <f t="shared" si="1"/>
        <v>ARG16</v>
      </c>
      <c r="I43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149" t="s">
        <v>2540</v>
      </c>
      <c r="G44" s="148" t="str">
        <f t="shared" si="0"/>
        <v>Giuliano SIMEONE - Argentina</v>
      </c>
      <c r="H44" t="str">
        <f t="shared" si="1"/>
        <v>ARG17</v>
      </c>
      <c r="I44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149" t="s">
        <v>2540</v>
      </c>
      <c r="G45" s="148" t="str">
        <f t="shared" si="0"/>
        <v>Nico PAZ - Argentina</v>
      </c>
      <c r="H45" t="str">
        <f t="shared" si="1"/>
        <v>ARG18</v>
      </c>
      <c r="I45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149" t="s">
        <v>2540</v>
      </c>
      <c r="G46" s="148" t="str">
        <f t="shared" si="0"/>
        <v>Nicolas OTAMENDI - Argentina</v>
      </c>
      <c r="H46" t="str">
        <f t="shared" si="1"/>
        <v>ARG19</v>
      </c>
      <c r="I46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149" t="s">
        <v>2540</v>
      </c>
      <c r="G47" s="148" t="str">
        <f t="shared" si="0"/>
        <v>Alexis MAC ALLISTER - Argentina</v>
      </c>
      <c r="H47" t="str">
        <f t="shared" si="1"/>
        <v>ARG20</v>
      </c>
      <c r="I47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149" t="s">
        <v>2540</v>
      </c>
      <c r="G48" s="148" t="str">
        <f t="shared" si="0"/>
        <v>Jose Manuel LOPEZ - Argentina</v>
      </c>
      <c r="H48" t="str">
        <f t="shared" si="1"/>
        <v>ARG21</v>
      </c>
      <c r="I48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149" t="s">
        <v>2540</v>
      </c>
      <c r="G49" s="148" t="str">
        <f t="shared" si="0"/>
        <v>Lautaro MARTINEZ - Argentina</v>
      </c>
      <c r="H49" t="str">
        <f t="shared" si="1"/>
        <v>ARG22</v>
      </c>
      <c r="I4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149" t="s">
        <v>2540</v>
      </c>
      <c r="G50" s="148" t="str">
        <f t="shared" si="0"/>
        <v>Emiliano MARTINEZ - Argentina</v>
      </c>
      <c r="H50" t="str">
        <f t="shared" si="1"/>
        <v>ARG23</v>
      </c>
      <c r="I50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149" t="s">
        <v>2540</v>
      </c>
      <c r="G51" s="148" t="str">
        <f t="shared" si="0"/>
        <v>Enzo FERNANDEZ - Argentina</v>
      </c>
      <c r="H51" t="str">
        <f t="shared" si="1"/>
        <v>ARG24</v>
      </c>
      <c r="I51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149" t="s">
        <v>2540</v>
      </c>
      <c r="G52" s="148" t="str">
        <f t="shared" si="0"/>
        <v>Facundo MEDINA - Argentina</v>
      </c>
      <c r="H52" t="str">
        <f t="shared" si="1"/>
        <v>ARG25</v>
      </c>
      <c r="I52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149" t="s">
        <v>2540</v>
      </c>
      <c r="G53" s="148" t="str">
        <f t="shared" si="0"/>
        <v>Nahuel MOLINA - Argentina</v>
      </c>
      <c r="H53" t="str">
        <f t="shared" si="1"/>
        <v>ARG26</v>
      </c>
      <c r="I53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151" t="s">
        <v>2567</v>
      </c>
      <c r="G54" s="148" t="str">
        <f t="shared" si="0"/>
        <v>Mathew RYAN - Australia</v>
      </c>
      <c r="H54" t="str">
        <f t="shared" si="1"/>
        <v>AUS1</v>
      </c>
      <c r="I54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151" t="s">
        <v>2567</v>
      </c>
      <c r="G55" s="148" t="str">
        <f t="shared" si="0"/>
        <v>Milos DEGENEK - Australia</v>
      </c>
      <c r="H55" t="str">
        <f t="shared" si="1"/>
        <v>AUS2</v>
      </c>
      <c r="I55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151" t="s">
        <v>2567</v>
      </c>
      <c r="G56" s="148" t="str">
        <f t="shared" si="0"/>
        <v>Alessandro CIRCATI - Australia</v>
      </c>
      <c r="H56" t="str">
        <f t="shared" si="1"/>
        <v>AUS3</v>
      </c>
      <c r="I56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151" t="s">
        <v>2567</v>
      </c>
      <c r="G57" s="148" t="str">
        <f t="shared" si="0"/>
        <v>Jacob ITALIANO - Australia</v>
      </c>
      <c r="H57" t="str">
        <f t="shared" si="1"/>
        <v>AUS4</v>
      </c>
      <c r="I57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151" t="s">
        <v>2567</v>
      </c>
      <c r="G58" s="148" t="str">
        <f t="shared" si="0"/>
        <v>Jordan BOS - Australia</v>
      </c>
      <c r="H58" t="str">
        <f t="shared" si="1"/>
        <v>AUS5</v>
      </c>
      <c r="I58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151" t="s">
        <v>2567</v>
      </c>
      <c r="G59" s="148" t="str">
        <f t="shared" si="0"/>
        <v>Jason GERIA - Australia</v>
      </c>
      <c r="H59" t="str">
        <f t="shared" si="1"/>
        <v>AUS6</v>
      </c>
      <c r="I59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151" t="s">
        <v>2567</v>
      </c>
      <c r="G60" s="148" t="str">
        <f t="shared" si="0"/>
        <v>Mathew LECKIE - Australia</v>
      </c>
      <c r="H60" t="str">
        <f t="shared" si="1"/>
        <v>AUS7</v>
      </c>
      <c r="I60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151" t="s">
        <v>2567</v>
      </c>
      <c r="G61" s="148" t="str">
        <f t="shared" si="0"/>
        <v>Connor METCALFE - Australia</v>
      </c>
      <c r="H61" t="str">
        <f t="shared" si="1"/>
        <v>AUS8</v>
      </c>
      <c r="I6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151" t="s">
        <v>2567</v>
      </c>
      <c r="G62" s="148" t="str">
        <f t="shared" si="0"/>
        <v>Mohamed TOURE - Australia</v>
      </c>
      <c r="H62" t="str">
        <f t="shared" si="1"/>
        <v>AUS9</v>
      </c>
      <c r="I62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151" t="s">
        <v>2567</v>
      </c>
      <c r="G63" s="148" t="str">
        <f t="shared" si="0"/>
        <v>Ajdin HRUSTIC - Australia</v>
      </c>
      <c r="H63" t="str">
        <f t="shared" si="1"/>
        <v>AUS10</v>
      </c>
      <c r="I63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151" t="s">
        <v>2567</v>
      </c>
      <c r="G64" s="148" t="str">
        <f t="shared" si="0"/>
        <v>Awer MABIL - Australia</v>
      </c>
      <c r="H64" t="str">
        <f t="shared" si="1"/>
        <v>AUS11</v>
      </c>
      <c r="I64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151" t="s">
        <v>2567</v>
      </c>
      <c r="G65" s="148" t="str">
        <f t="shared" si="0"/>
        <v>Paul IZZO - Australia</v>
      </c>
      <c r="H65" t="str">
        <f t="shared" si="1"/>
        <v>AUS12</v>
      </c>
      <c r="I65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151" t="s">
        <v>2567</v>
      </c>
      <c r="G66" s="148" t="str">
        <f t="shared" si="0"/>
        <v>Aiden ONEILL - Australia</v>
      </c>
      <c r="H66" t="str">
        <f t="shared" si="1"/>
        <v>AUS13</v>
      </c>
      <c r="I66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151" t="s">
        <v>2567</v>
      </c>
      <c r="G67" s="148" t="str">
        <f t="shared" ref="G67:G130" si="2">_xlfn.CONCAT(C67, " ",D67, " - ",F67)</f>
        <v>Cameron DEVLIN - Australia</v>
      </c>
      <c r="H67" t="str">
        <f t="shared" ref="H67:H130" si="3">_xlfn.CONCAT(E67,A67)</f>
        <v>AUS14</v>
      </c>
      <c r="I67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151" t="s">
        <v>2567</v>
      </c>
      <c r="G68" s="148" t="str">
        <f t="shared" si="2"/>
        <v>Kai TREWIN - Australia</v>
      </c>
      <c r="H68" t="str">
        <f t="shared" si="3"/>
        <v>AUS15</v>
      </c>
      <c r="I68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151" t="s">
        <v>2567</v>
      </c>
      <c r="G69" s="148" t="str">
        <f t="shared" si="2"/>
        <v>Aziz BEHICH - Australia</v>
      </c>
      <c r="H69" t="str">
        <f t="shared" si="3"/>
        <v>AUS16</v>
      </c>
      <c r="I69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151" t="s">
        <v>2567</v>
      </c>
      <c r="G70" s="148" t="str">
        <f t="shared" si="2"/>
        <v>Nestory IRANKUNDA - Australia</v>
      </c>
      <c r="H70" t="str">
        <f t="shared" si="3"/>
        <v>AUS17</v>
      </c>
      <c r="I70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151" t="s">
        <v>2567</v>
      </c>
      <c r="G71" s="148" t="str">
        <f t="shared" si="2"/>
        <v>Patrick BEACH - Australia</v>
      </c>
      <c r="H71" t="str">
        <f t="shared" si="3"/>
        <v>AUS18</v>
      </c>
      <c r="I7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151" t="s">
        <v>2567</v>
      </c>
      <c r="G72" s="148" t="str">
        <f t="shared" si="2"/>
        <v>Harry SOUTTAR - Australia</v>
      </c>
      <c r="H72" t="str">
        <f t="shared" si="3"/>
        <v>AUS19</v>
      </c>
      <c r="I72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151" t="s">
        <v>2567</v>
      </c>
      <c r="G73" s="148" t="str">
        <f t="shared" si="2"/>
        <v>Cristian VOLPATO - Australia</v>
      </c>
      <c r="H73" t="str">
        <f t="shared" si="3"/>
        <v>AUS20</v>
      </c>
      <c r="I73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151" t="s">
        <v>2567</v>
      </c>
      <c r="G74" s="148" t="str">
        <f t="shared" si="2"/>
        <v>Cameron BURGESS - Australia</v>
      </c>
      <c r="H74" t="str">
        <f t="shared" si="3"/>
        <v>AUS21</v>
      </c>
      <c r="I74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151" t="s">
        <v>2567</v>
      </c>
      <c r="G75" s="148" t="str">
        <f t="shared" si="2"/>
        <v>Jackson IRVINE - Australia</v>
      </c>
      <c r="H75" t="str">
        <f t="shared" si="3"/>
        <v>AUS22</v>
      </c>
      <c r="I75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151" t="s">
        <v>2567</v>
      </c>
      <c r="G76" s="148" t="str">
        <f t="shared" si="2"/>
        <v>Nishan VELUPILLAY - Australia</v>
      </c>
      <c r="H76" t="str">
        <f t="shared" si="3"/>
        <v>AUS23</v>
      </c>
      <c r="I76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151" t="s">
        <v>2567</v>
      </c>
      <c r="G77" s="148" t="str">
        <f t="shared" si="2"/>
        <v>Paul OKON-ENGSTLER - Australia</v>
      </c>
      <c r="H77" t="str">
        <f t="shared" si="3"/>
        <v>AUS24</v>
      </c>
      <c r="I77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151" t="s">
        <v>2567</v>
      </c>
      <c r="G78" s="148" t="str">
        <f t="shared" si="2"/>
        <v>Lucas HERRINGTON - Australia</v>
      </c>
      <c r="H78" t="str">
        <f t="shared" si="3"/>
        <v>AUS25</v>
      </c>
      <c r="I78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151" t="s">
        <v>2567</v>
      </c>
      <c r="G79" s="148" t="str">
        <f t="shared" si="2"/>
        <v>Tete YENGI - Australia</v>
      </c>
      <c r="H79" t="str">
        <f t="shared" si="3"/>
        <v>AUS26</v>
      </c>
      <c r="I79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152" t="s">
        <v>2594</v>
      </c>
      <c r="G80" s="148" t="str">
        <f t="shared" si="2"/>
        <v>Alexander SCHLAGER - Austria</v>
      </c>
      <c r="H80" t="str">
        <f t="shared" si="3"/>
        <v>AUT1</v>
      </c>
      <c r="I80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152" t="s">
        <v>2594</v>
      </c>
      <c r="G81" s="148" t="str">
        <f t="shared" si="2"/>
        <v>David AFFENGRUBER - Austria</v>
      </c>
      <c r="H81" t="str">
        <f t="shared" si="3"/>
        <v>AUT2</v>
      </c>
      <c r="I81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152" t="s">
        <v>2594</v>
      </c>
      <c r="G82" s="148" t="str">
        <f t="shared" si="2"/>
        <v>Kevin DANSO - Austria</v>
      </c>
      <c r="H82" t="str">
        <f t="shared" si="3"/>
        <v>AUT3</v>
      </c>
      <c r="I82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152" t="s">
        <v>2594</v>
      </c>
      <c r="G83" s="148" t="str">
        <f t="shared" si="2"/>
        <v>Xaver SCHLAGER - Austria</v>
      </c>
      <c r="H83" t="str">
        <f t="shared" si="3"/>
        <v>AUT4</v>
      </c>
      <c r="I8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152" t="s">
        <v>2594</v>
      </c>
      <c r="G84" s="148" t="str">
        <f t="shared" si="2"/>
        <v>Stefan POSCH - Austria</v>
      </c>
      <c r="H84" t="str">
        <f t="shared" si="3"/>
        <v>AUT5</v>
      </c>
      <c r="I84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152" t="s">
        <v>2594</v>
      </c>
      <c r="G85" s="148" t="str">
        <f t="shared" si="2"/>
        <v>Nicolas SEIWALD - Austria</v>
      </c>
      <c r="H85" t="str">
        <f t="shared" si="3"/>
        <v>AUT6</v>
      </c>
      <c r="I85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152" t="s">
        <v>2594</v>
      </c>
      <c r="G86" s="148" t="str">
        <f t="shared" si="2"/>
        <v>Marko ARNAUTOVIC - Austria</v>
      </c>
      <c r="H86" t="str">
        <f t="shared" si="3"/>
        <v>AUT7</v>
      </c>
      <c r="I86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152" t="s">
        <v>2594</v>
      </c>
      <c r="G87" s="148" t="str">
        <f t="shared" si="2"/>
        <v>David ALABA - Austria</v>
      </c>
      <c r="H87" t="str">
        <f t="shared" si="3"/>
        <v>AUT8</v>
      </c>
      <c r="I87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152" t="s">
        <v>2594</v>
      </c>
      <c r="G88" s="148" t="str">
        <f t="shared" si="2"/>
        <v>Marcel SABITZER - Austria</v>
      </c>
      <c r="H88" t="str">
        <f t="shared" si="3"/>
        <v>AUT9</v>
      </c>
      <c r="I88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152" t="s">
        <v>2594</v>
      </c>
      <c r="G89" s="148" t="str">
        <f t="shared" si="2"/>
        <v>Florian GRILLITSCH - Austria</v>
      </c>
      <c r="H89" t="str">
        <f t="shared" si="3"/>
        <v>AUT10</v>
      </c>
      <c r="I89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152" t="s">
        <v>2594</v>
      </c>
      <c r="G90" s="148" t="str">
        <f t="shared" si="2"/>
        <v>Michael GREGORITSCH - Austria</v>
      </c>
      <c r="H90" t="str">
        <f t="shared" si="3"/>
        <v>AUT11</v>
      </c>
      <c r="I90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152" t="s">
        <v>2594</v>
      </c>
      <c r="G91" s="148" t="str">
        <f t="shared" si="2"/>
        <v>Florian WIEGELE - Austria</v>
      </c>
      <c r="H91" t="str">
        <f t="shared" si="3"/>
        <v>AUT12</v>
      </c>
      <c r="I91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152" t="s">
        <v>2594</v>
      </c>
      <c r="G92" s="148" t="str">
        <f t="shared" si="2"/>
        <v>Patrick PENTZ - Austria</v>
      </c>
      <c r="H92" t="str">
        <f t="shared" si="3"/>
        <v>AUT13</v>
      </c>
      <c r="I92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152" t="s">
        <v>2594</v>
      </c>
      <c r="G93" s="148" t="str">
        <f t="shared" si="2"/>
        <v>Sasa KALAJDZIC - Austria</v>
      </c>
      <c r="H93" t="str">
        <f t="shared" si="3"/>
        <v>AUT14</v>
      </c>
      <c r="I9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152" t="s">
        <v>2594</v>
      </c>
      <c r="G94" s="148" t="str">
        <f t="shared" si="2"/>
        <v>Philipp LIENHART - Austria</v>
      </c>
      <c r="H94" t="str">
        <f t="shared" si="3"/>
        <v>AUT15</v>
      </c>
      <c r="I94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152" t="s">
        <v>2594</v>
      </c>
      <c r="G95" s="148" t="str">
        <f t="shared" si="2"/>
        <v>Phillip MWENE - Austria</v>
      </c>
      <c r="H95" t="str">
        <f t="shared" si="3"/>
        <v>AUT16</v>
      </c>
      <c r="I95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152" t="s">
        <v>2594</v>
      </c>
      <c r="G96" s="148" t="str">
        <f t="shared" si="2"/>
        <v>Carney CHUKWUEMEKA - Austria</v>
      </c>
      <c r="H96" t="str">
        <f t="shared" si="3"/>
        <v>AUT17</v>
      </c>
      <c r="I96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152" t="s">
        <v>2594</v>
      </c>
      <c r="G97" s="148" t="str">
        <f t="shared" si="2"/>
        <v>Romano SCHMID - Austria</v>
      </c>
      <c r="H97" t="str">
        <f t="shared" si="3"/>
        <v>AUT18</v>
      </c>
      <c r="I97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152" t="s">
        <v>2594</v>
      </c>
      <c r="G98" s="148" t="str">
        <f t="shared" si="2"/>
        <v>Dejan LJUBICIC - Austria</v>
      </c>
      <c r="H98" t="str">
        <f t="shared" si="3"/>
        <v>AUT19</v>
      </c>
      <c r="I98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152" t="s">
        <v>2594</v>
      </c>
      <c r="G99" s="148" t="str">
        <f t="shared" si="2"/>
        <v>Konrad LAIMER - Austria</v>
      </c>
      <c r="H99" t="str">
        <f t="shared" si="3"/>
        <v>AUT20</v>
      </c>
      <c r="I99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152" t="s">
        <v>2594</v>
      </c>
      <c r="G100" s="148" t="str">
        <f t="shared" si="2"/>
        <v>Patrick WIMMER - Austria</v>
      </c>
      <c r="H100" t="str">
        <f t="shared" si="3"/>
        <v>AUT21</v>
      </c>
      <c r="I100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152" t="s">
        <v>2594</v>
      </c>
      <c r="G101" s="148" t="str">
        <f t="shared" si="2"/>
        <v>Alexander PRASS - Austria</v>
      </c>
      <c r="H101" t="str">
        <f t="shared" si="3"/>
        <v>AUT22</v>
      </c>
      <c r="I101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152" t="s">
        <v>2594</v>
      </c>
      <c r="G102" s="148" t="str">
        <f t="shared" si="2"/>
        <v>Marco FRIEDL - Austria</v>
      </c>
      <c r="H102" t="str">
        <f t="shared" si="3"/>
        <v>AUT23</v>
      </c>
      <c r="I102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152" t="s">
        <v>2594</v>
      </c>
      <c r="G103" s="148" t="str">
        <f t="shared" si="2"/>
        <v>Paul WANNER - Austria</v>
      </c>
      <c r="H103" t="str">
        <f t="shared" si="3"/>
        <v>AUT24</v>
      </c>
      <c r="I10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152" t="s">
        <v>2594</v>
      </c>
      <c r="G104" s="148" t="str">
        <f t="shared" si="2"/>
        <v>Michael SVOBODA - Austria</v>
      </c>
      <c r="H104" t="str">
        <f t="shared" si="3"/>
        <v>AUT25</v>
      </c>
      <c r="I104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152" t="s">
        <v>2594</v>
      </c>
      <c r="G105" s="148" t="str">
        <f t="shared" si="2"/>
        <v>Alessandro SCHOEPF - Austria</v>
      </c>
      <c r="H105" t="str">
        <f t="shared" si="3"/>
        <v>AUT26</v>
      </c>
      <c r="I105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153" t="s">
        <v>2620</v>
      </c>
      <c r="G106" s="148" t="str">
        <f t="shared" si="2"/>
        <v>Thibaut COURTOIS - Belgium</v>
      </c>
      <c r="H106" t="str">
        <f t="shared" si="3"/>
        <v>BEL1</v>
      </c>
      <c r="I106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153" t="s">
        <v>2620</v>
      </c>
      <c r="G107" s="148" t="str">
        <f t="shared" si="2"/>
        <v>Zeno DEBAST - Belgium</v>
      </c>
      <c r="H107" t="str">
        <f t="shared" si="3"/>
        <v>BEL2</v>
      </c>
      <c r="I107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153" t="s">
        <v>2620</v>
      </c>
      <c r="G108" s="148" t="str">
        <f t="shared" si="2"/>
        <v>Arthur THEATE - Belgium</v>
      </c>
      <c r="H108" t="str">
        <f t="shared" si="3"/>
        <v>BEL3</v>
      </c>
      <c r="I108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153" t="s">
        <v>2620</v>
      </c>
      <c r="G109" s="148" t="str">
        <f t="shared" si="2"/>
        <v>Brandon MECHELE - Belgium</v>
      </c>
      <c r="H109" t="str">
        <f t="shared" si="3"/>
        <v>BEL4</v>
      </c>
      <c r="I109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153" t="s">
        <v>2620</v>
      </c>
      <c r="G110" s="148" t="str">
        <f t="shared" si="2"/>
        <v>Maxim DE CUYPER - Belgium</v>
      </c>
      <c r="H110" t="str">
        <f t="shared" si="3"/>
        <v>BEL5</v>
      </c>
      <c r="I110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153" t="s">
        <v>2620</v>
      </c>
      <c r="G111" s="148" t="str">
        <f t="shared" si="2"/>
        <v>Axel WITSEL - Belgium</v>
      </c>
      <c r="H111" t="str">
        <f t="shared" si="3"/>
        <v>BEL6</v>
      </c>
      <c r="I111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153" t="s">
        <v>2620</v>
      </c>
      <c r="G112" s="148" t="str">
        <f t="shared" si="2"/>
        <v>Kevin DE BRUYNE - Belgium</v>
      </c>
      <c r="H112" t="str">
        <f t="shared" si="3"/>
        <v>BEL7</v>
      </c>
      <c r="I112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153" t="s">
        <v>2620</v>
      </c>
      <c r="G113" s="148" t="str">
        <f t="shared" si="2"/>
        <v>Youri TIELEMANS - Belgium</v>
      </c>
      <c r="H113" t="str">
        <f t="shared" si="3"/>
        <v>BEL8</v>
      </c>
      <c r="I113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153" t="s">
        <v>2620</v>
      </c>
      <c r="G114" s="148" t="str">
        <f t="shared" si="2"/>
        <v>Romelu LUKAKU - Belgium</v>
      </c>
      <c r="H114" t="str">
        <f t="shared" si="3"/>
        <v>BEL9</v>
      </c>
      <c r="I114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153" t="s">
        <v>2620</v>
      </c>
      <c r="G115" s="148" t="str">
        <f t="shared" si="2"/>
        <v>Leandro TROSSARD - Belgium</v>
      </c>
      <c r="H115" t="str">
        <f t="shared" si="3"/>
        <v>BEL10</v>
      </c>
      <c r="I11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153" t="s">
        <v>2620</v>
      </c>
      <c r="G116" s="148" t="str">
        <f t="shared" si="2"/>
        <v>Jeremy DOKU - Belgium</v>
      </c>
      <c r="H116" t="str">
        <f t="shared" si="3"/>
        <v>BEL11</v>
      </c>
      <c r="I116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153" t="s">
        <v>2620</v>
      </c>
      <c r="G117" s="148" t="str">
        <f t="shared" si="2"/>
        <v>Senne LAMMENS - Belgium</v>
      </c>
      <c r="H117" t="str">
        <f t="shared" si="3"/>
        <v>BEL12</v>
      </c>
      <c r="I117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153" t="s">
        <v>2620</v>
      </c>
      <c r="G118" s="148" t="str">
        <f t="shared" si="2"/>
        <v>Mike PENDERS - Belgium</v>
      </c>
      <c r="H118" t="str">
        <f t="shared" si="3"/>
        <v>BEL13</v>
      </c>
      <c r="I118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153" t="s">
        <v>2620</v>
      </c>
      <c r="G119" s="148" t="str">
        <f t="shared" si="2"/>
        <v>Dodi LUKEBAKIO - Belgium</v>
      </c>
      <c r="H119" t="str">
        <f t="shared" si="3"/>
        <v>BEL14</v>
      </c>
      <c r="I119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153" t="s">
        <v>2620</v>
      </c>
      <c r="G120" s="148" t="str">
        <f t="shared" si="2"/>
        <v>Thomas MEUNIER - Belgium</v>
      </c>
      <c r="H120" t="str">
        <f t="shared" si="3"/>
        <v>BEL15</v>
      </c>
      <c r="I120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153" t="s">
        <v>2620</v>
      </c>
      <c r="G121" s="148" t="str">
        <f t="shared" si="2"/>
        <v>Koni DE WINTER - Belgium</v>
      </c>
      <c r="H121" t="str">
        <f t="shared" si="3"/>
        <v>BEL16</v>
      </c>
      <c r="I121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153" t="s">
        <v>2620</v>
      </c>
      <c r="G122" s="148" t="str">
        <f t="shared" si="2"/>
        <v>Charles DE KETELAERE - Belgium</v>
      </c>
      <c r="H122" t="str">
        <f t="shared" si="3"/>
        <v>BEL17</v>
      </c>
      <c r="I122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153" t="s">
        <v>2620</v>
      </c>
      <c r="G123" s="148" t="str">
        <f t="shared" si="2"/>
        <v>Joaquin SEYS - Belgium</v>
      </c>
      <c r="H123" t="str">
        <f t="shared" si="3"/>
        <v>BEL18</v>
      </c>
      <c r="I123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153" t="s">
        <v>2620</v>
      </c>
      <c r="G124" s="148" t="str">
        <f t="shared" si="2"/>
        <v>Diego MOREIRA - Belgium</v>
      </c>
      <c r="H124" t="str">
        <f t="shared" si="3"/>
        <v>BEL19</v>
      </c>
      <c r="I124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153" t="s">
        <v>2620</v>
      </c>
      <c r="G125" s="148" t="str">
        <f t="shared" si="2"/>
        <v>Hans VANAKEN - Belgium</v>
      </c>
      <c r="H125" t="str">
        <f t="shared" si="3"/>
        <v>BEL20</v>
      </c>
      <c r="I12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153" t="s">
        <v>2620</v>
      </c>
      <c r="G126" s="148" t="str">
        <f t="shared" si="2"/>
        <v>Timothy CASTAGNE - Belgium</v>
      </c>
      <c r="H126" t="str">
        <f t="shared" si="3"/>
        <v>BEL21</v>
      </c>
      <c r="I126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153" t="s">
        <v>2620</v>
      </c>
      <c r="G127" s="148" t="str">
        <f t="shared" si="2"/>
        <v>Alexis SAELEMAEKERS - Belgium</v>
      </c>
      <c r="H127" t="str">
        <f t="shared" si="3"/>
        <v>BEL22</v>
      </c>
      <c r="I127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153" t="s">
        <v>2620</v>
      </c>
      <c r="G128" s="148" t="str">
        <f t="shared" si="2"/>
        <v>Nicolas RASKIN - Belgium</v>
      </c>
      <c r="H128" t="str">
        <f t="shared" si="3"/>
        <v>BEL23</v>
      </c>
      <c r="I128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153" t="s">
        <v>2620</v>
      </c>
      <c r="G129" s="148" t="str">
        <f t="shared" si="2"/>
        <v>Amadou ONANA - Belgium</v>
      </c>
      <c r="H129" t="str">
        <f t="shared" si="3"/>
        <v>BEL24</v>
      </c>
      <c r="I129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153" t="s">
        <v>2620</v>
      </c>
      <c r="G130" s="148" t="str">
        <f t="shared" si="2"/>
        <v>Nathan NGOY - Belgium</v>
      </c>
      <c r="H130" t="str">
        <f t="shared" si="3"/>
        <v>BEL25</v>
      </c>
      <c r="I130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153" t="s">
        <v>2620</v>
      </c>
      <c r="G131" s="148" t="str">
        <f t="shared" ref="G131:G194" si="4">_xlfn.CONCAT(C131, " ",D131, " - ",F131)</f>
        <v>Matias FERNANDEZ-PARDO - Belgium</v>
      </c>
      <c r="H131" t="str">
        <f t="shared" ref="H131:H194" si="5">_xlfn.CONCAT(E131,A131)</f>
        <v>BEL26</v>
      </c>
      <c r="I131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154" t="s">
        <v>2647</v>
      </c>
      <c r="G132" s="148" t="str">
        <f t="shared" si="4"/>
        <v>Nikola VASILJ - Bosnia and Herzegovina</v>
      </c>
      <c r="H132" t="str">
        <f t="shared" si="5"/>
        <v>BIH1</v>
      </c>
      <c r="I132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154" t="s">
        <v>2647</v>
      </c>
      <c r="G133" s="148" t="str">
        <f t="shared" si="4"/>
        <v>Nihad MUJAKIC - Bosnia and Herzegovina</v>
      </c>
      <c r="H133" t="str">
        <f t="shared" si="5"/>
        <v>BIH2</v>
      </c>
      <c r="I133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154" t="s">
        <v>2647</v>
      </c>
      <c r="G134" s="148" t="str">
        <f t="shared" si="4"/>
        <v>Dennis HADZIKADUNIC - Bosnia and Herzegovina</v>
      </c>
      <c r="H134" t="str">
        <f t="shared" si="5"/>
        <v>BIH3</v>
      </c>
      <c r="I134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154" t="s">
        <v>2647</v>
      </c>
      <c r="G135" s="148" t="str">
        <f t="shared" si="4"/>
        <v>Tarik MUHAREMOVIC - Bosnia and Herzegovina</v>
      </c>
      <c r="H135" t="str">
        <f t="shared" si="5"/>
        <v>BIH4</v>
      </c>
      <c r="I135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154" t="s">
        <v>2647</v>
      </c>
      <c r="G136" s="148" t="str">
        <f t="shared" si="4"/>
        <v>Sead KOLASINAC - Bosnia and Herzegovina</v>
      </c>
      <c r="H136" t="str">
        <f t="shared" si="5"/>
        <v>BIH5</v>
      </c>
      <c r="I136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154" t="s">
        <v>2647</v>
      </c>
      <c r="G137" s="148" t="str">
        <f t="shared" si="4"/>
        <v>Benjamin TAHIROVIC - Bosnia and Herzegovina</v>
      </c>
      <c r="H137" t="str">
        <f t="shared" si="5"/>
        <v>BIH6</v>
      </c>
      <c r="I13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154" t="s">
        <v>2647</v>
      </c>
      <c r="G138" s="148" t="str">
        <f t="shared" si="4"/>
        <v>Amar DEDIC - Bosnia and Herzegovina</v>
      </c>
      <c r="H138" t="str">
        <f t="shared" si="5"/>
        <v>BIH7</v>
      </c>
      <c r="I138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154" t="s">
        <v>2647</v>
      </c>
      <c r="G139" s="148" t="str">
        <f t="shared" si="4"/>
        <v>Armin GIGOVIC - Bosnia and Herzegovina</v>
      </c>
      <c r="H139" t="str">
        <f t="shared" si="5"/>
        <v>BIH8</v>
      </c>
      <c r="I139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154" t="s">
        <v>2647</v>
      </c>
      <c r="G140" s="148" t="str">
        <f t="shared" si="4"/>
        <v>Samed BAZDAR - Bosnia and Herzegovina</v>
      </c>
      <c r="H140" t="str">
        <f t="shared" si="5"/>
        <v>BIH9</v>
      </c>
      <c r="I140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154" t="s">
        <v>2647</v>
      </c>
      <c r="G141" s="148" t="str">
        <f t="shared" si="4"/>
        <v>Ermedin DEMIROVIC - Bosnia and Herzegovina</v>
      </c>
      <c r="H141" t="str">
        <f t="shared" si="5"/>
        <v>BIH10</v>
      </c>
      <c r="I141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154" t="s">
        <v>2647</v>
      </c>
      <c r="G142" s="148" t="str">
        <f t="shared" si="4"/>
        <v>Edin DZEKO - Bosnia and Herzegovina</v>
      </c>
      <c r="H142" t="str">
        <f t="shared" si="5"/>
        <v>BIH11</v>
      </c>
      <c r="I142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154" t="s">
        <v>2647</v>
      </c>
      <c r="G143" s="148" t="str">
        <f t="shared" si="4"/>
        <v>Mladen JURKAS - Bosnia and Herzegovina</v>
      </c>
      <c r="H143" t="str">
        <f t="shared" si="5"/>
        <v>BIH12</v>
      </c>
      <c r="I143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154" t="s">
        <v>2647</v>
      </c>
      <c r="G144" s="148" t="str">
        <f t="shared" si="4"/>
        <v>Ivan BASIC - Bosnia and Herzegovina</v>
      </c>
      <c r="H144" t="str">
        <f t="shared" si="5"/>
        <v>BIH13</v>
      </c>
      <c r="I144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154" t="s">
        <v>2647</v>
      </c>
      <c r="G145" s="148" t="str">
        <f t="shared" si="4"/>
        <v>Ivan SUNJIC - Bosnia and Herzegovina</v>
      </c>
      <c r="H145" t="str">
        <f t="shared" si="5"/>
        <v>BIH14</v>
      </c>
      <c r="I145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154" t="s">
        <v>2647</v>
      </c>
      <c r="G146" s="148" t="str">
        <f t="shared" si="4"/>
        <v>Amar MEMIC - Bosnia and Herzegovina</v>
      </c>
      <c r="H146" t="str">
        <f t="shared" si="5"/>
        <v>BIH15</v>
      </c>
      <c r="I146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154" t="s">
        <v>2647</v>
      </c>
      <c r="G147" s="148" t="str">
        <f t="shared" si="4"/>
        <v>Amir HADZIAHMETOVIC - Bosnia and Herzegovina</v>
      </c>
      <c r="H147" t="str">
        <f t="shared" si="5"/>
        <v>BIH16</v>
      </c>
      <c r="I1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154" t="s">
        <v>2647</v>
      </c>
      <c r="G148" s="148" t="str">
        <f t="shared" si="4"/>
        <v>Dzenis BURNIC - Bosnia and Herzegovina</v>
      </c>
      <c r="H148" t="str">
        <f t="shared" si="5"/>
        <v>BIH17</v>
      </c>
      <c r="I148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154" t="s">
        <v>2647</v>
      </c>
      <c r="G149" s="148" t="str">
        <f t="shared" si="4"/>
        <v>Nikola KATIC - Bosnia and Herzegovina</v>
      </c>
      <c r="H149" t="str">
        <f t="shared" si="5"/>
        <v>BIH18</v>
      </c>
      <c r="I149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154" t="s">
        <v>2647</v>
      </c>
      <c r="G150" s="148" t="str">
        <f t="shared" si="4"/>
        <v>Kerim ALAJBEGOVIC - Bosnia and Herzegovina</v>
      </c>
      <c r="H150" t="str">
        <f t="shared" si="5"/>
        <v>BIH19</v>
      </c>
      <c r="I150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154" t="s">
        <v>2647</v>
      </c>
      <c r="G151" s="148" t="str">
        <f t="shared" si="4"/>
        <v>Esmir BAJRAKTAREVIC - Bosnia and Herzegovina</v>
      </c>
      <c r="H151" t="str">
        <f t="shared" si="5"/>
        <v>BIH20</v>
      </c>
      <c r="I151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154" t="s">
        <v>2647</v>
      </c>
      <c r="G152" s="148" t="str">
        <f t="shared" si="4"/>
        <v>Stjepan RADELJIC - Bosnia and Herzegovina</v>
      </c>
      <c r="H152" t="str">
        <f t="shared" si="5"/>
        <v>BIH21</v>
      </c>
      <c r="I152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154" t="s">
        <v>2647</v>
      </c>
      <c r="G153" s="148" t="str">
        <f t="shared" si="4"/>
        <v>Martin ZLOMISLIC - Bosnia and Herzegovina</v>
      </c>
      <c r="H153" t="str">
        <f t="shared" si="5"/>
        <v>BIH22</v>
      </c>
      <c r="I153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154" t="s">
        <v>2647</v>
      </c>
      <c r="G154" s="148" t="str">
        <f t="shared" si="4"/>
        <v>Haris TABAKOVIC - Bosnia and Herzegovina</v>
      </c>
      <c r="H154" t="str">
        <f t="shared" si="5"/>
        <v>BIH23</v>
      </c>
      <c r="I154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154" t="s">
        <v>2647</v>
      </c>
      <c r="G155" s="148" t="str">
        <f t="shared" si="4"/>
        <v>Arjan MALIC - Bosnia and Herzegovina</v>
      </c>
      <c r="H155" t="str">
        <f t="shared" si="5"/>
        <v>BIH24</v>
      </c>
      <c r="I155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154" t="s">
        <v>2647</v>
      </c>
      <c r="G156" s="148" t="str">
        <f t="shared" si="4"/>
        <v>Jovo LUKIC - Bosnia and Herzegovina</v>
      </c>
      <c r="H156" t="str">
        <f t="shared" si="5"/>
        <v>BIH25</v>
      </c>
      <c r="I156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154" t="s">
        <v>2647</v>
      </c>
      <c r="G157" s="148" t="str">
        <f t="shared" si="4"/>
        <v>Ermin MAHMIC - Bosnia and Herzegovina</v>
      </c>
      <c r="H157" t="str">
        <f t="shared" si="5"/>
        <v>BIH26</v>
      </c>
      <c r="I15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155" t="s">
        <v>2673</v>
      </c>
      <c r="G158" s="148" t="str">
        <f t="shared" si="4"/>
        <v>Alisson BECKER - Brazil</v>
      </c>
      <c r="H158" t="str">
        <f t="shared" si="5"/>
        <v>BRA1</v>
      </c>
      <c r="I158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150" t="s">
        <v>2673</v>
      </c>
      <c r="G159" s="148" t="str">
        <f t="shared" si="4"/>
        <v>Ederson EDERSON - Brazil</v>
      </c>
      <c r="H159" t="str">
        <f t="shared" si="5"/>
        <v>BRA2</v>
      </c>
      <c r="I15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155" t="s">
        <v>2673</v>
      </c>
      <c r="G160" s="148" t="str">
        <f t="shared" si="4"/>
        <v>Gabriel MAGALHAES - Brazil</v>
      </c>
      <c r="H160" t="str">
        <f t="shared" si="5"/>
        <v>BRA3</v>
      </c>
      <c r="I160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155" t="s">
        <v>2673</v>
      </c>
      <c r="G161" s="148" t="str">
        <f t="shared" si="4"/>
        <v>Marquinhos MARQUINHOS - Brazil</v>
      </c>
      <c r="H161" t="str">
        <f t="shared" si="5"/>
        <v>BRA4</v>
      </c>
      <c r="I161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155" t="s">
        <v>2673</v>
      </c>
      <c r="G162" s="148" t="str">
        <f t="shared" si="4"/>
        <v>Casemiro CASEMIRO - Brazil</v>
      </c>
      <c r="H162" t="str">
        <f t="shared" si="5"/>
        <v>BRA5</v>
      </c>
      <c r="I162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155" t="s">
        <v>2673</v>
      </c>
      <c r="G163" s="148" t="str">
        <f t="shared" si="4"/>
        <v>Alex Sandro ALEX SANDRO - Brazil</v>
      </c>
      <c r="H163" t="str">
        <f t="shared" si="5"/>
        <v>BRA6</v>
      </c>
      <c r="I163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155" t="s">
        <v>2673</v>
      </c>
      <c r="G164" s="148" t="str">
        <f t="shared" si="4"/>
        <v>Vinicius Junior VINICIUS JUNIOR - Brazil</v>
      </c>
      <c r="H164" t="str">
        <f t="shared" si="5"/>
        <v>BRA7</v>
      </c>
      <c r="I164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155" t="s">
        <v>2673</v>
      </c>
      <c r="G165" s="148" t="str">
        <f t="shared" si="4"/>
        <v>Bruno GUIMARAES - Brazil</v>
      </c>
      <c r="H165" t="str">
        <f t="shared" si="5"/>
        <v>BRA8</v>
      </c>
      <c r="I165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155" t="s">
        <v>2673</v>
      </c>
      <c r="G166" s="148" t="str">
        <f t="shared" si="4"/>
        <v>Matheus CUNHA - Brazil</v>
      </c>
      <c r="H166" t="str">
        <f t="shared" si="5"/>
        <v>BRA9</v>
      </c>
      <c r="I166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155" t="s">
        <v>2673</v>
      </c>
      <c r="G167" s="148" t="str">
        <f t="shared" si="4"/>
        <v>Neymar Jr NEYMAR JR - Brazil</v>
      </c>
      <c r="H167" t="str">
        <f t="shared" si="5"/>
        <v>BRA10</v>
      </c>
      <c r="I167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155" t="s">
        <v>2673</v>
      </c>
      <c r="G168" s="148" t="str">
        <f t="shared" si="4"/>
        <v>Raphinha RAPHINHA - Brazil</v>
      </c>
      <c r="H168" t="str">
        <f t="shared" si="5"/>
        <v>BRA11</v>
      </c>
      <c r="I168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155" t="s">
        <v>2673</v>
      </c>
      <c r="G169" s="148" t="str">
        <f t="shared" si="4"/>
        <v>Weverton WEVERTON - Brazil</v>
      </c>
      <c r="H169" t="str">
        <f t="shared" si="5"/>
        <v>BRA12</v>
      </c>
      <c r="I16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155" t="s">
        <v>2673</v>
      </c>
      <c r="G170" s="148" t="str">
        <f t="shared" si="4"/>
        <v>Danilo DANILO - Brazil</v>
      </c>
      <c r="H170" t="str">
        <f t="shared" si="5"/>
        <v>BRA13</v>
      </c>
      <c r="I170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155" t="s">
        <v>2673</v>
      </c>
      <c r="G171" s="148" t="str">
        <f t="shared" si="4"/>
        <v>Bremer BREMER - Brazil</v>
      </c>
      <c r="H171" t="str">
        <f t="shared" si="5"/>
        <v>BRA14</v>
      </c>
      <c r="I171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155" t="s">
        <v>2673</v>
      </c>
      <c r="G172" s="148" t="str">
        <f t="shared" si="4"/>
        <v>Leo Pereira LEO PEREIRA - Brazil</v>
      </c>
      <c r="H172" t="str">
        <f t="shared" si="5"/>
        <v>BRA15</v>
      </c>
      <c r="I172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155" t="s">
        <v>2673</v>
      </c>
      <c r="G173" s="148" t="str">
        <f t="shared" si="4"/>
        <v>Douglas Santos DOUGLAS SANTOS - Brazil</v>
      </c>
      <c r="H173" t="str">
        <f t="shared" si="5"/>
        <v>BRA16</v>
      </c>
      <c r="I173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155" t="s">
        <v>2673</v>
      </c>
      <c r="G174" s="148" t="str">
        <f t="shared" si="4"/>
        <v>Fabinho FABINHO - Brazil</v>
      </c>
      <c r="H174" t="str">
        <f t="shared" si="5"/>
        <v>BRA17</v>
      </c>
      <c r="I174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155" t="s">
        <v>2673</v>
      </c>
      <c r="G175" s="148" t="str">
        <f t="shared" si="4"/>
        <v>Danilo Santos DANILO SANTOS - Brazil</v>
      </c>
      <c r="H175" t="str">
        <f t="shared" si="5"/>
        <v>BRA18</v>
      </c>
      <c r="I175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155" t="s">
        <v>2673</v>
      </c>
      <c r="G176" s="148" t="str">
        <f t="shared" si="4"/>
        <v>Endrick ENDRICK - Brazil</v>
      </c>
      <c r="H176" t="str">
        <f t="shared" si="5"/>
        <v>BRA19</v>
      </c>
      <c r="I176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155" t="s">
        <v>2673</v>
      </c>
      <c r="G177" s="148" t="str">
        <f t="shared" si="4"/>
        <v>Lucas Paqueta LUCAS PAQUETA - Brazil</v>
      </c>
      <c r="H177" t="str">
        <f t="shared" si="5"/>
        <v>BRA20</v>
      </c>
      <c r="I177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155" t="s">
        <v>2673</v>
      </c>
      <c r="G178" s="148" t="str">
        <f t="shared" si="4"/>
        <v>Luiz Henrique LUIZ HENRIQUE - Brazil</v>
      </c>
      <c r="H178" t="str">
        <f t="shared" si="5"/>
        <v>BRA21</v>
      </c>
      <c r="I178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155" t="s">
        <v>2673</v>
      </c>
      <c r="G179" s="148" t="str">
        <f t="shared" si="4"/>
        <v>Gabriel Martinelli GABRIEL MARTINELLI - Brazil</v>
      </c>
      <c r="H179" t="str">
        <f t="shared" si="5"/>
        <v>BRA22</v>
      </c>
      <c r="I17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155" t="s">
        <v>2673</v>
      </c>
      <c r="G180" s="148" t="str">
        <f t="shared" si="4"/>
        <v>Ederson EDERSON - Brazil</v>
      </c>
      <c r="H180" t="str">
        <f t="shared" si="5"/>
        <v>BRA23</v>
      </c>
      <c r="I180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155" t="s">
        <v>2673</v>
      </c>
      <c r="G181" s="148" t="str">
        <f t="shared" si="4"/>
        <v>Roger Ibanez ROGER IBANEZ - Brazil</v>
      </c>
      <c r="H181" t="str">
        <f t="shared" si="5"/>
        <v>BRA24</v>
      </c>
      <c r="I181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155" t="s">
        <v>2673</v>
      </c>
      <c r="G182" s="148" t="str">
        <f t="shared" si="4"/>
        <v>Igor Thiago IGOR THIAGO - Brazil</v>
      </c>
      <c r="H182" t="str">
        <f t="shared" si="5"/>
        <v>BRA25</v>
      </c>
      <c r="I182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155" t="s">
        <v>2673</v>
      </c>
      <c r="G183" s="148" t="str">
        <f t="shared" si="4"/>
        <v>Rayan RAYAN - Brazil</v>
      </c>
      <c r="H183" t="str">
        <f t="shared" si="5"/>
        <v>BRA26</v>
      </c>
      <c r="I183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156" t="s">
        <v>2700</v>
      </c>
      <c r="G184" s="148" t="str">
        <f t="shared" si="4"/>
        <v>Josimar VOZINHA - Cabo Verde</v>
      </c>
      <c r="H184" t="str">
        <f t="shared" si="5"/>
        <v>CPV1</v>
      </c>
      <c r="I184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156" t="s">
        <v>2700</v>
      </c>
      <c r="G185" s="148" t="str">
        <f t="shared" si="4"/>
        <v>Ianique STOPIRA - Cabo Verde</v>
      </c>
      <c r="H185" t="str">
        <f t="shared" si="5"/>
        <v>CPV2</v>
      </c>
      <c r="I185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156" t="s">
        <v>2700</v>
      </c>
      <c r="G186" s="148" t="str">
        <f t="shared" si="4"/>
        <v>Edilson DINEY BORGES - Cabo Verde</v>
      </c>
      <c r="H186" t="str">
        <f t="shared" si="5"/>
        <v>CPV3</v>
      </c>
      <c r="I186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156" t="s">
        <v>2700</v>
      </c>
      <c r="G187" s="148" t="str">
        <f t="shared" si="4"/>
        <v>Roberto Carlos PICO LOPES - Cabo Verde</v>
      </c>
      <c r="H187" t="str">
        <f t="shared" si="5"/>
        <v>CPV4</v>
      </c>
      <c r="I187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156" t="s">
        <v>2700</v>
      </c>
      <c r="G188" s="148" t="str">
        <f t="shared" si="4"/>
        <v>Logan LOGAN COSTA - Cabo Verde</v>
      </c>
      <c r="H188" t="str">
        <f t="shared" si="5"/>
        <v>CPV5</v>
      </c>
      <c r="I188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156" t="s">
        <v>2700</v>
      </c>
      <c r="G189" s="148" t="str">
        <f t="shared" si="4"/>
        <v>Kevin KEVIN PINA - Cabo Verde</v>
      </c>
      <c r="H189" t="str">
        <f t="shared" si="5"/>
        <v>CPV6</v>
      </c>
      <c r="I189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156" t="s">
        <v>2700</v>
      </c>
      <c r="G190" s="148" t="str">
        <f t="shared" si="4"/>
        <v>Jovane JOVANE CABRAL - Cabo Verde</v>
      </c>
      <c r="H190" t="str">
        <f t="shared" si="5"/>
        <v>CPV7</v>
      </c>
      <c r="I190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156" t="s">
        <v>2700</v>
      </c>
      <c r="G191" s="148" t="str">
        <f t="shared" si="4"/>
        <v>Joao Paulo JOAO PAULO - Cabo Verde</v>
      </c>
      <c r="H191" t="str">
        <f t="shared" si="5"/>
        <v>CPV8</v>
      </c>
      <c r="I19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156" t="s">
        <v>2700</v>
      </c>
      <c r="G192" s="148" t="str">
        <f t="shared" si="4"/>
        <v>Gilson GILSON BENCHIMOL - Cabo Verde</v>
      </c>
      <c r="H192" t="str">
        <f t="shared" si="5"/>
        <v>CPV9</v>
      </c>
      <c r="I192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156" t="s">
        <v>2700</v>
      </c>
      <c r="G193" s="148" t="str">
        <f t="shared" si="4"/>
        <v>Jamiro JAMIRO MONTEIRO - Cabo Verde</v>
      </c>
      <c r="H193" t="str">
        <f t="shared" si="5"/>
        <v>CPV10</v>
      </c>
      <c r="I193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156" t="s">
        <v>2700</v>
      </c>
      <c r="G194" s="148" t="str">
        <f t="shared" si="4"/>
        <v>Garry GARRY RODRIGUES - Cabo Verde</v>
      </c>
      <c r="H194" t="str">
        <f t="shared" si="5"/>
        <v>CPV11</v>
      </c>
      <c r="I194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156" t="s">
        <v>2700</v>
      </c>
      <c r="G195" s="148" t="str">
        <f t="shared" ref="G195:G258" si="6">_xlfn.CONCAT(C195, " ",D195, " - ",F195)</f>
        <v>Marcio MARCIO ROSA - Cabo Verde</v>
      </c>
      <c r="H195" t="str">
        <f t="shared" ref="H195:H258" si="7">_xlfn.CONCAT(E195,A195)</f>
        <v>CPV12</v>
      </c>
      <c r="I195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156" t="s">
        <v>2700</v>
      </c>
      <c r="G196" s="148" t="str">
        <f t="shared" si="6"/>
        <v>Sidny SIDNY LOPES CABRAL - Cabo Verde</v>
      </c>
      <c r="H196" t="str">
        <f t="shared" si="7"/>
        <v>CPV13</v>
      </c>
      <c r="I196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156" t="s">
        <v>2700</v>
      </c>
      <c r="G197" s="148" t="str">
        <f t="shared" si="6"/>
        <v>Deroy DEROY DUARTE - Cabo Verde</v>
      </c>
      <c r="H197" t="str">
        <f t="shared" si="7"/>
        <v>CPV14</v>
      </c>
      <c r="I197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156" t="s">
        <v>2700</v>
      </c>
      <c r="G198" s="148" t="str">
        <f t="shared" si="6"/>
        <v>Laros LAROS DUARTE - Cabo Verde</v>
      </c>
      <c r="H198" t="str">
        <f t="shared" si="7"/>
        <v>CPV15</v>
      </c>
      <c r="I198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156" t="s">
        <v>2700</v>
      </c>
      <c r="G199" s="148" t="str">
        <f t="shared" si="6"/>
        <v>Yannick YANNICK SEMEDO - Cabo Verde</v>
      </c>
      <c r="H199" t="str">
        <f t="shared" si="7"/>
        <v>CPV16</v>
      </c>
      <c r="I199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156" t="s">
        <v>2700</v>
      </c>
      <c r="G200" s="148" t="str">
        <f t="shared" si="6"/>
        <v>Willy WILLY SEMEDO - Cabo Verde</v>
      </c>
      <c r="H200" t="str">
        <f t="shared" si="7"/>
        <v>CPV17</v>
      </c>
      <c r="I200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156" t="s">
        <v>2700</v>
      </c>
      <c r="G201" s="148" t="str">
        <f t="shared" si="6"/>
        <v>Telmo TELMO ARCANJO - Cabo Verde</v>
      </c>
      <c r="H201" t="str">
        <f t="shared" si="7"/>
        <v>CPV18</v>
      </c>
      <c r="I20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156" t="s">
        <v>2700</v>
      </c>
      <c r="G202" s="148" t="str">
        <f t="shared" si="6"/>
        <v>Dailon DAILON LIVRAMENTO - Cabo Verde</v>
      </c>
      <c r="H202" t="str">
        <f t="shared" si="7"/>
        <v>CPV19</v>
      </c>
      <c r="I202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156" t="s">
        <v>2700</v>
      </c>
      <c r="G203" s="148" t="str">
        <f t="shared" si="6"/>
        <v>Ryan RYAN MENDES - Cabo Verde</v>
      </c>
      <c r="H203" t="str">
        <f t="shared" si="7"/>
        <v>CPV20</v>
      </c>
      <c r="I203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156" t="s">
        <v>2700</v>
      </c>
      <c r="G204" s="148" t="str">
        <f t="shared" si="6"/>
        <v>Nuno NUNO DA COSTA - Cabo Verde</v>
      </c>
      <c r="H204" t="str">
        <f t="shared" si="7"/>
        <v>CPV21</v>
      </c>
      <c r="I204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156" t="s">
        <v>2700</v>
      </c>
      <c r="G205" s="148" t="str">
        <f t="shared" si="6"/>
        <v>Steven STEVEN MOREIRA - Cabo Verde</v>
      </c>
      <c r="H205" t="str">
        <f t="shared" si="7"/>
        <v>CPV22</v>
      </c>
      <c r="I205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156" t="s">
        <v>2700</v>
      </c>
      <c r="G206" s="148" t="str">
        <f t="shared" si="6"/>
        <v>Carlos Joaquim CJ DOS SANTOS - Cabo Verde</v>
      </c>
      <c r="H206" t="str">
        <f t="shared" si="7"/>
        <v>CPV23</v>
      </c>
      <c r="I206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156" t="s">
        <v>2700</v>
      </c>
      <c r="G207" s="148" t="str">
        <f t="shared" si="6"/>
        <v>Wagner WAGNER PINA - Cabo Verde</v>
      </c>
      <c r="H207" t="str">
        <f t="shared" si="7"/>
        <v>CPV24</v>
      </c>
      <c r="I207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156" t="s">
        <v>2700</v>
      </c>
      <c r="G208" s="148" t="str">
        <f t="shared" si="6"/>
        <v>Kelvin KELVIN PIRES - Cabo Verde</v>
      </c>
      <c r="H208" t="str">
        <f t="shared" si="7"/>
        <v>CPV25</v>
      </c>
      <c r="I208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156" t="s">
        <v>2700</v>
      </c>
      <c r="G209" s="148" t="str">
        <f t="shared" si="6"/>
        <v>Helio HELIO VARELA - Cabo Verde</v>
      </c>
      <c r="H209" t="str">
        <f t="shared" si="7"/>
        <v>CPV26</v>
      </c>
      <c r="I209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157" t="s">
        <v>2727</v>
      </c>
      <c r="G210" s="148" t="str">
        <f t="shared" si="6"/>
        <v>Dayne ST. CLAIR - Canada</v>
      </c>
      <c r="H210" t="str">
        <f t="shared" si="7"/>
        <v>CAN1</v>
      </c>
      <c r="I210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157" t="s">
        <v>2727</v>
      </c>
      <c r="G211" s="148" t="str">
        <f t="shared" si="6"/>
        <v>Alistair JOHNSTON - Canada</v>
      </c>
      <c r="H211" t="str">
        <f t="shared" si="7"/>
        <v>CAN2</v>
      </c>
      <c r="I211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157" t="s">
        <v>2727</v>
      </c>
      <c r="G212" s="148" t="str">
        <f t="shared" si="6"/>
        <v>Ale JONES - Canada</v>
      </c>
      <c r="H212" t="str">
        <f t="shared" si="7"/>
        <v>CAN3</v>
      </c>
      <c r="I212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157" t="s">
        <v>2727</v>
      </c>
      <c r="G213" s="148" t="str">
        <f t="shared" si="6"/>
        <v>Luc DE FOUGEROLLES - Canada</v>
      </c>
      <c r="H213" t="str">
        <f t="shared" si="7"/>
        <v>CAN4</v>
      </c>
      <c r="I21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157" t="s">
        <v>2727</v>
      </c>
      <c r="G214" s="148" t="str">
        <f t="shared" si="6"/>
        <v>Joel WATERMAN - Canada</v>
      </c>
      <c r="H214" t="str">
        <f t="shared" si="7"/>
        <v>CAN5</v>
      </c>
      <c r="I214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157" t="s">
        <v>2727</v>
      </c>
      <c r="G215" s="148" t="str">
        <f t="shared" si="6"/>
        <v>Mathieu CHOINIERE - Canada</v>
      </c>
      <c r="H215" t="str">
        <f t="shared" si="7"/>
        <v>CAN6</v>
      </c>
      <c r="I215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157" t="s">
        <v>2727</v>
      </c>
      <c r="G216" s="148" t="str">
        <f t="shared" si="6"/>
        <v>Stephen EUSTAQUIO - Canada</v>
      </c>
      <c r="H216" t="str">
        <f t="shared" si="7"/>
        <v>CAN7</v>
      </c>
      <c r="I216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157" t="s">
        <v>2727</v>
      </c>
      <c r="G217" s="148" t="str">
        <f t="shared" si="6"/>
        <v>Ismael KONE - Canada</v>
      </c>
      <c r="H217" t="str">
        <f t="shared" si="7"/>
        <v>CAN8</v>
      </c>
      <c r="I217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157" t="s">
        <v>2727</v>
      </c>
      <c r="G218" s="148" t="str">
        <f t="shared" si="6"/>
        <v>Cyle LARIN - Canada</v>
      </c>
      <c r="H218" t="str">
        <f t="shared" si="7"/>
        <v>CAN9</v>
      </c>
      <c r="I218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157" t="s">
        <v>2727</v>
      </c>
      <c r="G219" s="148" t="str">
        <f t="shared" si="6"/>
        <v>Jonathan DAVID - Canada</v>
      </c>
      <c r="H219" t="str">
        <f t="shared" si="7"/>
        <v>CAN10</v>
      </c>
      <c r="I219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157" t="s">
        <v>2727</v>
      </c>
      <c r="G220" s="148" t="str">
        <f t="shared" si="6"/>
        <v>Liam MILLAR - Canada</v>
      </c>
      <c r="H220" t="str">
        <f t="shared" si="7"/>
        <v>CAN11</v>
      </c>
      <c r="I220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157" t="s">
        <v>2727</v>
      </c>
      <c r="G221" s="148" t="str">
        <f t="shared" si="6"/>
        <v>Tani OLUWASEYI - Canada</v>
      </c>
      <c r="H221" t="str">
        <f t="shared" si="7"/>
        <v>CAN12</v>
      </c>
      <c r="I221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157" t="s">
        <v>2727</v>
      </c>
      <c r="G222" s="148" t="str">
        <f t="shared" si="6"/>
        <v>Derek CORNELIUS - Canada</v>
      </c>
      <c r="H222" t="str">
        <f t="shared" si="7"/>
        <v>CAN13</v>
      </c>
      <c r="I222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157" t="s">
        <v>2727</v>
      </c>
      <c r="G223" s="148" t="str">
        <f t="shared" si="6"/>
        <v>Jacob SHAFFELBURG - Canada</v>
      </c>
      <c r="H223" t="str">
        <f t="shared" si="7"/>
        <v>CAN14</v>
      </c>
      <c r="I22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157" t="s">
        <v>2727</v>
      </c>
      <c r="G224" s="148" t="str">
        <f t="shared" si="6"/>
        <v>Moise BOMBITO - Canada</v>
      </c>
      <c r="H224" t="str">
        <f t="shared" si="7"/>
        <v>CAN15</v>
      </c>
      <c r="I224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157" t="s">
        <v>2727</v>
      </c>
      <c r="G225" s="148" t="str">
        <f t="shared" si="6"/>
        <v>Maxime CREPEAU - Canada</v>
      </c>
      <c r="H225" t="str">
        <f t="shared" si="7"/>
        <v>CAN16</v>
      </c>
      <c r="I225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157" t="s">
        <v>2727</v>
      </c>
      <c r="G226" s="148" t="str">
        <f t="shared" si="6"/>
        <v>Tajon BUCHANAN - Canada</v>
      </c>
      <c r="H226" t="str">
        <f t="shared" si="7"/>
        <v>CAN17</v>
      </c>
      <c r="I226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157" t="s">
        <v>2727</v>
      </c>
      <c r="G227" s="148" t="str">
        <f t="shared" si="6"/>
        <v>Owen GOODMAN - Canada</v>
      </c>
      <c r="H227" t="str">
        <f t="shared" si="7"/>
        <v>CAN18</v>
      </c>
      <c r="I227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157" t="s">
        <v>2727</v>
      </c>
      <c r="G228" s="148" t="str">
        <f t="shared" si="6"/>
        <v>Alphonso DAVIES - Canada</v>
      </c>
      <c r="H228" t="str">
        <f t="shared" si="7"/>
        <v>CAN19</v>
      </c>
      <c r="I228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157" t="s">
        <v>2727</v>
      </c>
      <c r="G229" s="148" t="str">
        <f t="shared" si="6"/>
        <v>Ali AHMED - Canada</v>
      </c>
      <c r="H229" t="str">
        <f t="shared" si="7"/>
        <v>CAN20</v>
      </c>
      <c r="I229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157" t="s">
        <v>2727</v>
      </c>
      <c r="G230" s="148" t="str">
        <f t="shared" si="6"/>
        <v>Jonathan OSORIO - Canada</v>
      </c>
      <c r="H230" t="str">
        <f t="shared" si="7"/>
        <v>CAN21</v>
      </c>
      <c r="I230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157" t="s">
        <v>2727</v>
      </c>
      <c r="G231" s="148" t="str">
        <f t="shared" si="6"/>
        <v>Richie LARYEA - Canada</v>
      </c>
      <c r="H231" t="str">
        <f t="shared" si="7"/>
        <v>CAN22</v>
      </c>
      <c r="I231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157" t="s">
        <v>2727</v>
      </c>
      <c r="G232" s="148" t="str">
        <f t="shared" si="6"/>
        <v>Niko SIGUR - Canada</v>
      </c>
      <c r="H232" t="str">
        <f t="shared" si="7"/>
        <v>CAN23</v>
      </c>
      <c r="I232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157" t="s">
        <v>2727</v>
      </c>
      <c r="G233" s="148" t="str">
        <f t="shared" si="6"/>
        <v>Promise DAVID - Canada</v>
      </c>
      <c r="H233" t="str">
        <f t="shared" si="7"/>
        <v>CAN24</v>
      </c>
      <c r="I23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157" t="s">
        <v>2727</v>
      </c>
      <c r="G234" s="148" t="str">
        <f t="shared" si="6"/>
        <v>Nathan SALIBA - Canada</v>
      </c>
      <c r="H234" t="str">
        <f t="shared" si="7"/>
        <v>CAN25</v>
      </c>
      <c r="I234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157" t="s">
        <v>2727</v>
      </c>
      <c r="G235" s="148" t="str">
        <f t="shared" si="6"/>
        <v>Jayden NELSON - Canada</v>
      </c>
      <c r="H235" t="str">
        <f t="shared" si="7"/>
        <v>CAN26</v>
      </c>
      <c r="I235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158" t="s">
        <v>2753</v>
      </c>
      <c r="G236" s="148" t="str">
        <f t="shared" si="6"/>
        <v>David OSPINA - Colombia</v>
      </c>
      <c r="H236" t="str">
        <f t="shared" si="7"/>
        <v>COL1</v>
      </c>
      <c r="I236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158" t="s">
        <v>2753</v>
      </c>
      <c r="G237" s="148" t="str">
        <f t="shared" si="6"/>
        <v>Daniel MUNOZ - Colombia</v>
      </c>
      <c r="H237" t="str">
        <f t="shared" si="7"/>
        <v>COL2</v>
      </c>
      <c r="I237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158" t="s">
        <v>2753</v>
      </c>
      <c r="G238" s="148" t="str">
        <f t="shared" si="6"/>
        <v>Jhon LUCUMI - Colombia</v>
      </c>
      <c r="H238" t="str">
        <f t="shared" si="7"/>
        <v>COL3</v>
      </c>
      <c r="I238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158" t="s">
        <v>2753</v>
      </c>
      <c r="G239" s="148" t="str">
        <f t="shared" si="6"/>
        <v>Santiago ARIAS - Colombia</v>
      </c>
      <c r="H239" t="str">
        <f t="shared" si="7"/>
        <v>COL4</v>
      </c>
      <c r="I239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158" t="s">
        <v>2753</v>
      </c>
      <c r="G240" s="148" t="str">
        <f t="shared" si="6"/>
        <v>Kevin CASTANO - Colombia</v>
      </c>
      <c r="H240" t="str">
        <f t="shared" si="7"/>
        <v>COL5</v>
      </c>
      <c r="I240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158" t="s">
        <v>2753</v>
      </c>
      <c r="G241" s="148" t="str">
        <f t="shared" si="6"/>
        <v>Richard RIOS - Colombia</v>
      </c>
      <c r="H241" t="str">
        <f t="shared" si="7"/>
        <v>COL6</v>
      </c>
      <c r="I241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158" t="s">
        <v>2753</v>
      </c>
      <c r="G242" s="148" t="str">
        <f t="shared" si="6"/>
        <v>Luis DIAZ - Colombia</v>
      </c>
      <c r="H242" t="str">
        <f t="shared" si="7"/>
        <v>COL7</v>
      </c>
      <c r="I242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158" t="s">
        <v>2753</v>
      </c>
      <c r="G243" s="148" t="str">
        <f t="shared" si="6"/>
        <v>Jorge CARRASCAL - Colombia</v>
      </c>
      <c r="H243" t="str">
        <f t="shared" si="7"/>
        <v>COL8</v>
      </c>
      <c r="I243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158" t="s">
        <v>2753</v>
      </c>
      <c r="G244" s="148" t="str">
        <f t="shared" si="6"/>
        <v>Jhon CORDOBA - Colombia</v>
      </c>
      <c r="H244" t="str">
        <f t="shared" si="7"/>
        <v>COL9</v>
      </c>
      <c r="I244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158" t="s">
        <v>2753</v>
      </c>
      <c r="G245" s="148" t="str">
        <f t="shared" si="6"/>
        <v>James RODRIGUEZ - Colombia</v>
      </c>
      <c r="H245" t="str">
        <f t="shared" si="7"/>
        <v>COL10</v>
      </c>
      <c r="I24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158" t="s">
        <v>2753</v>
      </c>
      <c r="G246" s="148" t="str">
        <f t="shared" si="6"/>
        <v>Jhon ARIAS - Colombia</v>
      </c>
      <c r="H246" t="str">
        <f t="shared" si="7"/>
        <v>COL11</v>
      </c>
      <c r="I246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158" t="s">
        <v>2753</v>
      </c>
      <c r="G247" s="148" t="str">
        <f t="shared" si="6"/>
        <v>Camilo VARGAS - Colombia</v>
      </c>
      <c r="H247" t="str">
        <f t="shared" si="7"/>
        <v>COL12</v>
      </c>
      <c r="I247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158" t="s">
        <v>2753</v>
      </c>
      <c r="G248" s="148" t="str">
        <f t="shared" si="6"/>
        <v>Yerry MINA - Colombia</v>
      </c>
      <c r="H248" t="str">
        <f t="shared" si="7"/>
        <v>COL13</v>
      </c>
      <c r="I248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158" t="s">
        <v>2753</v>
      </c>
      <c r="G249" s="148" t="str">
        <f t="shared" si="6"/>
        <v>Gustavo PUERTA - Colombia</v>
      </c>
      <c r="H249" t="str">
        <f t="shared" si="7"/>
        <v>COL14</v>
      </c>
      <c r="I249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158" t="s">
        <v>2753</v>
      </c>
      <c r="G250" s="148" t="str">
        <f t="shared" si="6"/>
        <v>Juan PORTILLA - Colombia</v>
      </c>
      <c r="H250" t="str">
        <f t="shared" si="7"/>
        <v>COL15</v>
      </c>
      <c r="I250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158" t="s">
        <v>2753</v>
      </c>
      <c r="G251" s="148" t="str">
        <f t="shared" si="6"/>
        <v>Jefferson LERMA - Colombia</v>
      </c>
      <c r="H251" t="str">
        <f t="shared" si="7"/>
        <v>COL16</v>
      </c>
      <c r="I251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158" t="s">
        <v>2753</v>
      </c>
      <c r="G252" s="148" t="str">
        <f t="shared" si="6"/>
        <v>Johan MOJICA - Colombia</v>
      </c>
      <c r="H252" t="str">
        <f t="shared" si="7"/>
        <v>COL17</v>
      </c>
      <c r="I252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158" t="s">
        <v>2753</v>
      </c>
      <c r="G253" s="148" t="str">
        <f t="shared" si="6"/>
        <v>Willer DITTA - Colombia</v>
      </c>
      <c r="H253" t="str">
        <f t="shared" si="7"/>
        <v>COL18</v>
      </c>
      <c r="I253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158" t="s">
        <v>2753</v>
      </c>
      <c r="G254" s="148" t="str">
        <f t="shared" si="6"/>
        <v>Cucho HERNANDEZ - Colombia</v>
      </c>
      <c r="H254" t="str">
        <f t="shared" si="7"/>
        <v>COL19</v>
      </c>
      <c r="I254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158" t="s">
        <v>2753</v>
      </c>
      <c r="G255" s="148" t="str">
        <f t="shared" si="6"/>
        <v>Juan QUINTERO - Colombia</v>
      </c>
      <c r="H255" t="str">
        <f t="shared" si="7"/>
        <v>COL20</v>
      </c>
      <c r="I2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158" t="s">
        <v>2753</v>
      </c>
      <c r="G256" s="148" t="str">
        <f t="shared" si="6"/>
        <v>Jaminton CAMPAZ - Colombia</v>
      </c>
      <c r="H256" t="str">
        <f t="shared" si="7"/>
        <v>COL21</v>
      </c>
      <c r="I256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158" t="s">
        <v>2753</v>
      </c>
      <c r="G257" s="148" t="str">
        <f t="shared" si="6"/>
        <v>Deiver MACHADO - Colombia</v>
      </c>
      <c r="H257" t="str">
        <f t="shared" si="7"/>
        <v>COL22</v>
      </c>
      <c r="I257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158" t="s">
        <v>2753</v>
      </c>
      <c r="G258" s="148" t="str">
        <f t="shared" si="6"/>
        <v>Davinson SANCHEZ - Colombia</v>
      </c>
      <c r="H258" t="str">
        <f t="shared" si="7"/>
        <v>COL23</v>
      </c>
      <c r="I258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158" t="s">
        <v>2753</v>
      </c>
      <c r="G259" s="148" t="str">
        <f t="shared" ref="G259:G322" si="8">_xlfn.CONCAT(C259, " ",D259, " - ",F259)</f>
        <v>Alvaro MONTERO - Colombia</v>
      </c>
      <c r="H259" t="str">
        <f t="shared" ref="H259:H322" si="9">_xlfn.CONCAT(E259,A259)</f>
        <v>COL24</v>
      </c>
      <c r="I259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158" t="s">
        <v>2753</v>
      </c>
      <c r="G260" s="148" t="str">
        <f t="shared" si="8"/>
        <v>Luis SUAREZ - Colombia</v>
      </c>
      <c r="H260" t="str">
        <f t="shared" si="9"/>
        <v>COL25</v>
      </c>
      <c r="I260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158" t="s">
        <v>2753</v>
      </c>
      <c r="G261" s="148" t="str">
        <f t="shared" si="8"/>
        <v>Andres GOMEZ - Colombia</v>
      </c>
      <c r="H261" t="str">
        <f t="shared" si="9"/>
        <v>COL26</v>
      </c>
      <c r="I261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159" t="s">
        <v>2780</v>
      </c>
      <c r="G262" s="148" t="str">
        <f t="shared" si="8"/>
        <v>Lionel MPASI - DR Congo</v>
      </c>
      <c r="H262" t="str">
        <f t="shared" si="9"/>
        <v>COD1</v>
      </c>
      <c r="I262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159" t="s">
        <v>2780</v>
      </c>
      <c r="G263" s="148" t="str">
        <f t="shared" si="8"/>
        <v>Aaron WAN-BISSAKA - DR Congo</v>
      </c>
      <c r="H263" t="str">
        <f t="shared" si="9"/>
        <v>COD2</v>
      </c>
      <c r="I263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159" t="s">
        <v>2780</v>
      </c>
      <c r="G264" s="148" t="str">
        <f t="shared" si="8"/>
        <v>Steve KAPUADI - DR Congo</v>
      </c>
      <c r="H264" t="str">
        <f t="shared" si="9"/>
        <v>COD3</v>
      </c>
      <c r="I264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159" t="s">
        <v>2780</v>
      </c>
      <c r="G265" s="148" t="str">
        <f t="shared" si="8"/>
        <v>Axel TUANZEBE - DR Congo</v>
      </c>
      <c r="H265" t="str">
        <f t="shared" si="9"/>
        <v>COD4</v>
      </c>
      <c r="I265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159" t="s">
        <v>2780</v>
      </c>
      <c r="G266" s="148" t="str">
        <f t="shared" si="8"/>
        <v>Dylan BATUBINSIKA - DR Congo</v>
      </c>
      <c r="H266" t="str">
        <f t="shared" si="9"/>
        <v>COD5</v>
      </c>
      <c r="I266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159" t="s">
        <v>2780</v>
      </c>
      <c r="G267" s="148" t="str">
        <f t="shared" si="8"/>
        <v>Ngalayel MUKAU - DR Congo</v>
      </c>
      <c r="H267" t="str">
        <f t="shared" si="9"/>
        <v>COD6</v>
      </c>
      <c r="I26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159" t="s">
        <v>2780</v>
      </c>
      <c r="G268" s="148" t="str">
        <f t="shared" si="8"/>
        <v>Nathanael MBUKU - DR Congo</v>
      </c>
      <c r="H268" t="str">
        <f t="shared" si="9"/>
        <v>COD7</v>
      </c>
      <c r="I268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159" t="s">
        <v>2780</v>
      </c>
      <c r="G269" s="148" t="str">
        <f t="shared" si="8"/>
        <v>Samuel MOUTOUSSAMY - DR Congo</v>
      </c>
      <c r="H269" t="str">
        <f t="shared" si="9"/>
        <v>COD8</v>
      </c>
      <c r="I269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159" t="s">
        <v>2780</v>
      </c>
      <c r="G270" s="148" t="str">
        <f t="shared" si="8"/>
        <v>Brian CIPENGA - DR Congo</v>
      </c>
      <c r="H270" t="str">
        <f t="shared" si="9"/>
        <v>COD9</v>
      </c>
      <c r="I270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159" t="s">
        <v>2780</v>
      </c>
      <c r="G271" s="148" t="str">
        <f t="shared" si="8"/>
        <v>Theo BONGONDA - DR Congo</v>
      </c>
      <c r="H271" t="str">
        <f t="shared" si="9"/>
        <v>COD10</v>
      </c>
      <c r="I271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159" t="s">
        <v>2780</v>
      </c>
      <c r="G272" s="148" t="str">
        <f t="shared" si="8"/>
        <v>Gael KAKUTA - DR Congo</v>
      </c>
      <c r="H272" t="str">
        <f t="shared" si="9"/>
        <v>COD11</v>
      </c>
      <c r="I272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159" t="s">
        <v>2780</v>
      </c>
      <c r="G273" s="148" t="str">
        <f t="shared" si="8"/>
        <v>Joris KAYEMBE - DR Congo</v>
      </c>
      <c r="H273" t="str">
        <f t="shared" si="9"/>
        <v>COD12</v>
      </c>
      <c r="I273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159" t="s">
        <v>2780</v>
      </c>
      <c r="G274" s="148" t="str">
        <f t="shared" si="8"/>
        <v>Meschack ELIA - DR Congo</v>
      </c>
      <c r="H274" t="str">
        <f t="shared" si="9"/>
        <v>COD13</v>
      </c>
      <c r="I274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159" t="s">
        <v>2780</v>
      </c>
      <c r="G275" s="148" t="str">
        <f t="shared" si="8"/>
        <v>Noah SADIKI - DR Congo</v>
      </c>
      <c r="H275" t="str">
        <f t="shared" si="9"/>
        <v>COD14</v>
      </c>
      <c r="I275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159" t="s">
        <v>2780</v>
      </c>
      <c r="G276" s="148" t="str">
        <f t="shared" si="8"/>
        <v>Aaron TSHIBOLA - DR Congo</v>
      </c>
      <c r="H276" t="str">
        <f t="shared" si="9"/>
        <v>COD15</v>
      </c>
      <c r="I276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159" t="s">
        <v>2780</v>
      </c>
      <c r="G277" s="148" t="str">
        <f t="shared" si="8"/>
        <v>Timothy FAYULU - DR Congo</v>
      </c>
      <c r="H277" t="str">
        <f t="shared" si="9"/>
        <v>COD16</v>
      </c>
      <c r="I27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159" t="s">
        <v>2780</v>
      </c>
      <c r="G278" s="148" t="str">
        <f t="shared" si="8"/>
        <v>Cedric BAKAMBU - DR Congo</v>
      </c>
      <c r="H278" t="str">
        <f t="shared" si="9"/>
        <v>COD17</v>
      </c>
      <c r="I278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159" t="s">
        <v>2780</v>
      </c>
      <c r="G279" s="148" t="str">
        <f t="shared" si="8"/>
        <v>Charles PICKEL - DR Congo</v>
      </c>
      <c r="H279" t="str">
        <f t="shared" si="9"/>
        <v>COD18</v>
      </c>
      <c r="I279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159" t="s">
        <v>2780</v>
      </c>
      <c r="G280" s="148" t="str">
        <f t="shared" si="8"/>
        <v>Fiston MAYELE - DR Congo</v>
      </c>
      <c r="H280" t="str">
        <f t="shared" si="9"/>
        <v>COD19</v>
      </c>
      <c r="I280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159" t="s">
        <v>2780</v>
      </c>
      <c r="G281" s="148" t="str">
        <f t="shared" si="8"/>
        <v>Yoane WISSA - DR Congo</v>
      </c>
      <c r="H281" t="str">
        <f t="shared" si="9"/>
        <v>COD20</v>
      </c>
      <c r="I281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159" t="s">
        <v>2780</v>
      </c>
      <c r="G282" s="148" t="str">
        <f t="shared" si="8"/>
        <v>Matthieu EPOLO - DR Congo</v>
      </c>
      <c r="H282" t="str">
        <f t="shared" si="9"/>
        <v>COD21</v>
      </c>
      <c r="I282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159" t="s">
        <v>2780</v>
      </c>
      <c r="G283" s="148" t="str">
        <f t="shared" si="8"/>
        <v>Chancel MBEMBA - DR Congo</v>
      </c>
      <c r="H283" t="str">
        <f t="shared" si="9"/>
        <v>COD22</v>
      </c>
      <c r="I283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159" t="s">
        <v>2780</v>
      </c>
      <c r="G284" s="148" t="str">
        <f t="shared" si="8"/>
        <v>Simon BANZA - DR Congo</v>
      </c>
      <c r="H284" t="str">
        <f t="shared" si="9"/>
        <v>COD23</v>
      </c>
      <c r="I284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159" t="s">
        <v>2780</v>
      </c>
      <c r="G285" s="148" t="str">
        <f t="shared" si="8"/>
        <v>Gedeon KALULU - DR Congo</v>
      </c>
      <c r="H285" t="str">
        <f t="shared" si="9"/>
        <v>COD24</v>
      </c>
      <c r="I285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159" t="s">
        <v>2780</v>
      </c>
      <c r="G286" s="148" t="str">
        <f t="shared" si="8"/>
        <v>Edo KAYEMBE - DR Congo</v>
      </c>
      <c r="H286" t="str">
        <f t="shared" si="9"/>
        <v>COD25</v>
      </c>
      <c r="I286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159" t="s">
        <v>2780</v>
      </c>
      <c r="G287" s="148" t="str">
        <f t="shared" si="8"/>
        <v>Arthur MASUAKU - DR Congo</v>
      </c>
      <c r="H287" t="str">
        <f t="shared" si="9"/>
        <v>COD26</v>
      </c>
      <c r="I28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160" t="s">
        <v>2807</v>
      </c>
      <c r="G288" s="148" t="str">
        <f t="shared" si="8"/>
        <v>Yahia FOFANA - Côte d'Ivoire</v>
      </c>
      <c r="H288" t="str">
        <f t="shared" si="9"/>
        <v>CIV1</v>
      </c>
      <c r="I288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160" t="s">
        <v>2807</v>
      </c>
      <c r="G289" s="148" t="str">
        <f t="shared" si="8"/>
        <v>Ousmane DIOMANDE - Côte d'Ivoire</v>
      </c>
      <c r="H289" t="str">
        <f t="shared" si="9"/>
        <v>CIV2</v>
      </c>
      <c r="I28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160" t="s">
        <v>2807</v>
      </c>
      <c r="G290" s="148" t="str">
        <f t="shared" si="8"/>
        <v>Ghislain KONAN - Côte d'Ivoire</v>
      </c>
      <c r="H290" t="str">
        <f t="shared" si="9"/>
        <v>CIV3</v>
      </c>
      <c r="I290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160" t="s">
        <v>2807</v>
      </c>
      <c r="G291" s="148" t="str">
        <f t="shared" si="8"/>
        <v>Jean Michael SERI - Côte d'Ivoire</v>
      </c>
      <c r="H291" t="str">
        <f t="shared" si="9"/>
        <v>CIV4</v>
      </c>
      <c r="I291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160" t="s">
        <v>2807</v>
      </c>
      <c r="G292" s="148" t="str">
        <f t="shared" si="8"/>
        <v>Wilfried SINGO - Côte d'Ivoire</v>
      </c>
      <c r="H292" t="str">
        <f t="shared" si="9"/>
        <v>CIV5</v>
      </c>
      <c r="I292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160" t="s">
        <v>2807</v>
      </c>
      <c r="G293" s="148" t="str">
        <f t="shared" si="8"/>
        <v>Seko FOFANA - Côte d'Ivoire</v>
      </c>
      <c r="H293" t="str">
        <f t="shared" si="9"/>
        <v>CIV6</v>
      </c>
      <c r="I293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160" t="s">
        <v>2807</v>
      </c>
      <c r="G294" s="148" t="str">
        <f t="shared" si="8"/>
        <v>Odilon KOSSOUNOU - Côte d'Ivoire</v>
      </c>
      <c r="H294" t="str">
        <f t="shared" si="9"/>
        <v>CIV7</v>
      </c>
      <c r="I294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160" t="s">
        <v>2807</v>
      </c>
      <c r="G295" s="148" t="str">
        <f t="shared" si="8"/>
        <v>Franck KESSIE - Côte d'Ivoire</v>
      </c>
      <c r="H295" t="str">
        <f t="shared" si="9"/>
        <v>CIV8</v>
      </c>
      <c r="I295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160" t="s">
        <v>2807</v>
      </c>
      <c r="G296" s="148" t="str">
        <f t="shared" si="8"/>
        <v>Ange-Yoan BONNY - Côte d'Ivoire</v>
      </c>
      <c r="H296" t="str">
        <f t="shared" si="9"/>
        <v>CIV9</v>
      </c>
      <c r="I296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160" t="s">
        <v>2807</v>
      </c>
      <c r="G297" s="148" t="str">
        <f t="shared" si="8"/>
        <v>Simon ADINGRA - Côte d'Ivoire</v>
      </c>
      <c r="H297" t="str">
        <f t="shared" si="9"/>
        <v>CIV10</v>
      </c>
      <c r="I297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160" t="s">
        <v>2807</v>
      </c>
      <c r="G298" s="148" t="str">
        <f t="shared" si="8"/>
        <v>Yan DIOMANDE - Côte d'Ivoire</v>
      </c>
      <c r="H298" t="str">
        <f t="shared" si="9"/>
        <v>CIV11</v>
      </c>
      <c r="I298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160" t="s">
        <v>2807</v>
      </c>
      <c r="G299" s="148" t="str">
        <f t="shared" si="8"/>
        <v>Elye WAHI - Côte d'Ivoire</v>
      </c>
      <c r="H299" t="str">
        <f t="shared" si="9"/>
        <v>CIV12</v>
      </c>
      <c r="I29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160" t="s">
        <v>2807</v>
      </c>
      <c r="G300" s="148" t="str">
        <f t="shared" si="8"/>
        <v>Christopher OPERI - Côte d'Ivoire</v>
      </c>
      <c r="H300" t="str">
        <f t="shared" si="9"/>
        <v>CIV13</v>
      </c>
      <c r="I300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160" t="s">
        <v>2807</v>
      </c>
      <c r="G301" s="148" t="str">
        <f t="shared" si="8"/>
        <v>Oumar DIAKITE - Côte d'Ivoire</v>
      </c>
      <c r="H301" t="str">
        <f t="shared" si="9"/>
        <v>CIV14</v>
      </c>
      <c r="I301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160" t="s">
        <v>2807</v>
      </c>
      <c r="G302" s="148" t="str">
        <f t="shared" si="8"/>
        <v>Amad DIALLO - Côte d'Ivoire</v>
      </c>
      <c r="H302" t="str">
        <f t="shared" si="9"/>
        <v>CIV15</v>
      </c>
      <c r="I302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160" t="s">
        <v>2807</v>
      </c>
      <c r="G303" s="148" t="str">
        <f t="shared" si="8"/>
        <v>Mohamed KONE - Côte d'Ivoire</v>
      </c>
      <c r="H303" t="str">
        <f t="shared" si="9"/>
        <v>CIV16</v>
      </c>
      <c r="I303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160" t="s">
        <v>2807</v>
      </c>
      <c r="G304" s="148" t="str">
        <f t="shared" si="8"/>
        <v>Guela DOUE - Côte d'Ivoire</v>
      </c>
      <c r="H304" t="str">
        <f t="shared" si="9"/>
        <v>CIV17</v>
      </c>
      <c r="I304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160" t="s">
        <v>2807</v>
      </c>
      <c r="G305" s="148" t="str">
        <f t="shared" si="8"/>
        <v>Ibrahim SANGARE - Côte d'Ivoire</v>
      </c>
      <c r="H305" t="str">
        <f t="shared" si="9"/>
        <v>CIV18</v>
      </c>
      <c r="I305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160" t="s">
        <v>2807</v>
      </c>
      <c r="G306" s="148" t="str">
        <f t="shared" si="8"/>
        <v>Nicolas PEPE - Côte d'Ivoire</v>
      </c>
      <c r="H306" t="str">
        <f t="shared" si="9"/>
        <v>CIV19</v>
      </c>
      <c r="I306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160" t="s">
        <v>2807</v>
      </c>
      <c r="G307" s="148" t="str">
        <f t="shared" si="8"/>
        <v>Emmanuel AGBADOU - Côte d'Ivoire</v>
      </c>
      <c r="H307" t="str">
        <f t="shared" si="9"/>
        <v>CIV20</v>
      </c>
      <c r="I307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160" t="s">
        <v>2807</v>
      </c>
      <c r="G308" s="148" t="str">
        <f t="shared" si="8"/>
        <v>Evan NDICKA - Côte d'Ivoire</v>
      </c>
      <c r="H308" t="str">
        <f t="shared" si="9"/>
        <v>CIV21</v>
      </c>
      <c r="I308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160" t="s">
        <v>2807</v>
      </c>
      <c r="G309" s="148" t="str">
        <f t="shared" si="8"/>
        <v>Evann GUESSAND - Côte d'Ivoire</v>
      </c>
      <c r="H309" t="str">
        <f t="shared" si="9"/>
        <v>CIV22</v>
      </c>
      <c r="I30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160" t="s">
        <v>2807</v>
      </c>
      <c r="G310" s="148" t="str">
        <f t="shared" si="8"/>
        <v>Alban LAFONT - Côte d'Ivoire</v>
      </c>
      <c r="H310" t="str">
        <f t="shared" si="9"/>
        <v>CIV23</v>
      </c>
      <c r="I310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160" t="s">
        <v>2807</v>
      </c>
      <c r="G311" s="148" t="str">
        <f t="shared" si="8"/>
        <v>Bazoumana TOURE - Côte d'Ivoire</v>
      </c>
      <c r="H311" t="str">
        <f t="shared" si="9"/>
        <v>CIV24</v>
      </c>
      <c r="I311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160" t="s">
        <v>2807</v>
      </c>
      <c r="G312" s="148" t="str">
        <f t="shared" si="8"/>
        <v>Parfait GUIAGON - Côte d'Ivoire</v>
      </c>
      <c r="H312" t="str">
        <f t="shared" si="9"/>
        <v>CIV25</v>
      </c>
      <c r="I312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160" t="s">
        <v>2807</v>
      </c>
      <c r="G313" s="148" t="str">
        <f t="shared" si="8"/>
        <v>Christ Inao OULAI - Côte d'Ivoire</v>
      </c>
      <c r="H313" t="str">
        <f t="shared" si="9"/>
        <v>CIV26</v>
      </c>
      <c r="I313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161" t="s">
        <v>2834</v>
      </c>
      <c r="G314" s="148" t="str">
        <f t="shared" si="8"/>
        <v>Dominik LIVAKOVIC - Croatia</v>
      </c>
      <c r="H314" t="str">
        <f t="shared" si="9"/>
        <v>HRV1</v>
      </c>
      <c r="I314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161" t="s">
        <v>2834</v>
      </c>
      <c r="G315" s="148" t="str">
        <f t="shared" si="8"/>
        <v>Josip STANISIC - Croatia</v>
      </c>
      <c r="H315" t="str">
        <f t="shared" si="9"/>
        <v>HRV2</v>
      </c>
      <c r="I315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161" t="s">
        <v>2834</v>
      </c>
      <c r="G316" s="148" t="str">
        <f t="shared" si="8"/>
        <v>Marin PONGRACIC - Croatia</v>
      </c>
      <c r="H316" t="str">
        <f t="shared" si="9"/>
        <v>HRV3</v>
      </c>
      <c r="I316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161" t="s">
        <v>2834</v>
      </c>
      <c r="G317" s="148" t="str">
        <f t="shared" si="8"/>
        <v>Josko GVARDIOL - Croatia</v>
      </c>
      <c r="H317" t="str">
        <f t="shared" si="9"/>
        <v>HRV4</v>
      </c>
      <c r="I317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161" t="s">
        <v>2834</v>
      </c>
      <c r="G318" s="148" t="str">
        <f t="shared" si="8"/>
        <v>Duje CALETA-CAR - Croatia</v>
      </c>
      <c r="H318" t="str">
        <f t="shared" si="9"/>
        <v>HRV5</v>
      </c>
      <c r="I318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161" t="s">
        <v>2834</v>
      </c>
      <c r="G319" s="148" t="str">
        <f t="shared" si="8"/>
        <v>Josip SUTALO - Croatia</v>
      </c>
      <c r="H319" t="str">
        <f t="shared" si="9"/>
        <v>HRV6</v>
      </c>
      <c r="I319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161" t="s">
        <v>2834</v>
      </c>
      <c r="G320" s="148" t="str">
        <f t="shared" si="8"/>
        <v>Nikola MORO - Croatia</v>
      </c>
      <c r="H320" t="str">
        <f t="shared" si="9"/>
        <v>HRV7</v>
      </c>
      <c r="I320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161" t="s">
        <v>2834</v>
      </c>
      <c r="G321" s="148" t="str">
        <f t="shared" si="8"/>
        <v>Mateo KOVACIC - Croatia</v>
      </c>
      <c r="H321" t="str">
        <f t="shared" si="9"/>
        <v>HRV8</v>
      </c>
      <c r="I32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161" t="s">
        <v>2834</v>
      </c>
      <c r="G322" s="148" t="str">
        <f t="shared" si="8"/>
        <v>Andrej KRAMARIC - Croatia</v>
      </c>
      <c r="H322" t="str">
        <f t="shared" si="9"/>
        <v>HRV9</v>
      </c>
      <c r="I322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161" t="s">
        <v>2834</v>
      </c>
      <c r="G323" s="148" t="str">
        <f t="shared" ref="G323:G386" si="10">_xlfn.CONCAT(C323, " ",D323, " - ",F323)</f>
        <v>Luka MODRIC - Croatia</v>
      </c>
      <c r="H323" t="str">
        <f t="shared" ref="H323:H386" si="11">_xlfn.CONCAT(E323,A323)</f>
        <v>HRV10</v>
      </c>
      <c r="I323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161" t="s">
        <v>2834</v>
      </c>
      <c r="G324" s="148" t="str">
        <f t="shared" si="10"/>
        <v>Ante BUDIMIR - Croatia</v>
      </c>
      <c r="H324" t="str">
        <f t="shared" si="11"/>
        <v>HRV11</v>
      </c>
      <c r="I324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161" t="s">
        <v>2834</v>
      </c>
      <c r="G325" s="148" t="str">
        <f t="shared" si="10"/>
        <v>Ivor PANDUR - Croatia</v>
      </c>
      <c r="H325" t="str">
        <f t="shared" si="11"/>
        <v>HRV12</v>
      </c>
      <c r="I325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161" t="s">
        <v>2834</v>
      </c>
      <c r="G326" s="148" t="str">
        <f t="shared" si="10"/>
        <v>Nikola VLASIC - Croatia</v>
      </c>
      <c r="H326" t="str">
        <f t="shared" si="11"/>
        <v>HRV13</v>
      </c>
      <c r="I326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161" t="s">
        <v>2834</v>
      </c>
      <c r="G327" s="148" t="str">
        <f t="shared" si="10"/>
        <v>Ivan PERISIC - Croatia</v>
      </c>
      <c r="H327" t="str">
        <f t="shared" si="11"/>
        <v>HRV14</v>
      </c>
      <c r="I327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161" t="s">
        <v>2834</v>
      </c>
      <c r="G328" s="148" t="str">
        <f t="shared" si="10"/>
        <v>Mario PASALIC - Croatia</v>
      </c>
      <c r="H328" t="str">
        <f t="shared" si="11"/>
        <v>HRV15</v>
      </c>
      <c r="I328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161" t="s">
        <v>2834</v>
      </c>
      <c r="G329" s="148" t="str">
        <f t="shared" si="10"/>
        <v>Martin BATURINA - Croatia</v>
      </c>
      <c r="H329" t="str">
        <f t="shared" si="11"/>
        <v>HRV16</v>
      </c>
      <c r="I329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161" t="s">
        <v>2834</v>
      </c>
      <c r="G330" s="148" t="str">
        <f t="shared" si="10"/>
        <v>Petar SUCIC - Croatia</v>
      </c>
      <c r="H330" t="str">
        <f t="shared" si="11"/>
        <v>HRV17</v>
      </c>
      <c r="I330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161" t="s">
        <v>2834</v>
      </c>
      <c r="G331" s="148" t="str">
        <f t="shared" si="10"/>
        <v>Kristijan JAKIC - Croatia</v>
      </c>
      <c r="H331" t="str">
        <f t="shared" si="11"/>
        <v>HRV18</v>
      </c>
      <c r="I33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161" t="s">
        <v>2834</v>
      </c>
      <c r="G332" s="148" t="str">
        <f t="shared" si="10"/>
        <v>Toni FRUK - Croatia</v>
      </c>
      <c r="H332" t="str">
        <f t="shared" si="11"/>
        <v>HRV19</v>
      </c>
      <c r="I332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161" t="s">
        <v>2834</v>
      </c>
      <c r="G333" s="148" t="str">
        <f t="shared" si="10"/>
        <v>Igor MATANOVIC - Croatia</v>
      </c>
      <c r="H333" t="str">
        <f t="shared" si="11"/>
        <v>HRV20</v>
      </c>
      <c r="I333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161" t="s">
        <v>2834</v>
      </c>
      <c r="G334" s="148" t="str">
        <f t="shared" si="10"/>
        <v>Luka SUCIC - Croatia</v>
      </c>
      <c r="H334" t="str">
        <f t="shared" si="11"/>
        <v>HRV21</v>
      </c>
      <c r="I334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161" t="s">
        <v>2834</v>
      </c>
      <c r="G335" s="148" t="str">
        <f t="shared" si="10"/>
        <v>Luka VUSKOVIC - Croatia</v>
      </c>
      <c r="H335" t="str">
        <f t="shared" si="11"/>
        <v>HRV22</v>
      </c>
      <c r="I335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161" t="s">
        <v>2834</v>
      </c>
      <c r="G336" s="148" t="str">
        <f t="shared" si="10"/>
        <v>Dominik KOTARSKI - Croatia</v>
      </c>
      <c r="H336" t="str">
        <f t="shared" si="11"/>
        <v>HRV23</v>
      </c>
      <c r="I336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161" t="s">
        <v>2834</v>
      </c>
      <c r="G337" s="148" t="str">
        <f t="shared" si="10"/>
        <v>Marco PASALIC - Croatia</v>
      </c>
      <c r="H337" t="str">
        <f t="shared" si="11"/>
        <v>HRV24</v>
      </c>
      <c r="I337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161" t="s">
        <v>2834</v>
      </c>
      <c r="G338" s="148" t="str">
        <f t="shared" si="10"/>
        <v>Martin ERLIC - Croatia</v>
      </c>
      <c r="H338" t="str">
        <f t="shared" si="11"/>
        <v>HRV25</v>
      </c>
      <c r="I338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161" t="s">
        <v>2834</v>
      </c>
      <c r="G339" s="148" t="str">
        <f t="shared" si="10"/>
        <v>Petar MUSA - Croatia</v>
      </c>
      <c r="H339" t="str">
        <f t="shared" si="11"/>
        <v>HRV26</v>
      </c>
      <c r="I339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162" t="s">
        <v>2861</v>
      </c>
      <c r="G340" s="148" t="str">
        <f t="shared" si="10"/>
        <v>Eloy ROOM - Curaçao</v>
      </c>
      <c r="H340" t="str">
        <f t="shared" si="11"/>
        <v>CUW1</v>
      </c>
      <c r="I340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162" t="s">
        <v>2861</v>
      </c>
      <c r="G341" s="148" t="str">
        <f t="shared" si="10"/>
        <v>Shurandy SAMBO - Curaçao</v>
      </c>
      <c r="H341" t="str">
        <f t="shared" si="11"/>
        <v>CUW2</v>
      </c>
      <c r="I341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162" t="s">
        <v>2861</v>
      </c>
      <c r="G342" s="148" t="str">
        <f t="shared" si="10"/>
        <v>Jurien GAARI - Curaçao</v>
      </c>
      <c r="H342" t="str">
        <f t="shared" si="11"/>
        <v>CUW3</v>
      </c>
      <c r="I342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162" t="s">
        <v>2861</v>
      </c>
      <c r="G343" s="148" t="str">
        <f t="shared" si="10"/>
        <v>Roshon VAN EIJMA - Curaçao</v>
      </c>
      <c r="H343" t="str">
        <f t="shared" si="11"/>
        <v>CUW4</v>
      </c>
      <c r="I34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162" t="s">
        <v>2861</v>
      </c>
      <c r="G344" s="148" t="str">
        <f t="shared" si="10"/>
        <v>Sherel FLORANUS - Curaçao</v>
      </c>
      <c r="H344" t="str">
        <f t="shared" si="11"/>
        <v>CUW5</v>
      </c>
      <c r="I344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162" t="s">
        <v>2861</v>
      </c>
      <c r="G345" s="148" t="str">
        <f t="shared" si="10"/>
        <v>Godfried ROEMERATOE - Curaçao</v>
      </c>
      <c r="H345" t="str">
        <f t="shared" si="11"/>
        <v>CUW6</v>
      </c>
      <c r="I345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162" t="s">
        <v>2861</v>
      </c>
      <c r="G346" s="148" t="str">
        <f t="shared" si="10"/>
        <v>Juninho BACUNA - Curaçao</v>
      </c>
      <c r="H346" t="str">
        <f t="shared" si="11"/>
        <v>CUW7</v>
      </c>
      <c r="I346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162" t="s">
        <v>2861</v>
      </c>
      <c r="G347" s="148" t="str">
        <f t="shared" si="10"/>
        <v>Livano COMENENCIA - Curaçao</v>
      </c>
      <c r="H347" t="str">
        <f t="shared" si="11"/>
        <v>CUW8</v>
      </c>
      <c r="I347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162" t="s">
        <v>2861</v>
      </c>
      <c r="G348" s="148" t="str">
        <f t="shared" si="10"/>
        <v>Juergen LOCADIA - Curaçao</v>
      </c>
      <c r="H348" t="str">
        <f t="shared" si="11"/>
        <v>CUW9</v>
      </c>
      <c r="I348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162" t="s">
        <v>2861</v>
      </c>
      <c r="G349" s="148" t="str">
        <f t="shared" si="10"/>
        <v>Leandro BACUNA - Curaçao</v>
      </c>
      <c r="H349" t="str">
        <f t="shared" si="11"/>
        <v>CUW10</v>
      </c>
      <c r="I349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162" t="s">
        <v>2861</v>
      </c>
      <c r="G350" s="148" t="str">
        <f t="shared" si="10"/>
        <v>Jeremy ANTONISSE - Curaçao</v>
      </c>
      <c r="H350" t="str">
        <f t="shared" si="11"/>
        <v>CUW11</v>
      </c>
      <c r="I350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162" t="s">
        <v>2861</v>
      </c>
      <c r="G351" s="148" t="str">
        <f t="shared" si="10"/>
        <v>Sontje HANSEN - Curaçao</v>
      </c>
      <c r="H351" t="str">
        <f t="shared" si="11"/>
        <v>CUW12</v>
      </c>
      <c r="I351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162" t="s">
        <v>2861</v>
      </c>
      <c r="G352" s="148" t="str">
        <f t="shared" si="10"/>
        <v>Tyrese NOSLIN - Curaçao</v>
      </c>
      <c r="H352" t="str">
        <f t="shared" si="11"/>
        <v>CUW13</v>
      </c>
      <c r="I352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162" t="s">
        <v>2861</v>
      </c>
      <c r="G353" s="148" t="str">
        <f t="shared" si="10"/>
        <v>Kenji GORRE - Curaçao</v>
      </c>
      <c r="H353" t="str">
        <f t="shared" si="11"/>
        <v>CUW14</v>
      </c>
      <c r="I35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162" t="s">
        <v>2861</v>
      </c>
      <c r="G354" s="148" t="str">
        <f t="shared" si="10"/>
        <v>Arjany MARTHA - Curaçao</v>
      </c>
      <c r="H354" t="str">
        <f t="shared" si="11"/>
        <v>CUW15</v>
      </c>
      <c r="I354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162" t="s">
        <v>2861</v>
      </c>
      <c r="G355" s="148" t="str">
        <f t="shared" si="10"/>
        <v>Jearl MARGARITHA - Curaçao</v>
      </c>
      <c r="H355" t="str">
        <f t="shared" si="11"/>
        <v>CUW16</v>
      </c>
      <c r="I355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162" t="s">
        <v>2861</v>
      </c>
      <c r="G356" s="148" t="str">
        <f t="shared" si="10"/>
        <v>Brandley KUWAS - Curaçao</v>
      </c>
      <c r="H356" t="str">
        <f t="shared" si="11"/>
        <v>CUW17</v>
      </c>
      <c r="I356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162" t="s">
        <v>2861</v>
      </c>
      <c r="G357" s="148" t="str">
        <f t="shared" si="10"/>
        <v>Armando OBISPO - Curaçao</v>
      </c>
      <c r="H357" t="str">
        <f t="shared" si="11"/>
        <v>CUW18</v>
      </c>
      <c r="I357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162" t="s">
        <v>2861</v>
      </c>
      <c r="G358" s="148" t="str">
        <f t="shared" si="10"/>
        <v>Gervane KASTANEER - Curaçao</v>
      </c>
      <c r="H358" t="str">
        <f t="shared" si="11"/>
        <v>CUW19</v>
      </c>
      <c r="I358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162" t="s">
        <v>2861</v>
      </c>
      <c r="G359" s="148" t="str">
        <f t="shared" si="10"/>
        <v>Joshua BRENET - Curaçao</v>
      </c>
      <c r="H359" t="str">
        <f t="shared" si="11"/>
        <v>CUW20</v>
      </c>
      <c r="I359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162" t="s">
        <v>2861</v>
      </c>
      <c r="G360" s="148" t="str">
        <f t="shared" si="10"/>
        <v>Tahith CHONG - Curaçao</v>
      </c>
      <c r="H360" t="str">
        <f t="shared" si="11"/>
        <v>CUW21</v>
      </c>
      <c r="I360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162" t="s">
        <v>2861</v>
      </c>
      <c r="G361" s="148" t="str">
        <f t="shared" si="10"/>
        <v>Kevin FELIDA - Curaçao</v>
      </c>
      <c r="H361" t="str">
        <f t="shared" si="11"/>
        <v>CUW22</v>
      </c>
      <c r="I361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162" t="s">
        <v>2861</v>
      </c>
      <c r="G362" s="148" t="str">
        <f t="shared" si="10"/>
        <v>Riechedly BAZOER - Curaçao</v>
      </c>
      <c r="H362" t="str">
        <f t="shared" si="11"/>
        <v>CUW23</v>
      </c>
      <c r="I362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162" t="s">
        <v>2861</v>
      </c>
      <c r="G363" s="148" t="str">
        <f t="shared" si="10"/>
        <v>Deveron FONVILLE - Curaçao</v>
      </c>
      <c r="H363" t="str">
        <f t="shared" si="11"/>
        <v>CUW24</v>
      </c>
      <c r="I3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162" t="s">
        <v>2861</v>
      </c>
      <c r="G364" s="148" t="str">
        <f t="shared" si="10"/>
        <v>Tyrick BODAK - Curaçao</v>
      </c>
      <c r="H364" t="str">
        <f t="shared" si="11"/>
        <v>CUW25</v>
      </c>
      <c r="I364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162" t="s">
        <v>2861</v>
      </c>
      <c r="G365" s="148" t="str">
        <f t="shared" si="10"/>
        <v>Trevor DOORNBUSCH - Curaçao</v>
      </c>
      <c r="H365" t="str">
        <f t="shared" si="11"/>
        <v>CUW26</v>
      </c>
      <c r="I365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163" t="s">
        <v>2888</v>
      </c>
      <c r="G366" s="148" t="str">
        <f t="shared" si="10"/>
        <v>Matej KOVAR - Czechia</v>
      </c>
      <c r="H366" t="str">
        <f t="shared" si="11"/>
        <v>CZE1</v>
      </c>
      <c r="I366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163" t="s">
        <v>2888</v>
      </c>
      <c r="G367" s="148" t="str">
        <f t="shared" si="10"/>
        <v>David ZIMA - Czechia</v>
      </c>
      <c r="H367" t="str">
        <f t="shared" si="11"/>
        <v>CZE2</v>
      </c>
      <c r="I367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163" t="s">
        <v>2888</v>
      </c>
      <c r="G368" s="148" t="str">
        <f t="shared" si="10"/>
        <v>Tomas HOLES - Czechia</v>
      </c>
      <c r="H368" t="str">
        <f t="shared" si="11"/>
        <v>CZE3</v>
      </c>
      <c r="I368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163" t="s">
        <v>2888</v>
      </c>
      <c r="G369" s="148" t="str">
        <f t="shared" si="10"/>
        <v>Robin HRANAC - Czechia</v>
      </c>
      <c r="H369" t="str">
        <f t="shared" si="11"/>
        <v>CZE4</v>
      </c>
      <c r="I369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163" t="s">
        <v>2888</v>
      </c>
      <c r="G370" s="148" t="str">
        <f t="shared" si="10"/>
        <v>Vladimir COUFAL - Czechia</v>
      </c>
      <c r="H370" t="str">
        <f t="shared" si="11"/>
        <v>CZE5</v>
      </c>
      <c r="I370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163" t="s">
        <v>2888</v>
      </c>
      <c r="G371" s="148" t="str">
        <f t="shared" si="10"/>
        <v>Stepan CHALOUPEK - Czechia</v>
      </c>
      <c r="H371" t="str">
        <f t="shared" si="11"/>
        <v>CZE6</v>
      </c>
      <c r="I371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163" t="s">
        <v>2888</v>
      </c>
      <c r="G372" s="148" t="str">
        <f t="shared" si="10"/>
        <v>Ladislav KREJCI - Czechia</v>
      </c>
      <c r="H372" t="str">
        <f t="shared" si="11"/>
        <v>CZE7</v>
      </c>
      <c r="I372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163" t="s">
        <v>2888</v>
      </c>
      <c r="G373" s="148" t="str">
        <f t="shared" si="10"/>
        <v>Vladimir DARIDA - Czechia</v>
      </c>
      <c r="H373" t="str">
        <f t="shared" si="11"/>
        <v>CZE8</v>
      </c>
      <c r="I373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163" t="s">
        <v>2888</v>
      </c>
      <c r="G374" s="148" t="str">
        <f t="shared" si="10"/>
        <v>Adam HLOZEK - Czechia</v>
      </c>
      <c r="H374" t="str">
        <f t="shared" si="11"/>
        <v>CZE9</v>
      </c>
      <c r="I374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163" t="s">
        <v>2888</v>
      </c>
      <c r="G375" s="148" t="str">
        <f t="shared" si="10"/>
        <v>Patrik SCHICK - Czechia</v>
      </c>
      <c r="H375" t="str">
        <f t="shared" si="11"/>
        <v>CZE10</v>
      </c>
      <c r="I37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163" t="s">
        <v>2888</v>
      </c>
      <c r="G376" s="148" t="str">
        <f t="shared" si="10"/>
        <v>Jan KUCHTA - Czechia</v>
      </c>
      <c r="H376" t="str">
        <f t="shared" si="11"/>
        <v>CZE11</v>
      </c>
      <c r="I376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163" t="s">
        <v>2888</v>
      </c>
      <c r="G377" s="148" t="str">
        <f t="shared" si="10"/>
        <v>Lukas CERV - Czechia</v>
      </c>
      <c r="H377" t="str">
        <f t="shared" si="11"/>
        <v>CZE12</v>
      </c>
      <c r="I377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163" t="s">
        <v>2888</v>
      </c>
      <c r="G378" s="148" t="str">
        <f t="shared" si="10"/>
        <v>Mojmir CHYTIL - Czechia</v>
      </c>
      <c r="H378" t="str">
        <f t="shared" si="11"/>
        <v>CZE13</v>
      </c>
      <c r="I378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163" t="s">
        <v>2888</v>
      </c>
      <c r="G379" s="148" t="str">
        <f t="shared" si="10"/>
        <v>David JURASEK - Czechia</v>
      </c>
      <c r="H379" t="str">
        <f t="shared" si="11"/>
        <v>CZE14</v>
      </c>
      <c r="I379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163" t="s">
        <v>2888</v>
      </c>
      <c r="G380" s="148" t="str">
        <f t="shared" si="10"/>
        <v>Pavel SULC - Czechia</v>
      </c>
      <c r="H380" t="str">
        <f t="shared" si="11"/>
        <v>CZE15</v>
      </c>
      <c r="I380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163" t="s">
        <v>2888</v>
      </c>
      <c r="G381" s="148" t="str">
        <f t="shared" si="10"/>
        <v>Jindrich STANEK - Czechia</v>
      </c>
      <c r="H381" t="str">
        <f t="shared" si="11"/>
        <v>CZE16</v>
      </c>
      <c r="I381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163" t="s">
        <v>2888</v>
      </c>
      <c r="G382" s="148" t="str">
        <f t="shared" si="10"/>
        <v>Lukas PROVOD - Czechia</v>
      </c>
      <c r="H382" t="str">
        <f t="shared" si="11"/>
        <v>CZE17</v>
      </c>
      <c r="I382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163" t="s">
        <v>2888</v>
      </c>
      <c r="G383" s="148" t="str">
        <f t="shared" si="10"/>
        <v>Michal SADILEK - Czechia</v>
      </c>
      <c r="H383" t="str">
        <f t="shared" si="11"/>
        <v>CZE18</v>
      </c>
      <c r="I383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163" t="s">
        <v>2888</v>
      </c>
      <c r="G384" s="148" t="str">
        <f t="shared" si="10"/>
        <v>Tomas CHORY - Czechia</v>
      </c>
      <c r="H384" t="str">
        <f t="shared" si="11"/>
        <v>CZE19</v>
      </c>
      <c r="I384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163" t="s">
        <v>2888</v>
      </c>
      <c r="G385" s="148" t="str">
        <f t="shared" si="10"/>
        <v>Jaroslav ZELENY - Czechia</v>
      </c>
      <c r="H385" t="str">
        <f t="shared" si="11"/>
        <v>CZE20</v>
      </c>
      <c r="I38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163" t="s">
        <v>2888</v>
      </c>
      <c r="G386" s="148" t="str">
        <f t="shared" si="10"/>
        <v>David DOUDERA - Czechia</v>
      </c>
      <c r="H386" t="str">
        <f t="shared" si="11"/>
        <v>CZE21</v>
      </c>
      <c r="I386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163" t="s">
        <v>2888</v>
      </c>
      <c r="G387" s="148" t="str">
        <f t="shared" ref="G387:G450" si="12">_xlfn.CONCAT(C387, " ",D387, " - ",F387)</f>
        <v>Tomas SOUCEK - Czechia</v>
      </c>
      <c r="H387" t="str">
        <f t="shared" ref="H387:H450" si="13">_xlfn.CONCAT(E387,A387)</f>
        <v>CZE22</v>
      </c>
      <c r="I387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163" t="s">
        <v>2888</v>
      </c>
      <c r="G388" s="148" t="str">
        <f t="shared" si="12"/>
        <v>Lukas HORNICEK - Czechia</v>
      </c>
      <c r="H388" t="str">
        <f t="shared" si="13"/>
        <v>CZE23</v>
      </c>
      <c r="I388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163" t="s">
        <v>2888</v>
      </c>
      <c r="G389" s="148" t="str">
        <f t="shared" si="12"/>
        <v>Alexandr SOJKA - Czechia</v>
      </c>
      <c r="H389" t="str">
        <f t="shared" si="13"/>
        <v>CZE24</v>
      </c>
      <c r="I389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163" t="s">
        <v>2888</v>
      </c>
      <c r="G390" s="148" t="str">
        <f t="shared" si="12"/>
        <v>Hugo SOCHUREK - Czechia</v>
      </c>
      <c r="H390" t="str">
        <f t="shared" si="13"/>
        <v>CZE25</v>
      </c>
      <c r="I390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163" t="s">
        <v>2888</v>
      </c>
      <c r="G391" s="148" t="str">
        <f t="shared" si="12"/>
        <v>Denis VISINSKY - Czechia</v>
      </c>
      <c r="H391" t="str">
        <f t="shared" si="13"/>
        <v>CZE26</v>
      </c>
      <c r="I391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164" t="s">
        <v>2915</v>
      </c>
      <c r="G392" s="148" t="str">
        <f t="shared" si="12"/>
        <v>Hernan GALINDEZ - Ecuador</v>
      </c>
      <c r="H392" t="str">
        <f t="shared" si="13"/>
        <v>ECU1</v>
      </c>
      <c r="I392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164" t="s">
        <v>2915</v>
      </c>
      <c r="G393" s="148" t="str">
        <f t="shared" si="12"/>
        <v>Felix TORRES - Ecuador</v>
      </c>
      <c r="H393" t="str">
        <f t="shared" si="13"/>
        <v>ECU2</v>
      </c>
      <c r="I393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164" t="s">
        <v>2915</v>
      </c>
      <c r="G394" s="148" t="str">
        <f t="shared" si="12"/>
        <v>Piero HINCAPIE - Ecuador</v>
      </c>
      <c r="H394" t="str">
        <f t="shared" si="13"/>
        <v>ECU3</v>
      </c>
      <c r="I394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164" t="s">
        <v>2915</v>
      </c>
      <c r="G395" s="148" t="str">
        <f t="shared" si="12"/>
        <v>Joel ORDONEZ - Ecuador</v>
      </c>
      <c r="H395" t="str">
        <f t="shared" si="13"/>
        <v>ECU4</v>
      </c>
      <c r="I395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164" t="s">
        <v>2915</v>
      </c>
      <c r="G396" s="148" t="str">
        <f t="shared" si="12"/>
        <v>Jordy ALCIVAR - Ecuador</v>
      </c>
      <c r="H396" t="str">
        <f t="shared" si="13"/>
        <v>ECU5</v>
      </c>
      <c r="I396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164" t="s">
        <v>2915</v>
      </c>
      <c r="G397" s="148" t="str">
        <f t="shared" si="12"/>
        <v>Willian PACHO - Ecuador</v>
      </c>
      <c r="H397" t="str">
        <f t="shared" si="13"/>
        <v>ECU6</v>
      </c>
      <c r="I39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164" t="s">
        <v>2915</v>
      </c>
      <c r="G398" s="148" t="str">
        <f t="shared" si="12"/>
        <v>Pervis ESTUPINAN - Ecuador</v>
      </c>
      <c r="H398" t="str">
        <f t="shared" si="13"/>
        <v>ECU7</v>
      </c>
      <c r="I398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164" t="s">
        <v>2915</v>
      </c>
      <c r="G399" s="148" t="str">
        <f t="shared" si="12"/>
        <v>Anthony VALENCIA - Ecuador</v>
      </c>
      <c r="H399" t="str">
        <f t="shared" si="13"/>
        <v>ECU8</v>
      </c>
      <c r="I399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164" t="s">
        <v>2915</v>
      </c>
      <c r="G400" s="148" t="str">
        <f t="shared" si="12"/>
        <v>John YEBOAH - Ecuador</v>
      </c>
      <c r="H400" t="str">
        <f t="shared" si="13"/>
        <v>ECU9</v>
      </c>
      <c r="I400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164" t="s">
        <v>2915</v>
      </c>
      <c r="G401" s="148" t="str">
        <f t="shared" si="12"/>
        <v>Kendry PAEZ - Ecuador</v>
      </c>
      <c r="H401" t="str">
        <f t="shared" si="13"/>
        <v>ECU10</v>
      </c>
      <c r="I401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164" t="s">
        <v>2915</v>
      </c>
      <c r="G402" s="148" t="str">
        <f t="shared" si="12"/>
        <v>Kevin RODRIGUEZ - Ecuador</v>
      </c>
      <c r="H402" t="str">
        <f t="shared" si="13"/>
        <v>ECU11</v>
      </c>
      <c r="I402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164" t="s">
        <v>2915</v>
      </c>
      <c r="G403" s="148" t="str">
        <f t="shared" si="12"/>
        <v>Moises RAMIREZ - Ecuador</v>
      </c>
      <c r="H403" t="str">
        <f t="shared" si="13"/>
        <v>ECU12</v>
      </c>
      <c r="I403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164" t="s">
        <v>2915</v>
      </c>
      <c r="G404" s="148" t="str">
        <f t="shared" si="12"/>
        <v>Enner VALENCIA - Ecuador</v>
      </c>
      <c r="H404" t="str">
        <f t="shared" si="13"/>
        <v>ECU13</v>
      </c>
      <c r="I404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164" t="s">
        <v>2915</v>
      </c>
      <c r="G405" s="148" t="str">
        <f t="shared" si="12"/>
        <v>Alan MINDA - Ecuador</v>
      </c>
      <c r="H405" t="str">
        <f t="shared" si="13"/>
        <v>ECU14</v>
      </c>
      <c r="I405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164" t="s">
        <v>2915</v>
      </c>
      <c r="G406" s="148" t="str">
        <f t="shared" si="12"/>
        <v>Pedro VITE - Ecuador</v>
      </c>
      <c r="H406" t="str">
        <f t="shared" si="13"/>
        <v>ECU15</v>
      </c>
      <c r="I406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164" t="s">
        <v>2915</v>
      </c>
      <c r="G407" s="148" t="str">
        <f t="shared" si="12"/>
        <v>Jordy CAICEDO - Ecuador</v>
      </c>
      <c r="H407" t="str">
        <f t="shared" si="13"/>
        <v>ECU16</v>
      </c>
      <c r="I40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164" t="s">
        <v>2915</v>
      </c>
      <c r="G408" s="148" t="str">
        <f t="shared" si="12"/>
        <v>Angelo PRECIADO - Ecuador</v>
      </c>
      <c r="H408" t="str">
        <f t="shared" si="13"/>
        <v>ECU17</v>
      </c>
      <c r="I408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164" t="s">
        <v>2915</v>
      </c>
      <c r="G409" s="148" t="str">
        <f t="shared" si="12"/>
        <v>Denil CASTILLO - Ecuador</v>
      </c>
      <c r="H409" t="str">
        <f t="shared" si="13"/>
        <v>ECU18</v>
      </c>
      <c r="I409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164" t="s">
        <v>2915</v>
      </c>
      <c r="G410" s="148" t="str">
        <f t="shared" si="12"/>
        <v>Gonzalo PLATA - Ecuador</v>
      </c>
      <c r="H410" t="str">
        <f t="shared" si="13"/>
        <v>ECU19</v>
      </c>
      <c r="I410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164" t="s">
        <v>2915</v>
      </c>
      <c r="G411" s="148" t="str">
        <f t="shared" si="12"/>
        <v>Nilson ANGULO - Ecuador</v>
      </c>
      <c r="H411" t="str">
        <f t="shared" si="13"/>
        <v>ECU20</v>
      </c>
      <c r="I411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164" t="s">
        <v>2915</v>
      </c>
      <c r="G412" s="148" t="str">
        <f t="shared" si="12"/>
        <v>Alan FRANCO - Ecuador</v>
      </c>
      <c r="H412" t="str">
        <f t="shared" si="13"/>
        <v>ECU21</v>
      </c>
      <c r="I412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164" t="s">
        <v>2915</v>
      </c>
      <c r="G413" s="148" t="str">
        <f t="shared" si="12"/>
        <v>Gonzalo VALLE - Ecuador</v>
      </c>
      <c r="H413" t="str">
        <f t="shared" si="13"/>
        <v>ECU22</v>
      </c>
      <c r="I413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164" t="s">
        <v>2915</v>
      </c>
      <c r="G414" s="148" t="str">
        <f t="shared" si="12"/>
        <v>Moises CAICEDO - Ecuador</v>
      </c>
      <c r="H414" t="str">
        <f t="shared" si="13"/>
        <v>ECU23</v>
      </c>
      <c r="I414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164" t="s">
        <v>2915</v>
      </c>
      <c r="G415" s="148" t="str">
        <f t="shared" si="12"/>
        <v>Jeremy AREVALO - Ecuador</v>
      </c>
      <c r="H415" t="str">
        <f t="shared" si="13"/>
        <v>ECU24</v>
      </c>
      <c r="I415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164" t="s">
        <v>2915</v>
      </c>
      <c r="G416" s="148" t="str">
        <f t="shared" si="12"/>
        <v>Jackson POROZO - Ecuador</v>
      </c>
      <c r="H416" t="str">
        <f t="shared" si="13"/>
        <v>ECU25</v>
      </c>
      <c r="I416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164" t="s">
        <v>2915</v>
      </c>
      <c r="G417" s="148" t="str">
        <f t="shared" si="12"/>
        <v>Yaimar MEDINA - Ecuador</v>
      </c>
      <c r="H417" t="str">
        <f t="shared" si="13"/>
        <v>ECU26</v>
      </c>
      <c r="I41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165" t="s">
        <v>2942</v>
      </c>
      <c r="G418" s="148" t="str">
        <f t="shared" si="12"/>
        <v>Mohamed ELSHENAWY - Egypt</v>
      </c>
      <c r="H418" t="str">
        <f t="shared" si="13"/>
        <v>EGY1</v>
      </c>
      <c r="I418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165" t="s">
        <v>2942</v>
      </c>
      <c r="G419" s="148" t="str">
        <f t="shared" si="12"/>
        <v>Yasser IBRAHIM - Egypt</v>
      </c>
      <c r="H419" t="str">
        <f t="shared" si="13"/>
        <v>EGY2</v>
      </c>
      <c r="I41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165" t="s">
        <v>2942</v>
      </c>
      <c r="G420" s="148" t="str">
        <f t="shared" si="12"/>
        <v>Mohamed HANY - Egypt</v>
      </c>
      <c r="H420" t="str">
        <f t="shared" si="13"/>
        <v>EGY3</v>
      </c>
      <c r="I420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165" t="s">
        <v>2942</v>
      </c>
      <c r="G421" s="148" t="str">
        <f t="shared" si="12"/>
        <v>Hossam ABDELMAGUID - Egypt</v>
      </c>
      <c r="H421" t="str">
        <f t="shared" si="13"/>
        <v>EGY4</v>
      </c>
      <c r="I421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165" t="s">
        <v>2942</v>
      </c>
      <c r="G422" s="148" t="str">
        <f t="shared" si="12"/>
        <v>Ramy RABIA - Egypt</v>
      </c>
      <c r="H422" t="str">
        <f t="shared" si="13"/>
        <v>EGY5</v>
      </c>
      <c r="I422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165" t="s">
        <v>2942</v>
      </c>
      <c r="G423" s="148" t="str">
        <f t="shared" si="12"/>
        <v>Mohamed ABDELMONEIM - Egypt</v>
      </c>
      <c r="H423" t="str">
        <f t="shared" si="13"/>
        <v>EGY6</v>
      </c>
      <c r="I423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165" t="s">
        <v>2942</v>
      </c>
      <c r="G424" s="148" t="str">
        <f t="shared" si="12"/>
        <v>Mahmoud TREZEGUET - Egypt</v>
      </c>
      <c r="H424" t="str">
        <f t="shared" si="13"/>
        <v>EGY7</v>
      </c>
      <c r="I424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165" t="s">
        <v>2942</v>
      </c>
      <c r="G425" s="148" t="str">
        <f t="shared" si="12"/>
        <v>Emam ASHOUR - Egypt</v>
      </c>
      <c r="H425" t="str">
        <f t="shared" si="13"/>
        <v>EGY8</v>
      </c>
      <c r="I425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165" t="s">
        <v>2942</v>
      </c>
      <c r="G426" s="148" t="str">
        <f t="shared" si="12"/>
        <v>Hamza ABDELKARIM - Egypt</v>
      </c>
      <c r="H426" t="str">
        <f t="shared" si="13"/>
        <v>EGY9</v>
      </c>
      <c r="I426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165" t="s">
        <v>2942</v>
      </c>
      <c r="G427" s="148" t="str">
        <f t="shared" si="12"/>
        <v>Mohamed SALAH - Egypt</v>
      </c>
      <c r="H427" t="str">
        <f t="shared" si="13"/>
        <v>EGY10</v>
      </c>
      <c r="I427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165" t="s">
        <v>2942</v>
      </c>
      <c r="G428" s="148" t="str">
        <f t="shared" si="12"/>
        <v>Mostafa ZICO - Egypt</v>
      </c>
      <c r="H428" t="str">
        <f t="shared" si="13"/>
        <v>EGY11</v>
      </c>
      <c r="I428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165" t="s">
        <v>2942</v>
      </c>
      <c r="G429" s="148" t="str">
        <f t="shared" si="12"/>
        <v>Haissem HASSAN - Egypt</v>
      </c>
      <c r="H429" t="str">
        <f t="shared" si="13"/>
        <v>EGY12</v>
      </c>
      <c r="I42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165" t="s">
        <v>2942</v>
      </c>
      <c r="G430" s="148" t="str">
        <f t="shared" si="12"/>
        <v>Ahmed FATOUH - Egypt</v>
      </c>
      <c r="H430" t="str">
        <f t="shared" si="13"/>
        <v>EGY13</v>
      </c>
      <c r="I430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165" t="s">
        <v>2942</v>
      </c>
      <c r="G431" s="148" t="str">
        <f t="shared" si="12"/>
        <v>Hamdy FATHY - Egypt</v>
      </c>
      <c r="H431" t="str">
        <f t="shared" si="13"/>
        <v>EGY14</v>
      </c>
      <c r="I431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165" t="s">
        <v>2942</v>
      </c>
      <c r="G432" s="148" t="str">
        <f t="shared" si="12"/>
        <v>Karim HAFEZ - Egypt</v>
      </c>
      <c r="H432" t="str">
        <f t="shared" si="13"/>
        <v>EGY15</v>
      </c>
      <c r="I432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165" t="s">
        <v>2942</v>
      </c>
      <c r="G433" s="148" t="str">
        <f t="shared" si="12"/>
        <v>Mahdy SOLIMAN - Egypt</v>
      </c>
      <c r="H433" t="str">
        <f t="shared" si="13"/>
        <v>EGY16</v>
      </c>
      <c r="I433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165" t="s">
        <v>2942</v>
      </c>
      <c r="G434" s="148" t="str">
        <f t="shared" si="12"/>
        <v>Mohanad LASHIN - Egypt</v>
      </c>
      <c r="H434" t="str">
        <f t="shared" si="13"/>
        <v>EGY17</v>
      </c>
      <c r="I434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165" t="s">
        <v>2942</v>
      </c>
      <c r="G435" s="148" t="str">
        <f t="shared" si="12"/>
        <v>Nabil DONGA - Egypt</v>
      </c>
      <c r="H435" t="str">
        <f t="shared" si="13"/>
        <v>EGY18</v>
      </c>
      <c r="I435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165" t="s">
        <v>2942</v>
      </c>
      <c r="G436" s="148" t="str">
        <f t="shared" si="12"/>
        <v>Marawan ATTIA - Egypt</v>
      </c>
      <c r="H436" t="str">
        <f t="shared" si="13"/>
        <v>EGY19</v>
      </c>
      <c r="I436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165" t="s">
        <v>2942</v>
      </c>
      <c r="G437" s="148" t="str">
        <f t="shared" si="12"/>
        <v>Ibrahim ADEL - Egypt</v>
      </c>
      <c r="H437" t="str">
        <f t="shared" si="13"/>
        <v>EGY20</v>
      </c>
      <c r="I437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165" t="s">
        <v>2942</v>
      </c>
      <c r="G438" s="148" t="str">
        <f t="shared" si="12"/>
        <v>Mahmoud SABER - Egypt</v>
      </c>
      <c r="H438" t="str">
        <f t="shared" si="13"/>
        <v>EGY21</v>
      </c>
      <c r="I438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165" t="s">
        <v>2942</v>
      </c>
      <c r="G439" s="148" t="str">
        <f t="shared" si="12"/>
        <v>Omar MARMOUSH - Egypt</v>
      </c>
      <c r="H439" t="str">
        <f t="shared" si="13"/>
        <v>EGY22</v>
      </c>
      <c r="I43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165" t="s">
        <v>2942</v>
      </c>
      <c r="G440" s="148" t="str">
        <f t="shared" si="12"/>
        <v>Mostafa SHOUBIR - Egypt</v>
      </c>
      <c r="H440" t="str">
        <f t="shared" si="13"/>
        <v>EGY23</v>
      </c>
      <c r="I440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165" t="s">
        <v>2942</v>
      </c>
      <c r="G441" s="148" t="str">
        <f t="shared" si="12"/>
        <v>Tarek ALAA - Egypt</v>
      </c>
      <c r="H441" t="str">
        <f t="shared" si="13"/>
        <v>EGY24</v>
      </c>
      <c r="I441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165" t="s">
        <v>2942</v>
      </c>
      <c r="G442" s="148" t="str">
        <f t="shared" si="12"/>
        <v>Ahmed ZIZO - Egypt</v>
      </c>
      <c r="H442" t="str">
        <f t="shared" si="13"/>
        <v>EGY25</v>
      </c>
      <c r="I442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165" t="s">
        <v>2942</v>
      </c>
      <c r="G443" s="148" t="str">
        <f t="shared" si="12"/>
        <v>Mohamed ALAA - Egypt</v>
      </c>
      <c r="H443" t="str">
        <f t="shared" si="13"/>
        <v>EGY26</v>
      </c>
      <c r="I443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166" t="s">
        <v>2969</v>
      </c>
      <c r="G444" s="148" t="str">
        <f t="shared" si="12"/>
        <v>Jordan PICKFORD - England</v>
      </c>
      <c r="H444" t="str">
        <f t="shared" si="13"/>
        <v>ENG1</v>
      </c>
      <c r="I444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166" t="s">
        <v>2969</v>
      </c>
      <c r="G445" s="148" t="str">
        <f t="shared" si="12"/>
        <v>Ezri KONSA - England</v>
      </c>
      <c r="H445" t="str">
        <f t="shared" si="13"/>
        <v>ENG2</v>
      </c>
      <c r="I445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166" t="s">
        <v>2969</v>
      </c>
      <c r="G446" s="148" t="str">
        <f t="shared" si="12"/>
        <v>Nico OREILLY - England</v>
      </c>
      <c r="H446" t="str">
        <f t="shared" si="13"/>
        <v>ENG3</v>
      </c>
      <c r="I446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166" t="s">
        <v>2969</v>
      </c>
      <c r="G447" s="148" t="str">
        <f t="shared" si="12"/>
        <v>Declan RICE - England</v>
      </c>
      <c r="H447" t="str">
        <f t="shared" si="13"/>
        <v>ENG4</v>
      </c>
      <c r="I447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166" t="s">
        <v>2969</v>
      </c>
      <c r="G448" s="148" t="str">
        <f t="shared" si="12"/>
        <v>John STONES - England</v>
      </c>
      <c r="H448" t="str">
        <f t="shared" si="13"/>
        <v>ENG5</v>
      </c>
      <c r="I448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166" t="s">
        <v>2969</v>
      </c>
      <c r="G449" s="148" t="str">
        <f t="shared" si="12"/>
        <v>Marc GUEHI - England</v>
      </c>
      <c r="H449" t="str">
        <f t="shared" si="13"/>
        <v>ENG6</v>
      </c>
      <c r="I449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166" t="s">
        <v>2969</v>
      </c>
      <c r="G450" s="148" t="str">
        <f t="shared" si="12"/>
        <v>Bukayo SAKA - England</v>
      </c>
      <c r="H450" t="str">
        <f t="shared" si="13"/>
        <v>ENG7</v>
      </c>
      <c r="I450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166" t="s">
        <v>2969</v>
      </c>
      <c r="G451" s="148" t="str">
        <f t="shared" ref="G451:G514" si="14">_xlfn.CONCAT(C451, " ",D451, " - ",F451)</f>
        <v>Elliot ANDERSON - England</v>
      </c>
      <c r="H451" t="str">
        <f t="shared" ref="H451:H514" si="15">_xlfn.CONCAT(E451,A451)</f>
        <v>ENG8</v>
      </c>
      <c r="I45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166" t="s">
        <v>2969</v>
      </c>
      <c r="G452" s="148" t="str">
        <f t="shared" si="14"/>
        <v>Harry KANE - England</v>
      </c>
      <c r="H452" t="str">
        <f t="shared" si="15"/>
        <v>ENG9</v>
      </c>
      <c r="I452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166" t="s">
        <v>2969</v>
      </c>
      <c r="G453" s="148" t="str">
        <f t="shared" si="14"/>
        <v>Jude BELLINGHAM - England</v>
      </c>
      <c r="H453" t="str">
        <f t="shared" si="15"/>
        <v>ENG10</v>
      </c>
      <c r="I453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166" t="s">
        <v>2969</v>
      </c>
      <c r="G454" s="148" t="str">
        <f t="shared" si="14"/>
        <v>Marcus RASHFORD - England</v>
      </c>
      <c r="H454" t="str">
        <f t="shared" si="15"/>
        <v>ENG11</v>
      </c>
      <c r="I454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166" t="s">
        <v>2969</v>
      </c>
      <c r="G455" s="148" t="str">
        <f t="shared" si="14"/>
        <v>Trevoh CHALOBAH - England</v>
      </c>
      <c r="H455" t="str">
        <f t="shared" si="15"/>
        <v>ENG12</v>
      </c>
      <c r="I455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166" t="s">
        <v>2969</v>
      </c>
      <c r="G456" s="148" t="str">
        <f t="shared" si="14"/>
        <v>Dean HENDERSON - England</v>
      </c>
      <c r="H456" t="str">
        <f t="shared" si="15"/>
        <v>ENG13</v>
      </c>
      <c r="I456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166" t="s">
        <v>2969</v>
      </c>
      <c r="G457" s="148" t="str">
        <f t="shared" si="14"/>
        <v>Jordan HENDERSON - England</v>
      </c>
      <c r="H457" t="str">
        <f t="shared" si="15"/>
        <v>ENG14</v>
      </c>
      <c r="I457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166" t="s">
        <v>2969</v>
      </c>
      <c r="G458" s="148" t="str">
        <f t="shared" si="14"/>
        <v>Dan BURN - England</v>
      </c>
      <c r="H458" t="str">
        <f t="shared" si="15"/>
        <v>ENG15</v>
      </c>
      <c r="I458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166" t="s">
        <v>2969</v>
      </c>
      <c r="G459" s="148" t="str">
        <f t="shared" si="14"/>
        <v>Kobbie MAINOO - England</v>
      </c>
      <c r="H459" t="str">
        <f t="shared" si="15"/>
        <v>ENG16</v>
      </c>
      <c r="I459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166" t="s">
        <v>2969</v>
      </c>
      <c r="G460" s="148" t="str">
        <f t="shared" si="14"/>
        <v>Morgan ROGERS - England</v>
      </c>
      <c r="H460" t="str">
        <f t="shared" si="15"/>
        <v>ENG17</v>
      </c>
      <c r="I460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166" t="s">
        <v>2969</v>
      </c>
      <c r="G461" s="148" t="str">
        <f t="shared" si="14"/>
        <v>Anthony GORDON - England</v>
      </c>
      <c r="H461" t="str">
        <f t="shared" si="15"/>
        <v>ENG18</v>
      </c>
      <c r="I46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166" t="s">
        <v>2969</v>
      </c>
      <c r="G462" s="148" t="str">
        <f t="shared" si="14"/>
        <v>Ollie WATKINS - England</v>
      </c>
      <c r="H462" t="str">
        <f t="shared" si="15"/>
        <v>ENG19</v>
      </c>
      <c r="I462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166" t="s">
        <v>2969</v>
      </c>
      <c r="G463" s="148" t="str">
        <f t="shared" si="14"/>
        <v>Noni MADUEKE - England</v>
      </c>
      <c r="H463" t="str">
        <f t="shared" si="15"/>
        <v>ENG20</v>
      </c>
      <c r="I463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166" t="s">
        <v>2969</v>
      </c>
      <c r="G464" s="148" t="str">
        <f t="shared" si="14"/>
        <v>Eberechi EZE - England</v>
      </c>
      <c r="H464" t="str">
        <f t="shared" si="15"/>
        <v>ENG21</v>
      </c>
      <c r="I464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166" t="s">
        <v>2969</v>
      </c>
      <c r="G465" s="148" t="str">
        <f t="shared" si="14"/>
        <v>Ivan TONEY - England</v>
      </c>
      <c r="H465" t="str">
        <f t="shared" si="15"/>
        <v>ENG22</v>
      </c>
      <c r="I465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166" t="s">
        <v>2969</v>
      </c>
      <c r="G466" s="148" t="str">
        <f t="shared" si="14"/>
        <v>James TRAFFORD - England</v>
      </c>
      <c r="H466" t="str">
        <f t="shared" si="15"/>
        <v>ENG23</v>
      </c>
      <c r="I466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166" t="s">
        <v>2969</v>
      </c>
      <c r="G467" s="148" t="str">
        <f t="shared" si="14"/>
        <v>Reece JAMES - England</v>
      </c>
      <c r="H467" t="str">
        <f t="shared" si="15"/>
        <v>ENG24</v>
      </c>
      <c r="I467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166" t="s">
        <v>2969</v>
      </c>
      <c r="G468" s="148" t="str">
        <f t="shared" si="14"/>
        <v>Djed SPENCE - England</v>
      </c>
      <c r="H468" t="str">
        <f t="shared" si="15"/>
        <v>ENG25</v>
      </c>
      <c r="I468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166" t="s">
        <v>2969</v>
      </c>
      <c r="G469" s="148" t="str">
        <f t="shared" si="14"/>
        <v>Jarell QUANSAH - England</v>
      </c>
      <c r="H469" t="str">
        <f t="shared" si="15"/>
        <v>ENG26</v>
      </c>
      <c r="I469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167" t="s">
        <v>2995</v>
      </c>
      <c r="G470" s="148" t="str">
        <f t="shared" si="14"/>
        <v>Brice SAMBA - France</v>
      </c>
      <c r="H470" t="str">
        <f t="shared" si="15"/>
        <v>FRA1</v>
      </c>
      <c r="I470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167" t="s">
        <v>2995</v>
      </c>
      <c r="G471" s="148" t="str">
        <f t="shared" si="14"/>
        <v>Malo GUSTO - France</v>
      </c>
      <c r="H471" t="str">
        <f t="shared" si="15"/>
        <v>FRA2</v>
      </c>
      <c r="I471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167" t="s">
        <v>2995</v>
      </c>
      <c r="G472" s="148" t="str">
        <f t="shared" si="14"/>
        <v>Lucas DIGNE - France</v>
      </c>
      <c r="H472" t="str">
        <f t="shared" si="15"/>
        <v>FRA3</v>
      </c>
      <c r="I472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167" t="s">
        <v>2995</v>
      </c>
      <c r="G473" s="148" t="str">
        <f t="shared" si="14"/>
        <v>Dayot UPAMECANO - France</v>
      </c>
      <c r="H473" t="str">
        <f t="shared" si="15"/>
        <v>FRA4</v>
      </c>
      <c r="I4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167" t="s">
        <v>2995</v>
      </c>
      <c r="G474" s="148" t="str">
        <f t="shared" si="14"/>
        <v>Jules KOUNDE - France</v>
      </c>
      <c r="H474" t="str">
        <f t="shared" si="15"/>
        <v>FRA5</v>
      </c>
      <c r="I474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167" t="s">
        <v>2995</v>
      </c>
      <c r="G475" s="148" t="str">
        <f t="shared" si="14"/>
        <v>Manu KONE - France</v>
      </c>
      <c r="H475" t="str">
        <f t="shared" si="15"/>
        <v>FRA6</v>
      </c>
      <c r="I475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167" t="s">
        <v>2995</v>
      </c>
      <c r="G476" s="148" t="str">
        <f t="shared" si="14"/>
        <v>Ousmane DEMBELE - France</v>
      </c>
      <c r="H476" t="str">
        <f t="shared" si="15"/>
        <v>FRA7</v>
      </c>
      <c r="I476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167" t="s">
        <v>2995</v>
      </c>
      <c r="G477" s="148" t="str">
        <f t="shared" si="14"/>
        <v>Aurelien TCHOUAMENI - France</v>
      </c>
      <c r="H477" t="str">
        <f t="shared" si="15"/>
        <v>FRA8</v>
      </c>
      <c r="I477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167" t="s">
        <v>2995</v>
      </c>
      <c r="G478" s="148" t="str">
        <f t="shared" si="14"/>
        <v>Marcus THURAM - France</v>
      </c>
      <c r="H478" t="str">
        <f t="shared" si="15"/>
        <v>FRA9</v>
      </c>
      <c r="I478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167" t="s">
        <v>2995</v>
      </c>
      <c r="G479" s="148" t="str">
        <f t="shared" si="14"/>
        <v>Kylian MBAPPE - France</v>
      </c>
      <c r="H479" t="str">
        <f t="shared" si="15"/>
        <v>FRA10</v>
      </c>
      <c r="I479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167" t="s">
        <v>2995</v>
      </c>
      <c r="G480" s="148" t="str">
        <f t="shared" si="14"/>
        <v>Michael OLISE - France</v>
      </c>
      <c r="H480" t="str">
        <f t="shared" si="15"/>
        <v>FRA11</v>
      </c>
      <c r="I480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167" t="s">
        <v>2995</v>
      </c>
      <c r="G481" s="148" t="str">
        <f t="shared" si="14"/>
        <v>Bradley BARCOLA - France</v>
      </c>
      <c r="H481" t="str">
        <f t="shared" si="15"/>
        <v>FRA12</v>
      </c>
      <c r="I481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167" t="s">
        <v>2995</v>
      </c>
      <c r="G482" s="148" t="str">
        <f t="shared" si="14"/>
        <v>Ngolo KANTE - France</v>
      </c>
      <c r="H482" t="str">
        <f t="shared" si="15"/>
        <v>FRA13</v>
      </c>
      <c r="I482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167" t="s">
        <v>2995</v>
      </c>
      <c r="G483" s="148" t="str">
        <f t="shared" si="14"/>
        <v>Adrien RABIOT - France</v>
      </c>
      <c r="H483" t="str">
        <f t="shared" si="15"/>
        <v>FRA14</v>
      </c>
      <c r="I48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167" t="s">
        <v>2995</v>
      </c>
      <c r="G484" s="148" t="str">
        <f t="shared" si="14"/>
        <v>Ibrahima KONATE - France</v>
      </c>
      <c r="H484" t="str">
        <f t="shared" si="15"/>
        <v>FRA15</v>
      </c>
      <c r="I484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167" t="s">
        <v>2995</v>
      </c>
      <c r="G485" s="148" t="str">
        <f t="shared" si="14"/>
        <v>Mike MAIGNAN - France</v>
      </c>
      <c r="H485" t="str">
        <f t="shared" si="15"/>
        <v>FRA16</v>
      </c>
      <c r="I485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167" t="s">
        <v>2995</v>
      </c>
      <c r="G486" s="148" t="str">
        <f t="shared" si="14"/>
        <v>William SALIBA - France</v>
      </c>
      <c r="H486" t="str">
        <f t="shared" si="15"/>
        <v>FRA17</v>
      </c>
      <c r="I486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167" t="s">
        <v>2995</v>
      </c>
      <c r="G487" s="148" t="str">
        <f t="shared" si="14"/>
        <v>Warren ZAIRE-EMERY - France</v>
      </c>
      <c r="H487" t="str">
        <f t="shared" si="15"/>
        <v>FRA18</v>
      </c>
      <c r="I487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167" t="s">
        <v>2995</v>
      </c>
      <c r="G488" s="148" t="str">
        <f t="shared" si="14"/>
        <v>Theo HERNANDEZ - France</v>
      </c>
      <c r="H488" t="str">
        <f t="shared" si="15"/>
        <v>FRA19</v>
      </c>
      <c r="I488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167" t="s">
        <v>2995</v>
      </c>
      <c r="G489" s="148" t="str">
        <f t="shared" si="14"/>
        <v>Desire DOUE - France</v>
      </c>
      <c r="H489" t="str">
        <f t="shared" si="15"/>
        <v>FRA20</v>
      </c>
      <c r="I489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167" t="s">
        <v>2995</v>
      </c>
      <c r="G490" s="148" t="str">
        <f t="shared" si="14"/>
        <v>Lucas HERNANDEZ - France</v>
      </c>
      <c r="H490" t="str">
        <f t="shared" si="15"/>
        <v>FRA21</v>
      </c>
      <c r="I490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167" t="s">
        <v>2995</v>
      </c>
      <c r="G491" s="148" t="str">
        <f t="shared" si="14"/>
        <v>Jean-Philippe MATETA - France</v>
      </c>
      <c r="H491" t="str">
        <f t="shared" si="15"/>
        <v>FRA22</v>
      </c>
      <c r="I491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167" t="s">
        <v>2995</v>
      </c>
      <c r="G492" s="148" t="str">
        <f t="shared" si="14"/>
        <v>Robin RISSER - France</v>
      </c>
      <c r="H492" t="str">
        <f t="shared" si="15"/>
        <v>FRA23</v>
      </c>
      <c r="I492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167" t="s">
        <v>2995</v>
      </c>
      <c r="G493" s="148" t="str">
        <f t="shared" si="14"/>
        <v>Rayan CHERKI - France</v>
      </c>
      <c r="H493" t="str">
        <f t="shared" si="15"/>
        <v>FRA24</v>
      </c>
      <c r="I49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167" t="s">
        <v>2995</v>
      </c>
      <c r="G494" s="148" t="str">
        <f t="shared" si="14"/>
        <v>Maghnes AKLIOUCHE - France</v>
      </c>
      <c r="H494" t="str">
        <f t="shared" si="15"/>
        <v>FRA25</v>
      </c>
      <c r="I494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167" t="s">
        <v>2995</v>
      </c>
      <c r="G495" s="148" t="str">
        <f t="shared" si="14"/>
        <v>Maxence LACROIX - France</v>
      </c>
      <c r="H495" t="str">
        <f t="shared" si="15"/>
        <v>FRA26</v>
      </c>
      <c r="I495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168" t="s">
        <v>3022</v>
      </c>
      <c r="G496" s="148" t="str">
        <f t="shared" si="14"/>
        <v>Manuel NEUER - Germany</v>
      </c>
      <c r="H496" t="str">
        <f t="shared" si="15"/>
        <v>DEU1</v>
      </c>
      <c r="I496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168" t="s">
        <v>3022</v>
      </c>
      <c r="G497" s="148" t="str">
        <f t="shared" si="14"/>
        <v>Antonio RUEDIGER - Germany</v>
      </c>
      <c r="H497" t="str">
        <f t="shared" si="15"/>
        <v>DEU2</v>
      </c>
      <c r="I497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168" t="s">
        <v>3022</v>
      </c>
      <c r="G498" s="148" t="str">
        <f t="shared" si="14"/>
        <v>Waldemar ANTON - Germany</v>
      </c>
      <c r="H498" t="str">
        <f t="shared" si="15"/>
        <v>DEU3</v>
      </c>
      <c r="I498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168" t="s">
        <v>3022</v>
      </c>
      <c r="G499" s="148" t="str">
        <f t="shared" si="14"/>
        <v>Jonathan TAH - Germany</v>
      </c>
      <c r="H499" t="str">
        <f t="shared" si="15"/>
        <v>DEU4</v>
      </c>
      <c r="I499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168" t="s">
        <v>3022</v>
      </c>
      <c r="G500" s="148" t="str">
        <f t="shared" si="14"/>
        <v>Aleksandar PAVLOVIC - Germany</v>
      </c>
      <c r="H500" t="str">
        <f t="shared" si="15"/>
        <v>DEU5</v>
      </c>
      <c r="I500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168" t="s">
        <v>3022</v>
      </c>
      <c r="G501" s="148" t="str">
        <f t="shared" si="14"/>
        <v>Joshua KIMMICH - Germany</v>
      </c>
      <c r="H501" t="str">
        <f t="shared" si="15"/>
        <v>DEU6</v>
      </c>
      <c r="I501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168" t="s">
        <v>3022</v>
      </c>
      <c r="G502" s="148" t="str">
        <f t="shared" si="14"/>
        <v>Kai HAVERTZ - Germany</v>
      </c>
      <c r="H502" t="str">
        <f t="shared" si="15"/>
        <v>DEU7</v>
      </c>
      <c r="I502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168" t="s">
        <v>3022</v>
      </c>
      <c r="G503" s="148" t="str">
        <f t="shared" si="14"/>
        <v>Leon GORETZKA - Germany</v>
      </c>
      <c r="H503" t="str">
        <f t="shared" si="15"/>
        <v>DEU8</v>
      </c>
      <c r="I503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168" t="s">
        <v>3022</v>
      </c>
      <c r="G504" s="148" t="str">
        <f t="shared" si="14"/>
        <v>Jamie LEWELING - Germany</v>
      </c>
      <c r="H504" t="str">
        <f t="shared" si="15"/>
        <v>DEU9</v>
      </c>
      <c r="I504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168" t="s">
        <v>3022</v>
      </c>
      <c r="G505" s="148" t="str">
        <f t="shared" si="14"/>
        <v>Jamal MUSIALA - Germany</v>
      </c>
      <c r="H505" t="str">
        <f t="shared" si="15"/>
        <v>DEU10</v>
      </c>
      <c r="I50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168" t="s">
        <v>3022</v>
      </c>
      <c r="G506" s="148" t="str">
        <f t="shared" si="14"/>
        <v>Nick WOLTEMADE - Germany</v>
      </c>
      <c r="H506" t="str">
        <f t="shared" si="15"/>
        <v>DEU11</v>
      </c>
      <c r="I506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168" t="s">
        <v>3022</v>
      </c>
      <c r="G507" s="148" t="str">
        <f t="shared" si="14"/>
        <v>Oliver BAUMANN - Germany</v>
      </c>
      <c r="H507" t="str">
        <f t="shared" si="15"/>
        <v>DEU12</v>
      </c>
      <c r="I507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168" t="s">
        <v>3022</v>
      </c>
      <c r="G508" s="148" t="str">
        <f t="shared" si="14"/>
        <v>Pascal GROSS - Germany</v>
      </c>
      <c r="H508" t="str">
        <f t="shared" si="15"/>
        <v>DEU13</v>
      </c>
      <c r="I508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168" t="s">
        <v>3022</v>
      </c>
      <c r="G509" s="148" t="str">
        <f t="shared" si="14"/>
        <v>Maximilian BEIER - Germany</v>
      </c>
      <c r="H509" t="str">
        <f t="shared" si="15"/>
        <v>DEU14</v>
      </c>
      <c r="I509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168" t="s">
        <v>3022</v>
      </c>
      <c r="G510" s="148" t="str">
        <f t="shared" si="14"/>
        <v>Nico SCHLOTTERBECK - Germany</v>
      </c>
      <c r="H510" t="str">
        <f t="shared" si="15"/>
        <v>DEU15</v>
      </c>
      <c r="I510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168" t="s">
        <v>3022</v>
      </c>
      <c r="G511" s="148" t="str">
        <f t="shared" si="14"/>
        <v>Angelo STILLER - Germany</v>
      </c>
      <c r="H511" t="str">
        <f t="shared" si="15"/>
        <v>DEU16</v>
      </c>
      <c r="I511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168" t="s">
        <v>3022</v>
      </c>
      <c r="G512" s="148" t="str">
        <f t="shared" si="14"/>
        <v>Florian WIRTZ - Germany</v>
      </c>
      <c r="H512" t="str">
        <f t="shared" si="15"/>
        <v>DEU17</v>
      </c>
      <c r="I512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168" t="s">
        <v>3022</v>
      </c>
      <c r="G513" s="148" t="str">
        <f t="shared" si="14"/>
        <v>Nathaniel BROWN - Germany</v>
      </c>
      <c r="H513" t="str">
        <f t="shared" si="15"/>
        <v>DEU18</v>
      </c>
      <c r="I513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168" t="s">
        <v>3022</v>
      </c>
      <c r="G514" s="148" t="str">
        <f t="shared" si="14"/>
        <v>Leroy SANE - Germany</v>
      </c>
      <c r="H514" t="str">
        <f t="shared" si="15"/>
        <v>DEU19</v>
      </c>
      <c r="I514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168" t="s">
        <v>3022</v>
      </c>
      <c r="G515" s="148" t="str">
        <f t="shared" ref="G515:G578" si="16">_xlfn.CONCAT(C515, " ",D515, " - ",F515)</f>
        <v>Nadiem AMIRI - Germany</v>
      </c>
      <c r="H515" t="str">
        <f t="shared" ref="H515:H578" si="17">_xlfn.CONCAT(E515,A515)</f>
        <v>DEU20</v>
      </c>
      <c r="I51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168" t="s">
        <v>3022</v>
      </c>
      <c r="G516" s="148" t="str">
        <f t="shared" si="16"/>
        <v>Alexander NUEBEL - Germany</v>
      </c>
      <c r="H516" t="str">
        <f t="shared" si="17"/>
        <v>DEU21</v>
      </c>
      <c r="I516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168" t="s">
        <v>3022</v>
      </c>
      <c r="G517" s="148" t="str">
        <f t="shared" si="16"/>
        <v>David RAUM - Germany</v>
      </c>
      <c r="H517" t="str">
        <f t="shared" si="17"/>
        <v>DEU22</v>
      </c>
      <c r="I517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168" t="s">
        <v>3022</v>
      </c>
      <c r="G518" s="148" t="str">
        <f t="shared" si="16"/>
        <v>Felix NMECHA - Germany</v>
      </c>
      <c r="H518" t="str">
        <f t="shared" si="17"/>
        <v>DEU23</v>
      </c>
      <c r="I518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168" t="s">
        <v>3022</v>
      </c>
      <c r="G519" s="148" t="str">
        <f t="shared" si="16"/>
        <v>Malick THIAW - Germany</v>
      </c>
      <c r="H519" t="str">
        <f t="shared" si="17"/>
        <v>DEU24</v>
      </c>
      <c r="I519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150" t="s">
        <v>3022</v>
      </c>
      <c r="G520" s="148" t="str">
        <f t="shared" si="16"/>
        <v>Assan OUEDRAOGO - Germany</v>
      </c>
      <c r="H520" t="str">
        <f t="shared" si="17"/>
        <v>DEU25</v>
      </c>
      <c r="I520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168" t="s">
        <v>3022</v>
      </c>
      <c r="G521" s="148" t="str">
        <f t="shared" si="16"/>
        <v>Deniz UNDAV - Germany</v>
      </c>
      <c r="H521" t="str">
        <f t="shared" si="17"/>
        <v>DEU26</v>
      </c>
      <c r="I521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169" t="s">
        <v>3049</v>
      </c>
      <c r="G522" s="148" t="str">
        <f t="shared" si="16"/>
        <v>Lawrence Ati ZIGI - Ghana</v>
      </c>
      <c r="H522" t="str">
        <f t="shared" si="17"/>
        <v>GHA1</v>
      </c>
      <c r="I522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169" t="s">
        <v>3049</v>
      </c>
      <c r="G523" s="148" t="str">
        <f t="shared" si="16"/>
        <v>Alidu SEIDU - Ghana</v>
      </c>
      <c r="H523" t="str">
        <f t="shared" si="17"/>
        <v>GHA2</v>
      </c>
      <c r="I523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169" t="s">
        <v>3049</v>
      </c>
      <c r="G524" s="148" t="str">
        <f t="shared" si="16"/>
        <v>Caleb YIRENKYI - Ghana</v>
      </c>
      <c r="H524" t="str">
        <f t="shared" si="17"/>
        <v>GHA3</v>
      </c>
      <c r="I524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169" t="s">
        <v>3049</v>
      </c>
      <c r="G525" s="148" t="str">
        <f t="shared" si="16"/>
        <v>Jonas ADJETEY - Ghana</v>
      </c>
      <c r="H525" t="str">
        <f t="shared" si="17"/>
        <v>GHA4</v>
      </c>
      <c r="I525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169" t="s">
        <v>3049</v>
      </c>
      <c r="G526" s="148" t="str">
        <f t="shared" si="16"/>
        <v>Thomas PARTEY - Ghana</v>
      </c>
      <c r="H526" t="str">
        <f t="shared" si="17"/>
        <v>GHA5</v>
      </c>
      <c r="I526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169" t="s">
        <v>3049</v>
      </c>
      <c r="G527" s="148" t="str">
        <f t="shared" si="16"/>
        <v>Abdul MUMIN - Ghana</v>
      </c>
      <c r="H527" t="str">
        <f t="shared" si="17"/>
        <v>GHA6</v>
      </c>
      <c r="I52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169" t="s">
        <v>3049</v>
      </c>
      <c r="G528" s="148" t="str">
        <f t="shared" si="16"/>
        <v>Fatawu ISSAHAKU - Ghana</v>
      </c>
      <c r="H528" t="str">
        <f t="shared" si="17"/>
        <v>GHA7</v>
      </c>
      <c r="I528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169" t="s">
        <v>3049</v>
      </c>
      <c r="G529" s="148" t="str">
        <f t="shared" si="16"/>
        <v>Kwasi SIBO - Ghana</v>
      </c>
      <c r="H529" t="str">
        <f t="shared" si="17"/>
        <v>GHA8</v>
      </c>
      <c r="I529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169" t="s">
        <v>3049</v>
      </c>
      <c r="G530" s="148" t="str">
        <f t="shared" si="16"/>
        <v>Jordan AYEW - Ghana</v>
      </c>
      <c r="H530" t="str">
        <f t="shared" si="17"/>
        <v>GHA9</v>
      </c>
      <c r="I530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169" t="s">
        <v>3049</v>
      </c>
      <c r="G531" s="148" t="str">
        <f t="shared" si="16"/>
        <v>Brandon THOMAS-ASANTE - Ghana</v>
      </c>
      <c r="H531" t="str">
        <f t="shared" si="17"/>
        <v>GHA10</v>
      </c>
      <c r="I531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169" t="s">
        <v>3049</v>
      </c>
      <c r="G532" s="148" t="str">
        <f t="shared" si="16"/>
        <v>Antoine SEMENYO - Ghana</v>
      </c>
      <c r="H532" t="str">
        <f t="shared" si="17"/>
        <v>GHA11</v>
      </c>
      <c r="I532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169" t="s">
        <v>3049</v>
      </c>
      <c r="G533" s="148" t="str">
        <f t="shared" si="16"/>
        <v>Joseph ANANG - Ghana</v>
      </c>
      <c r="H533" t="str">
        <f t="shared" si="17"/>
        <v>GHA12</v>
      </c>
      <c r="I533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169" t="s">
        <v>3049</v>
      </c>
      <c r="G534" s="148" t="str">
        <f t="shared" si="16"/>
        <v>Christopher Bonsu BAAH - Ghana</v>
      </c>
      <c r="H534" t="str">
        <f t="shared" si="17"/>
        <v>GHA13</v>
      </c>
      <c r="I534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169" t="s">
        <v>3049</v>
      </c>
      <c r="G535" s="148" t="str">
        <f t="shared" si="16"/>
        <v>Gideon MENSAH - Ghana</v>
      </c>
      <c r="H535" t="str">
        <f t="shared" si="17"/>
        <v>GHA14</v>
      </c>
      <c r="I535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169" t="s">
        <v>3049</v>
      </c>
      <c r="G536" s="148" t="str">
        <f t="shared" si="16"/>
        <v>Elisha OWUSU - Ghana</v>
      </c>
      <c r="H536" t="str">
        <f t="shared" si="17"/>
        <v>GHA15</v>
      </c>
      <c r="I536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169" t="s">
        <v>3049</v>
      </c>
      <c r="G537" s="148" t="str">
        <f t="shared" si="16"/>
        <v>Benjamin ASARE - Ghana</v>
      </c>
      <c r="H537" t="str">
        <f t="shared" si="17"/>
        <v>GHA16</v>
      </c>
      <c r="I53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169" t="s">
        <v>3049</v>
      </c>
      <c r="G538" s="148" t="str">
        <f t="shared" si="16"/>
        <v>Baba RAHMAN - Ghana</v>
      </c>
      <c r="H538" t="str">
        <f t="shared" si="17"/>
        <v>GHA17</v>
      </c>
      <c r="I538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169" t="s">
        <v>3049</v>
      </c>
      <c r="G539" s="148" t="str">
        <f t="shared" si="16"/>
        <v>Jerome OPOKU - Ghana</v>
      </c>
      <c r="H539" t="str">
        <f t="shared" si="17"/>
        <v>GHA18</v>
      </c>
      <c r="I539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169" t="s">
        <v>3049</v>
      </c>
      <c r="G540" s="148" t="str">
        <f t="shared" si="16"/>
        <v>Inaki WILLIAMS - Ghana</v>
      </c>
      <c r="H540" t="str">
        <f t="shared" si="17"/>
        <v>GHA19</v>
      </c>
      <c r="I540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169" t="s">
        <v>3049</v>
      </c>
      <c r="G541" s="148" t="str">
        <f t="shared" si="16"/>
        <v>Augustine BOAKYE - Ghana</v>
      </c>
      <c r="H541" t="str">
        <f t="shared" si="17"/>
        <v>GHA20</v>
      </c>
      <c r="I541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169" t="s">
        <v>3049</v>
      </c>
      <c r="G542" s="148" t="str">
        <f t="shared" si="16"/>
        <v>Kojo Peprah OPPONG - Ghana</v>
      </c>
      <c r="H542" t="str">
        <f t="shared" si="17"/>
        <v>GHA21</v>
      </c>
      <c r="I542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169" t="s">
        <v>3049</v>
      </c>
      <c r="G543" s="148" t="str">
        <f t="shared" si="16"/>
        <v>Kamaldeen SULEMANA - Ghana</v>
      </c>
      <c r="H543" t="str">
        <f t="shared" si="17"/>
        <v>GHA22</v>
      </c>
      <c r="I543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169" t="s">
        <v>3049</v>
      </c>
      <c r="G544" s="148" t="str">
        <f t="shared" si="16"/>
        <v>Derrick LUCKASSEN - Ghana</v>
      </c>
      <c r="H544" t="str">
        <f t="shared" si="17"/>
        <v>GHA23</v>
      </c>
      <c r="I544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169" t="s">
        <v>3049</v>
      </c>
      <c r="G545" s="148" t="str">
        <f t="shared" si="16"/>
        <v>Ernest NUAMAH - Ghana</v>
      </c>
      <c r="H545" t="str">
        <f t="shared" si="17"/>
        <v>GHA24</v>
      </c>
      <c r="I545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169" t="s">
        <v>3049</v>
      </c>
      <c r="G546" s="148" t="str">
        <f t="shared" si="16"/>
        <v>Prince ADU - Ghana</v>
      </c>
      <c r="H546" t="str">
        <f t="shared" si="17"/>
        <v>GHA25</v>
      </c>
      <c r="I546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169" t="s">
        <v>3049</v>
      </c>
      <c r="G547" s="148" t="str">
        <f t="shared" si="16"/>
        <v>Marvin SENAYA - Ghana</v>
      </c>
      <c r="H547" t="str">
        <f t="shared" si="17"/>
        <v>GHA26</v>
      </c>
      <c r="I54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170" t="s">
        <v>3076</v>
      </c>
      <c r="G548" s="148" t="str">
        <f t="shared" si="16"/>
        <v>Johny PLACIDE - Haiti</v>
      </c>
      <c r="H548" t="str">
        <f t="shared" si="17"/>
        <v>HTI1</v>
      </c>
      <c r="I548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170" t="s">
        <v>3076</v>
      </c>
      <c r="G549" s="148" t="str">
        <f t="shared" si="16"/>
        <v>Carlens ARCUS - Haiti</v>
      </c>
      <c r="H549" t="str">
        <f t="shared" si="17"/>
        <v>HTI2</v>
      </c>
      <c r="I54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170" t="s">
        <v>3076</v>
      </c>
      <c r="G550" s="148" t="str">
        <f t="shared" si="16"/>
        <v>Keeto THERMONCY - Haiti</v>
      </c>
      <c r="H550" t="str">
        <f t="shared" si="17"/>
        <v>HTI3</v>
      </c>
      <c r="I550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170" t="s">
        <v>3076</v>
      </c>
      <c r="G551" s="148" t="str">
        <f t="shared" si="16"/>
        <v>Ricardo ADE - Haiti</v>
      </c>
      <c r="H551" t="str">
        <f t="shared" si="17"/>
        <v>HTI4</v>
      </c>
      <c r="I551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170" t="s">
        <v>3076</v>
      </c>
      <c r="G552" s="148" t="str">
        <f t="shared" si="16"/>
        <v>Hannes DELCROIX - Haiti</v>
      </c>
      <c r="H552" t="str">
        <f t="shared" si="17"/>
        <v>HTI5</v>
      </c>
      <c r="I552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170" t="s">
        <v>3076</v>
      </c>
      <c r="G553" s="148" t="str">
        <f t="shared" si="16"/>
        <v>Carl SAINTE - Haiti</v>
      </c>
      <c r="H553" t="str">
        <f t="shared" si="17"/>
        <v>HTI6</v>
      </c>
      <c r="I553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170" t="s">
        <v>3076</v>
      </c>
      <c r="G554" s="148" t="str">
        <f t="shared" si="16"/>
        <v>Derrick ETIENNE - Haiti</v>
      </c>
      <c r="H554" t="str">
        <f t="shared" si="17"/>
        <v>HTI7</v>
      </c>
      <c r="I554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170" t="s">
        <v>3076</v>
      </c>
      <c r="G555" s="148" t="str">
        <f t="shared" si="16"/>
        <v>Martin EXPERIENCE - Haiti</v>
      </c>
      <c r="H555" t="str">
        <f t="shared" si="17"/>
        <v>HTI8</v>
      </c>
      <c r="I555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170" t="s">
        <v>3076</v>
      </c>
      <c r="G556" s="148" t="str">
        <f t="shared" si="16"/>
        <v>Duckens NAZON - Haiti</v>
      </c>
      <c r="H556" t="str">
        <f t="shared" si="17"/>
        <v>HTI9</v>
      </c>
      <c r="I556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170" t="s">
        <v>3076</v>
      </c>
      <c r="G557" s="148" t="str">
        <f t="shared" si="16"/>
        <v>Jean-Ricner BELLEGARDE - Haiti</v>
      </c>
      <c r="H557" t="str">
        <f t="shared" si="17"/>
        <v>HTI10</v>
      </c>
      <c r="I557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170" t="s">
        <v>3076</v>
      </c>
      <c r="G558" s="148" t="str">
        <f t="shared" si="16"/>
        <v>Louicius DEEDSON - Haiti</v>
      </c>
      <c r="H558" t="str">
        <f t="shared" si="17"/>
        <v>HTI11</v>
      </c>
      <c r="I558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170" t="s">
        <v>3076</v>
      </c>
      <c r="G559" s="148" t="str">
        <f t="shared" si="16"/>
        <v>Alexandre PIERRE - Haiti</v>
      </c>
      <c r="H559" t="str">
        <f t="shared" si="17"/>
        <v>HTI12</v>
      </c>
      <c r="I55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170" t="s">
        <v>3076</v>
      </c>
      <c r="G560" s="148" t="str">
        <f t="shared" si="16"/>
        <v>Markhus LACROIX - Haiti</v>
      </c>
      <c r="H560" t="str">
        <f t="shared" si="17"/>
        <v>HTI13</v>
      </c>
      <c r="I560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170" t="s">
        <v>3076</v>
      </c>
      <c r="G561" s="148" t="str">
        <f t="shared" si="16"/>
        <v>Garven METUSALA - Haiti</v>
      </c>
      <c r="H561" t="str">
        <f t="shared" si="17"/>
        <v>HTI14</v>
      </c>
      <c r="I561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170" t="s">
        <v>3076</v>
      </c>
      <c r="G562" s="148" t="str">
        <f t="shared" si="16"/>
        <v>Ruben PROVIDENCE - Haiti</v>
      </c>
      <c r="H562" t="str">
        <f t="shared" si="17"/>
        <v>HTI15</v>
      </c>
      <c r="I562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170" t="s">
        <v>3076</v>
      </c>
      <c r="G563" s="148" t="str">
        <f t="shared" si="16"/>
        <v>Lenny JOSEPH - Haiti</v>
      </c>
      <c r="H563" t="str">
        <f t="shared" si="17"/>
        <v>HTI16</v>
      </c>
      <c r="I563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170" t="s">
        <v>3076</v>
      </c>
      <c r="G564" s="148" t="str">
        <f t="shared" si="16"/>
        <v>Danley JEAN JACQUES - Haiti</v>
      </c>
      <c r="H564" t="str">
        <f t="shared" si="17"/>
        <v>HTI17</v>
      </c>
      <c r="I564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170" t="s">
        <v>3076</v>
      </c>
      <c r="G565" s="148" t="str">
        <f t="shared" si="16"/>
        <v>Wilson ISIDOR - Haiti</v>
      </c>
      <c r="H565" t="str">
        <f t="shared" si="17"/>
        <v>HTI18</v>
      </c>
      <c r="I565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170" t="s">
        <v>3076</v>
      </c>
      <c r="G566" s="148" t="str">
        <f t="shared" si="16"/>
        <v>Yassin FORTUNE - Haiti</v>
      </c>
      <c r="H566" t="str">
        <f t="shared" si="17"/>
        <v>HTI19</v>
      </c>
      <c r="I566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170" t="s">
        <v>3076</v>
      </c>
      <c r="G567" s="148" t="str">
        <f t="shared" si="16"/>
        <v>Frantzdy PIERROT - Haiti</v>
      </c>
      <c r="H567" t="str">
        <f t="shared" si="17"/>
        <v>HTI20</v>
      </c>
      <c r="I567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170" t="s">
        <v>3076</v>
      </c>
      <c r="G568" s="148" t="str">
        <f t="shared" si="16"/>
        <v>Josue CASIMIR - Haiti</v>
      </c>
      <c r="H568" t="str">
        <f t="shared" si="17"/>
        <v>HTI21</v>
      </c>
      <c r="I568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170" t="s">
        <v>3076</v>
      </c>
      <c r="G569" s="148" t="str">
        <f t="shared" si="16"/>
        <v>Jean-Kevin DUVERNE - Haiti</v>
      </c>
      <c r="H569" t="str">
        <f t="shared" si="17"/>
        <v>HTI22</v>
      </c>
      <c r="I56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170" t="s">
        <v>3076</v>
      </c>
      <c r="G570" s="148" t="str">
        <f t="shared" si="16"/>
        <v>Josue DUVERGER - Haiti</v>
      </c>
      <c r="H570" t="str">
        <f t="shared" si="17"/>
        <v>HTI23</v>
      </c>
      <c r="I570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170" t="s">
        <v>3076</v>
      </c>
      <c r="G571" s="148" t="str">
        <f t="shared" si="16"/>
        <v>Wilguens PAUGAIN - Haiti</v>
      </c>
      <c r="H571" t="str">
        <f t="shared" si="17"/>
        <v>HTI24</v>
      </c>
      <c r="I571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170" t="s">
        <v>3076</v>
      </c>
      <c r="G572" s="148" t="str">
        <f t="shared" si="16"/>
        <v>Dominique SIMON - Haiti</v>
      </c>
      <c r="H572" t="str">
        <f t="shared" si="17"/>
        <v>HTI25</v>
      </c>
      <c r="I572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170" t="s">
        <v>3076</v>
      </c>
      <c r="G573" s="148" t="str">
        <f t="shared" si="16"/>
        <v>Woodensky PIERRE - Haiti</v>
      </c>
      <c r="H573" t="str">
        <f t="shared" si="17"/>
        <v>HTI26</v>
      </c>
      <c r="I573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171" t="s">
        <v>3102</v>
      </c>
      <c r="G574" s="148" t="str">
        <f t="shared" si="16"/>
        <v>Alireza BEIRANVAND - Iran</v>
      </c>
      <c r="H574" t="str">
        <f t="shared" si="17"/>
        <v>IRN1</v>
      </c>
      <c r="I574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171" t="s">
        <v>3102</v>
      </c>
      <c r="G575" s="148" t="str">
        <f t="shared" si="16"/>
        <v>Saleh HARDANI - Iran</v>
      </c>
      <c r="H575" t="str">
        <f t="shared" si="17"/>
        <v>IRN2</v>
      </c>
      <c r="I575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171" t="s">
        <v>3102</v>
      </c>
      <c r="G576" s="148" t="str">
        <f t="shared" si="16"/>
        <v>Ehsan HAJISAFI - Iran</v>
      </c>
      <c r="H576" t="str">
        <f t="shared" si="17"/>
        <v>IRN3</v>
      </c>
      <c r="I576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171" t="s">
        <v>3102</v>
      </c>
      <c r="G577" s="148" t="str">
        <f t="shared" si="16"/>
        <v>Shoja KHALILZADEH - Iran</v>
      </c>
      <c r="H577" t="str">
        <f t="shared" si="17"/>
        <v>IRN4</v>
      </c>
      <c r="I577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171" t="s">
        <v>3102</v>
      </c>
      <c r="G578" s="148" t="str">
        <f t="shared" si="16"/>
        <v>Milad MOHAMMADI - Iran</v>
      </c>
      <c r="H578" t="str">
        <f t="shared" si="17"/>
        <v>IRN5</v>
      </c>
      <c r="I578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171" t="s">
        <v>3102</v>
      </c>
      <c r="G579" s="148" t="str">
        <f t="shared" ref="G579:G642" si="18">_xlfn.CONCAT(C579, " ",D579, " - ",F579)</f>
        <v>Saeid EZATOLAHI - Iran</v>
      </c>
      <c r="H579" t="str">
        <f t="shared" ref="H579:H642" si="19">_xlfn.CONCAT(E579,A579)</f>
        <v>IRN6</v>
      </c>
      <c r="I579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171" t="s">
        <v>3102</v>
      </c>
      <c r="G580" s="148" t="str">
        <f t="shared" si="18"/>
        <v>Alireza JAHANBAKHSH - Iran</v>
      </c>
      <c r="H580" t="str">
        <f t="shared" si="19"/>
        <v>IRN7</v>
      </c>
      <c r="I580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171" t="s">
        <v>3102</v>
      </c>
      <c r="G581" s="148" t="str">
        <f t="shared" si="18"/>
        <v>Mohammad MOHEBBI - Iran</v>
      </c>
      <c r="H581" t="str">
        <f t="shared" si="19"/>
        <v>IRN8</v>
      </c>
      <c r="I5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171" t="s">
        <v>3102</v>
      </c>
      <c r="G582" s="148" t="str">
        <f t="shared" si="18"/>
        <v>Mehdi TAREMI - Iran</v>
      </c>
      <c r="H582" t="str">
        <f t="shared" si="19"/>
        <v>IRN9</v>
      </c>
      <c r="I582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171" t="s">
        <v>3102</v>
      </c>
      <c r="G583" s="148" t="str">
        <f t="shared" si="18"/>
        <v>Mehdi GHAYEDI - Iran</v>
      </c>
      <c r="H583" t="str">
        <f t="shared" si="19"/>
        <v>IRN10</v>
      </c>
      <c r="I583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171" t="s">
        <v>3102</v>
      </c>
      <c r="G584" s="148" t="str">
        <f t="shared" si="18"/>
        <v>Ali ALIPOUR - Iran</v>
      </c>
      <c r="H584" t="str">
        <f t="shared" si="19"/>
        <v>IRN11</v>
      </c>
      <c r="I584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171" t="s">
        <v>3102</v>
      </c>
      <c r="G585" s="148" t="str">
        <f t="shared" si="18"/>
        <v>Payam NIAZMAND - Iran</v>
      </c>
      <c r="H585" t="str">
        <f t="shared" si="19"/>
        <v>IRN12</v>
      </c>
      <c r="I585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171" t="s">
        <v>3102</v>
      </c>
      <c r="G586" s="148" t="str">
        <f t="shared" si="18"/>
        <v>Hossein KANANI - Iran</v>
      </c>
      <c r="H586" t="str">
        <f t="shared" si="19"/>
        <v>IRN13</v>
      </c>
      <c r="I586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171" t="s">
        <v>3102</v>
      </c>
      <c r="G587" s="148" t="str">
        <f t="shared" si="18"/>
        <v>Saman GHODDOS - Iran</v>
      </c>
      <c r="H587" t="str">
        <f t="shared" si="19"/>
        <v>IRN14</v>
      </c>
      <c r="I587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171" t="s">
        <v>3102</v>
      </c>
      <c r="G588" s="148" t="str">
        <f t="shared" si="18"/>
        <v>Roozbeh CHESHMI - Iran</v>
      </c>
      <c r="H588" t="str">
        <f t="shared" si="19"/>
        <v>IRN15</v>
      </c>
      <c r="I588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171" t="s">
        <v>3102</v>
      </c>
      <c r="G589" s="148" t="str">
        <f t="shared" si="18"/>
        <v>Mehdi TORABI - Iran</v>
      </c>
      <c r="H589" t="str">
        <f t="shared" si="19"/>
        <v>IRN16</v>
      </c>
      <c r="I589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171" t="s">
        <v>3102</v>
      </c>
      <c r="G590" s="148" t="str">
        <f t="shared" si="18"/>
        <v>Arya YOUSEFI - Iran</v>
      </c>
      <c r="H590" t="str">
        <f t="shared" si="19"/>
        <v>IRN17</v>
      </c>
      <c r="I590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171" t="s">
        <v>3102</v>
      </c>
      <c r="G591" s="148" t="str">
        <f t="shared" si="18"/>
        <v>Amirhossein HOSSEINZADEH - Iran</v>
      </c>
      <c r="H591" t="str">
        <f t="shared" si="19"/>
        <v>IRN18</v>
      </c>
      <c r="I59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171" t="s">
        <v>3102</v>
      </c>
      <c r="G592" s="148" t="str">
        <f t="shared" si="18"/>
        <v>Ali NEMATI - Iran</v>
      </c>
      <c r="H592" t="str">
        <f t="shared" si="19"/>
        <v>IRN19</v>
      </c>
      <c r="I592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171" t="s">
        <v>3102</v>
      </c>
      <c r="G593" s="148" t="str">
        <f t="shared" si="18"/>
        <v>Shahriyar MOGHANLOO - Iran</v>
      </c>
      <c r="H593" t="str">
        <f t="shared" si="19"/>
        <v>IRN20</v>
      </c>
      <c r="I593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171" t="s">
        <v>3102</v>
      </c>
      <c r="G594" s="148" t="str">
        <f t="shared" si="18"/>
        <v>Mohammad GHORBANI - Iran</v>
      </c>
      <c r="H594" t="str">
        <f t="shared" si="19"/>
        <v>IRN21</v>
      </c>
      <c r="I594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171" t="s">
        <v>3102</v>
      </c>
      <c r="G595" s="148" t="str">
        <f t="shared" si="18"/>
        <v>Hossein HOSSEINI - Iran</v>
      </c>
      <c r="H595" t="str">
        <f t="shared" si="19"/>
        <v>IRN22</v>
      </c>
      <c r="I595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171" t="s">
        <v>3102</v>
      </c>
      <c r="G596" s="148" t="str">
        <f t="shared" si="18"/>
        <v>Ramin REZAEIAN - Iran</v>
      </c>
      <c r="H596" t="str">
        <f t="shared" si="19"/>
        <v>IRN23</v>
      </c>
      <c r="I596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171" t="s">
        <v>3102</v>
      </c>
      <c r="G597" s="148" t="str">
        <f t="shared" si="18"/>
        <v>Dennis DARGAHI - Iran</v>
      </c>
      <c r="H597" t="str">
        <f t="shared" si="19"/>
        <v>IRN24</v>
      </c>
      <c r="I597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171" t="s">
        <v>3102</v>
      </c>
      <c r="G598" s="148" t="str">
        <f t="shared" si="18"/>
        <v>Danial IRI - Iran</v>
      </c>
      <c r="H598" t="str">
        <f t="shared" si="19"/>
        <v>IRN25</v>
      </c>
      <c r="I598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171" t="s">
        <v>3102</v>
      </c>
      <c r="G599" s="148" t="str">
        <f t="shared" si="18"/>
        <v>Amirmohammad RAZAGHINIA - Iran</v>
      </c>
      <c r="H599" t="str">
        <f t="shared" si="19"/>
        <v>IRN26</v>
      </c>
      <c r="I599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172" t="s">
        <v>3129</v>
      </c>
      <c r="G600" s="148" t="str">
        <f t="shared" si="18"/>
        <v>Fahad TALIB - Iraq</v>
      </c>
      <c r="H600" t="str">
        <f t="shared" si="19"/>
        <v>IRQ1</v>
      </c>
      <c r="I600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172" t="s">
        <v>3129</v>
      </c>
      <c r="G601" s="148" t="str">
        <f t="shared" si="18"/>
        <v>Rebin GHAREEB - Iraq</v>
      </c>
      <c r="H601" t="str">
        <f t="shared" si="19"/>
        <v>IRQ2</v>
      </c>
      <c r="I601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172" t="s">
        <v>3129</v>
      </c>
      <c r="G602" s="148" t="str">
        <f t="shared" si="18"/>
        <v>Hussein ALI - Iraq</v>
      </c>
      <c r="H602" t="str">
        <f t="shared" si="19"/>
        <v>IRQ3</v>
      </c>
      <c r="I602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172" t="s">
        <v>3129</v>
      </c>
      <c r="G603" s="148" t="str">
        <f t="shared" si="18"/>
        <v>Zaid TAHSEEN - Iraq</v>
      </c>
      <c r="H603" t="str">
        <f t="shared" si="19"/>
        <v>IRQ4</v>
      </c>
      <c r="I60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172" t="s">
        <v>3129</v>
      </c>
      <c r="G604" s="148" t="str">
        <f t="shared" si="18"/>
        <v>Akam HASHIM - Iraq</v>
      </c>
      <c r="H604" t="str">
        <f t="shared" si="19"/>
        <v>IRQ5</v>
      </c>
      <c r="I604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172" t="s">
        <v>3129</v>
      </c>
      <c r="G605" s="148" t="str">
        <f t="shared" si="18"/>
        <v>Munaf YOUNUS - Iraq</v>
      </c>
      <c r="H605" t="str">
        <f t="shared" si="19"/>
        <v>IRQ6</v>
      </c>
      <c r="I605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172" t="s">
        <v>3129</v>
      </c>
      <c r="G606" s="148" t="str">
        <f t="shared" si="18"/>
        <v>Youssef AMYN - Iraq</v>
      </c>
      <c r="H606" t="str">
        <f t="shared" si="19"/>
        <v>IRQ7</v>
      </c>
      <c r="I606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172" t="s">
        <v>3129</v>
      </c>
      <c r="G607" s="148" t="str">
        <f t="shared" si="18"/>
        <v>Ibrahim BAYESH - Iraq</v>
      </c>
      <c r="H607" t="str">
        <f t="shared" si="19"/>
        <v>IRQ8</v>
      </c>
      <c r="I607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172" t="s">
        <v>3129</v>
      </c>
      <c r="G608" s="148" t="str">
        <f t="shared" si="18"/>
        <v>Ali ALHAMADI - Iraq</v>
      </c>
      <c r="H608" t="str">
        <f t="shared" si="19"/>
        <v>IRQ9</v>
      </c>
      <c r="I608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172" t="s">
        <v>3129</v>
      </c>
      <c r="G609" s="148" t="str">
        <f t="shared" si="18"/>
        <v>Mohanad ALI - Iraq</v>
      </c>
      <c r="H609" t="str">
        <f t="shared" si="19"/>
        <v>IRQ10</v>
      </c>
      <c r="I609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172" t="s">
        <v>3129</v>
      </c>
      <c r="G610" s="148" t="str">
        <f t="shared" si="18"/>
        <v>Ahmed QASIM - Iraq</v>
      </c>
      <c r="H610" t="str">
        <f t="shared" si="19"/>
        <v>IRQ11</v>
      </c>
      <c r="I610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172" t="s">
        <v>3129</v>
      </c>
      <c r="G611" s="148" t="str">
        <f t="shared" si="18"/>
        <v>Jalal HASSAN - Iraq</v>
      </c>
      <c r="H611" t="str">
        <f t="shared" si="19"/>
        <v>IRQ12</v>
      </c>
      <c r="I611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172" t="s">
        <v>3129</v>
      </c>
      <c r="G612" s="148" t="str">
        <f t="shared" si="18"/>
        <v>Ali YOUSIF - Iraq</v>
      </c>
      <c r="H612" t="str">
        <f t="shared" si="19"/>
        <v>IRQ13</v>
      </c>
      <c r="I612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172" t="s">
        <v>3129</v>
      </c>
      <c r="G613" s="148" t="str">
        <f t="shared" si="18"/>
        <v>Zidane IQBAL - Iraq</v>
      </c>
      <c r="H613" t="str">
        <f t="shared" si="19"/>
        <v>IRQ14</v>
      </c>
      <c r="I61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172" t="s">
        <v>3129</v>
      </c>
      <c r="G614" s="148" t="str">
        <f t="shared" si="18"/>
        <v>Ahmed MAKNZI - Iraq</v>
      </c>
      <c r="H614" t="str">
        <f t="shared" si="19"/>
        <v>IRQ15</v>
      </c>
      <c r="I614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172" t="s">
        <v>3129</v>
      </c>
      <c r="G615" s="148" t="str">
        <f t="shared" si="18"/>
        <v>Amir ALAMMARI - Iraq</v>
      </c>
      <c r="H615" t="str">
        <f t="shared" si="19"/>
        <v>IRQ16</v>
      </c>
      <c r="I615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172" t="s">
        <v>3129</v>
      </c>
      <c r="G616" s="148" t="str">
        <f t="shared" si="18"/>
        <v>Ali JASIM - Iraq</v>
      </c>
      <c r="H616" t="str">
        <f t="shared" si="19"/>
        <v>IRQ17</v>
      </c>
      <c r="I616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172" t="s">
        <v>3129</v>
      </c>
      <c r="G617" s="148" t="str">
        <f t="shared" si="18"/>
        <v>Aymen HUSSEIN - Iraq</v>
      </c>
      <c r="H617" t="str">
        <f t="shared" si="19"/>
        <v>IRQ18</v>
      </c>
      <c r="I617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172" t="s">
        <v>3129</v>
      </c>
      <c r="G618" s="148" t="str">
        <f t="shared" si="18"/>
        <v>Kevin YAKOB - Iraq</v>
      </c>
      <c r="H618" t="str">
        <f t="shared" si="19"/>
        <v>IRQ19</v>
      </c>
      <c r="I618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172" t="s">
        <v>3129</v>
      </c>
      <c r="G619" s="148" t="str">
        <f t="shared" si="18"/>
        <v>Aimar SHER - Iraq</v>
      </c>
      <c r="H619" t="str">
        <f t="shared" si="19"/>
        <v>IRQ20</v>
      </c>
      <c r="I619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172" t="s">
        <v>3129</v>
      </c>
      <c r="G620" s="148" t="str">
        <f t="shared" si="18"/>
        <v>Marko FARJI - Iraq</v>
      </c>
      <c r="H620" t="str">
        <f t="shared" si="19"/>
        <v>IRQ21</v>
      </c>
      <c r="I620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172" t="s">
        <v>3129</v>
      </c>
      <c r="G621" s="148" t="str">
        <f t="shared" si="18"/>
        <v>Ahmed BASIL - Iraq</v>
      </c>
      <c r="H621" t="str">
        <f t="shared" si="19"/>
        <v>IRQ22</v>
      </c>
      <c r="I621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172" t="s">
        <v>3129</v>
      </c>
      <c r="G622" s="148" t="str">
        <f t="shared" si="18"/>
        <v>Merchas DOSKI - Iraq</v>
      </c>
      <c r="H622" t="str">
        <f t="shared" si="19"/>
        <v>IRQ23</v>
      </c>
      <c r="I622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172" t="s">
        <v>3129</v>
      </c>
      <c r="G623" s="148" t="str">
        <f t="shared" si="18"/>
        <v>Zaid ISMAEL - Iraq</v>
      </c>
      <c r="H623" t="str">
        <f t="shared" si="19"/>
        <v>IRQ24</v>
      </c>
      <c r="I62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172" t="s">
        <v>3129</v>
      </c>
      <c r="G624" s="148" t="str">
        <f t="shared" si="18"/>
        <v>Mustafa SAADOON - Iraq</v>
      </c>
      <c r="H624" t="str">
        <f t="shared" si="19"/>
        <v>IRQ25</v>
      </c>
      <c r="I624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172" t="s">
        <v>3129</v>
      </c>
      <c r="G625" s="148" t="str">
        <f t="shared" si="18"/>
        <v>Frans PUTROS - Iraq</v>
      </c>
      <c r="H625" t="str">
        <f t="shared" si="19"/>
        <v>IRQ26</v>
      </c>
      <c r="I625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173" t="s">
        <v>3155</v>
      </c>
      <c r="G626" s="148" t="str">
        <f t="shared" si="18"/>
        <v>Zion SUZUKI - Japan</v>
      </c>
      <c r="H626" t="str">
        <f t="shared" si="19"/>
        <v>JPN1</v>
      </c>
      <c r="I626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173" t="s">
        <v>3155</v>
      </c>
      <c r="G627" s="148" t="str">
        <f t="shared" si="18"/>
        <v>Yukinari SUGAWARA - Japan</v>
      </c>
      <c r="H627" t="str">
        <f t="shared" si="19"/>
        <v>JPN2</v>
      </c>
      <c r="I627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173" t="s">
        <v>3155</v>
      </c>
      <c r="G628" s="148" t="str">
        <f t="shared" si="18"/>
        <v>Shogo TANIGUCHI - Japan</v>
      </c>
      <c r="H628" t="str">
        <f t="shared" si="19"/>
        <v>JPN3</v>
      </c>
      <c r="I628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173" t="s">
        <v>3155</v>
      </c>
      <c r="G629" s="148" t="str">
        <f t="shared" si="18"/>
        <v>Kou ITAKURA - Japan</v>
      </c>
      <c r="H629" t="str">
        <f t="shared" si="19"/>
        <v>JPN4</v>
      </c>
      <c r="I629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173" t="s">
        <v>3155</v>
      </c>
      <c r="G630" s="148" t="str">
        <f t="shared" si="18"/>
        <v>Yuto NAGATOMO - Japan</v>
      </c>
      <c r="H630" t="str">
        <f t="shared" si="19"/>
        <v>JPN5</v>
      </c>
      <c r="I630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173" t="s">
        <v>3155</v>
      </c>
      <c r="G631" s="148" t="str">
        <f t="shared" si="18"/>
        <v>Shuto MACHINO - Japan</v>
      </c>
      <c r="H631" t="str">
        <f t="shared" si="19"/>
        <v>JPN6</v>
      </c>
      <c r="I631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173" t="s">
        <v>3155</v>
      </c>
      <c r="G632" s="148" t="str">
        <f t="shared" si="18"/>
        <v>Ao TANAKA - Japan</v>
      </c>
      <c r="H632" t="str">
        <f t="shared" si="19"/>
        <v>JPN7</v>
      </c>
      <c r="I632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173" t="s">
        <v>3155</v>
      </c>
      <c r="G633" s="148" t="str">
        <f t="shared" si="18"/>
        <v>Takefusa KUBO - Japan</v>
      </c>
      <c r="H633" t="str">
        <f t="shared" si="19"/>
        <v>JPN8</v>
      </c>
      <c r="I633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173" t="s">
        <v>3155</v>
      </c>
      <c r="G634" s="148" t="str">
        <f t="shared" si="18"/>
        <v>Keisuke GOTO - Japan</v>
      </c>
      <c r="H634" t="str">
        <f t="shared" si="19"/>
        <v>JPN9</v>
      </c>
      <c r="I634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173" t="s">
        <v>3155</v>
      </c>
      <c r="G635" s="148" t="str">
        <f t="shared" si="18"/>
        <v>Ritsu DOAN - Japan</v>
      </c>
      <c r="H635" t="str">
        <f t="shared" si="19"/>
        <v>JPN10</v>
      </c>
      <c r="I63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173" t="s">
        <v>3155</v>
      </c>
      <c r="G636" s="148" t="str">
        <f t="shared" si="18"/>
        <v>Daizen MAEDA - Japan</v>
      </c>
      <c r="H636" t="str">
        <f t="shared" si="19"/>
        <v>JPN11</v>
      </c>
      <c r="I636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173" t="s">
        <v>3155</v>
      </c>
      <c r="G637" s="148" t="str">
        <f t="shared" si="18"/>
        <v>Keisuke OSAKO - Japan</v>
      </c>
      <c r="H637" t="str">
        <f t="shared" si="19"/>
        <v>JPN12</v>
      </c>
      <c r="I637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173" t="s">
        <v>3155</v>
      </c>
      <c r="G638" s="148" t="str">
        <f t="shared" si="18"/>
        <v>Keito NAKAMURA - Japan</v>
      </c>
      <c r="H638" t="str">
        <f t="shared" si="19"/>
        <v>JPN13</v>
      </c>
      <c r="I638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173" t="s">
        <v>3155</v>
      </c>
      <c r="G639" s="148" t="str">
        <f t="shared" si="18"/>
        <v>Junya ITO - Japan</v>
      </c>
      <c r="H639" t="str">
        <f t="shared" si="19"/>
        <v>JPN14</v>
      </c>
      <c r="I639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173" t="s">
        <v>3155</v>
      </c>
      <c r="G640" s="148" t="str">
        <f t="shared" si="18"/>
        <v>Daichi KAMADA - Japan</v>
      </c>
      <c r="H640" t="str">
        <f t="shared" si="19"/>
        <v>JPN15</v>
      </c>
      <c r="I640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173" t="s">
        <v>3155</v>
      </c>
      <c r="G641" s="148" t="str">
        <f t="shared" si="18"/>
        <v>Tsuyoshi WATANABE - Japan</v>
      </c>
      <c r="H641" t="str">
        <f t="shared" si="19"/>
        <v>JPN16</v>
      </c>
      <c r="I641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173" t="s">
        <v>3155</v>
      </c>
      <c r="G642" s="148" t="str">
        <f t="shared" si="18"/>
        <v>Yuito SUZUKI - Japan</v>
      </c>
      <c r="H642" t="str">
        <f t="shared" si="19"/>
        <v>JPN17</v>
      </c>
      <c r="I642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173" t="s">
        <v>3155</v>
      </c>
      <c r="G643" s="148" t="str">
        <f t="shared" ref="G643:G706" si="20">_xlfn.CONCAT(C643, " ",D643, " - ",F643)</f>
        <v>Ayase UEDA - Japan</v>
      </c>
      <c r="H643" t="str">
        <f t="shared" ref="H643:H706" si="21">_xlfn.CONCAT(E643,A643)</f>
        <v>JPN18</v>
      </c>
      <c r="I643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173" t="s">
        <v>3155</v>
      </c>
      <c r="G644" s="148" t="str">
        <f t="shared" si="20"/>
        <v>Koki OGAWA - Japan</v>
      </c>
      <c r="H644" t="str">
        <f t="shared" si="21"/>
        <v>JPN19</v>
      </c>
      <c r="I644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173" t="s">
        <v>3155</v>
      </c>
      <c r="G645" s="148" t="str">
        <f t="shared" si="20"/>
        <v>Ayumu SEKO - Japan</v>
      </c>
      <c r="H645" t="str">
        <f t="shared" si="21"/>
        <v>JPN20</v>
      </c>
      <c r="I64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173" t="s">
        <v>3155</v>
      </c>
      <c r="G646" s="148" t="str">
        <f t="shared" si="20"/>
        <v>Hiroki ITO - Japan</v>
      </c>
      <c r="H646" t="str">
        <f t="shared" si="21"/>
        <v>JPN21</v>
      </c>
      <c r="I646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173" t="s">
        <v>3155</v>
      </c>
      <c r="G647" s="148" t="str">
        <f t="shared" si="20"/>
        <v>Takehiro TOMIYASU - Japan</v>
      </c>
      <c r="H647" t="str">
        <f t="shared" si="21"/>
        <v>JPN22</v>
      </c>
      <c r="I647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173" t="s">
        <v>3155</v>
      </c>
      <c r="G648" s="148" t="str">
        <f t="shared" si="20"/>
        <v>Tomoki HAYAKAWA - Japan</v>
      </c>
      <c r="H648" t="str">
        <f t="shared" si="21"/>
        <v>JPN23</v>
      </c>
      <c r="I648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173" t="s">
        <v>3155</v>
      </c>
      <c r="G649" s="148" t="str">
        <f t="shared" si="20"/>
        <v>Kaishu SANO - Japan</v>
      </c>
      <c r="H649" t="str">
        <f t="shared" si="21"/>
        <v>JPN24</v>
      </c>
      <c r="I649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173" t="s">
        <v>3155</v>
      </c>
      <c r="G650" s="148" t="str">
        <f t="shared" si="20"/>
        <v>Junnosuke SUZUKI - Japan</v>
      </c>
      <c r="H650" t="str">
        <f t="shared" si="21"/>
        <v>JPN25</v>
      </c>
      <c r="I650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173" t="s">
        <v>3155</v>
      </c>
      <c r="G651" s="148" t="str">
        <f t="shared" si="20"/>
        <v>Kento SHIOGAI - Japan</v>
      </c>
      <c r="H651" t="str">
        <f t="shared" si="21"/>
        <v>JPN26</v>
      </c>
      <c r="I651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174" t="s">
        <v>379</v>
      </c>
      <c r="G652" s="148" t="str">
        <f t="shared" si="20"/>
        <v>Yazeed ABULAILA - Jordan</v>
      </c>
      <c r="H652" t="str">
        <f t="shared" si="21"/>
        <v>JOR1</v>
      </c>
      <c r="I652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174" t="s">
        <v>379</v>
      </c>
      <c r="G653" s="148" t="str">
        <f t="shared" si="20"/>
        <v>Mohammad ABUHASHEESH - Jordan</v>
      </c>
      <c r="H653" t="str">
        <f t="shared" si="21"/>
        <v>JOR2</v>
      </c>
      <c r="I653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174" t="s">
        <v>379</v>
      </c>
      <c r="G654" s="148" t="str">
        <f t="shared" si="20"/>
        <v>Abdallah NASIB - Jordan</v>
      </c>
      <c r="H654" t="str">
        <f t="shared" si="21"/>
        <v>JOR3</v>
      </c>
      <c r="I654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174" t="s">
        <v>379</v>
      </c>
      <c r="G655" s="148" t="str">
        <f t="shared" si="20"/>
        <v>Husam ABUDAHAB - Jordan</v>
      </c>
      <c r="H655" t="str">
        <f t="shared" si="21"/>
        <v>JOR4</v>
      </c>
      <c r="I655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174" t="s">
        <v>379</v>
      </c>
      <c r="G656" s="148" t="str">
        <f t="shared" si="20"/>
        <v>Yazan ALARAB - Jordan</v>
      </c>
      <c r="H656" t="str">
        <f t="shared" si="21"/>
        <v>JOR5</v>
      </c>
      <c r="I656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174" t="s">
        <v>379</v>
      </c>
      <c r="G657" s="148" t="str">
        <f t="shared" si="20"/>
        <v>Amer JAMOUS - Jordan</v>
      </c>
      <c r="H657" t="str">
        <f t="shared" si="21"/>
        <v>JOR6</v>
      </c>
      <c r="I65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174" t="s">
        <v>379</v>
      </c>
      <c r="G658" s="148" t="str">
        <f t="shared" si="20"/>
        <v>Mohammad ABUZRAIQ - Jordan</v>
      </c>
      <c r="H658" t="str">
        <f t="shared" si="21"/>
        <v>JOR7</v>
      </c>
      <c r="I658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174" t="s">
        <v>379</v>
      </c>
      <c r="G659" s="148" t="str">
        <f t="shared" si="20"/>
        <v>Noor ALRAWABDEH - Jordan</v>
      </c>
      <c r="H659" t="str">
        <f t="shared" si="21"/>
        <v>JOR8</v>
      </c>
      <c r="I659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174" t="s">
        <v>379</v>
      </c>
      <c r="G660" s="148" t="str">
        <f t="shared" si="20"/>
        <v>Ali OLWAN - Jordan</v>
      </c>
      <c r="H660" t="str">
        <f t="shared" si="21"/>
        <v>JOR9</v>
      </c>
      <c r="I660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174" t="s">
        <v>379</v>
      </c>
      <c r="G661" s="148" t="str">
        <f t="shared" si="20"/>
        <v>Mousa ALTAMARI - Jordan</v>
      </c>
      <c r="H661" t="str">
        <f t="shared" si="21"/>
        <v>JOR10</v>
      </c>
      <c r="I661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174" t="s">
        <v>379</v>
      </c>
      <c r="G662" s="148" t="str">
        <f t="shared" si="20"/>
        <v>Odeh FAKHOURY - Jordan</v>
      </c>
      <c r="H662" t="str">
        <f t="shared" si="21"/>
        <v>JOR11</v>
      </c>
      <c r="I662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174" t="s">
        <v>379</v>
      </c>
      <c r="G663" s="148" t="str">
        <f t="shared" si="20"/>
        <v>Nour BANIATEYAH - Jordan</v>
      </c>
      <c r="H663" t="str">
        <f t="shared" si="21"/>
        <v>JOR12</v>
      </c>
      <c r="I663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174" t="s">
        <v>379</v>
      </c>
      <c r="G664" s="148" t="str">
        <f t="shared" si="20"/>
        <v>Mahmoud ALMARDI - Jordan</v>
      </c>
      <c r="H664" t="str">
        <f t="shared" si="21"/>
        <v>JOR13</v>
      </c>
      <c r="I664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174" t="s">
        <v>379</v>
      </c>
      <c r="G665" s="148" t="str">
        <f t="shared" si="20"/>
        <v>Rajaei AYED - Jordan</v>
      </c>
      <c r="H665" t="str">
        <f t="shared" si="21"/>
        <v>JOR14</v>
      </c>
      <c r="I665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174" t="s">
        <v>379</v>
      </c>
      <c r="G666" s="148" t="str">
        <f t="shared" si="20"/>
        <v>Ibrahim SADEH - Jordan</v>
      </c>
      <c r="H666" t="str">
        <f t="shared" si="21"/>
        <v>JOR15</v>
      </c>
      <c r="I666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174" t="s">
        <v>379</v>
      </c>
      <c r="G667" s="148" t="str">
        <f t="shared" si="20"/>
        <v>Mohammad ABUALNADI - Jordan</v>
      </c>
      <c r="H667" t="str">
        <f t="shared" si="21"/>
        <v>JOR16</v>
      </c>
      <c r="I66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174" t="s">
        <v>379</v>
      </c>
      <c r="G668" s="148" t="str">
        <f t="shared" si="20"/>
        <v>Saleem OBAID - Jordan</v>
      </c>
      <c r="H668" t="str">
        <f t="shared" si="21"/>
        <v>JOR17</v>
      </c>
      <c r="I668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174" t="s">
        <v>379</v>
      </c>
      <c r="G669" s="148" t="str">
        <f t="shared" si="20"/>
        <v>Mohammad TAHA - Jordan</v>
      </c>
      <c r="H669" t="str">
        <f t="shared" si="21"/>
        <v>JOR18</v>
      </c>
      <c r="I669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174" t="s">
        <v>379</v>
      </c>
      <c r="G670" s="148" t="str">
        <f t="shared" si="20"/>
        <v>Saed ALROSAN - Jordan</v>
      </c>
      <c r="H670" t="str">
        <f t="shared" si="21"/>
        <v>JOR19</v>
      </c>
      <c r="I670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174" t="s">
        <v>379</v>
      </c>
      <c r="G671" s="148" t="str">
        <f t="shared" si="20"/>
        <v>Mohannad ABUTAHA - Jordan</v>
      </c>
      <c r="H671" t="str">
        <f t="shared" si="21"/>
        <v>JOR20</v>
      </c>
      <c r="I671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174" t="s">
        <v>379</v>
      </c>
      <c r="G672" s="148" t="str">
        <f t="shared" si="20"/>
        <v>Nizar ALRASHDAN - Jordan</v>
      </c>
      <c r="H672" t="str">
        <f t="shared" si="21"/>
        <v>JOR21</v>
      </c>
      <c r="I672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174" t="s">
        <v>379</v>
      </c>
      <c r="G673" s="148" t="str">
        <f t="shared" si="20"/>
        <v>Abdallah ALFAKHORI - Jordan</v>
      </c>
      <c r="H673" t="str">
        <f t="shared" si="21"/>
        <v>JOR22</v>
      </c>
      <c r="I673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174" t="s">
        <v>379</v>
      </c>
      <c r="G674" s="148" t="str">
        <f t="shared" si="20"/>
        <v>Ehsan HADDAD - Jordan</v>
      </c>
      <c r="H674" t="str">
        <f t="shared" si="21"/>
        <v>JOR23</v>
      </c>
      <c r="I674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174" t="s">
        <v>379</v>
      </c>
      <c r="G675" s="148" t="str">
        <f t="shared" si="20"/>
        <v>Ali AZAIZEH - Jordan</v>
      </c>
      <c r="H675" t="str">
        <f t="shared" si="21"/>
        <v>JOR24</v>
      </c>
      <c r="I675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174" t="s">
        <v>379</v>
      </c>
      <c r="G676" s="148" t="str">
        <f t="shared" si="20"/>
        <v>Mohammad ALDAOUD - Jordan</v>
      </c>
      <c r="H676" t="str">
        <f t="shared" si="21"/>
        <v>JOR25</v>
      </c>
      <c r="I676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174" t="s">
        <v>379</v>
      </c>
      <c r="G677" s="148" t="str">
        <f t="shared" si="20"/>
        <v>Anas BADAWI - Jordan</v>
      </c>
      <c r="H677" t="str">
        <f t="shared" si="21"/>
        <v>JOR26</v>
      </c>
      <c r="I67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175" t="s">
        <v>3206</v>
      </c>
      <c r="G678" s="148" t="str">
        <f t="shared" si="20"/>
        <v>Seunggyu KIM - South Korea</v>
      </c>
      <c r="H678" t="str">
        <f t="shared" si="21"/>
        <v>KOR1</v>
      </c>
      <c r="I678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175" t="s">
        <v>3206</v>
      </c>
      <c r="G679" s="148" t="str">
        <f t="shared" si="20"/>
        <v>Hanbeom LEE - South Korea</v>
      </c>
      <c r="H679" t="str">
        <f t="shared" si="21"/>
        <v>KOR2</v>
      </c>
      <c r="I67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175" t="s">
        <v>3206</v>
      </c>
      <c r="G680" s="148" t="str">
        <f t="shared" si="20"/>
        <v>Gihyuk LEE - South Korea</v>
      </c>
      <c r="H680" t="str">
        <f t="shared" si="21"/>
        <v>KOR3</v>
      </c>
      <c r="I680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175" t="s">
        <v>3206</v>
      </c>
      <c r="G681" s="148" t="str">
        <f t="shared" si="20"/>
        <v>Minjae KIM - South Korea</v>
      </c>
      <c r="H681" t="str">
        <f t="shared" si="21"/>
        <v>KOR4</v>
      </c>
      <c r="I681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175" t="s">
        <v>3206</v>
      </c>
      <c r="G682" s="148" t="str">
        <f t="shared" si="20"/>
        <v>Taehyeon KIM - South Korea</v>
      </c>
      <c r="H682" t="str">
        <f t="shared" si="21"/>
        <v>KOR5</v>
      </c>
      <c r="I682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175" t="s">
        <v>3206</v>
      </c>
      <c r="G683" s="148" t="str">
        <f t="shared" si="20"/>
        <v>Inbeom HWANG - South Korea</v>
      </c>
      <c r="H683" t="str">
        <f t="shared" si="21"/>
        <v>KOR6</v>
      </c>
      <c r="I683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175" t="s">
        <v>3206</v>
      </c>
      <c r="G684" s="148" t="str">
        <f t="shared" si="20"/>
        <v>Heungmin SON - South Korea</v>
      </c>
      <c r="H684" t="str">
        <f t="shared" si="21"/>
        <v>KOR7</v>
      </c>
      <c r="I684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175" t="s">
        <v>3206</v>
      </c>
      <c r="G685" s="148" t="str">
        <f t="shared" si="20"/>
        <v>Seungho PAIK - South Korea</v>
      </c>
      <c r="H685" t="str">
        <f t="shared" si="21"/>
        <v>KOR8</v>
      </c>
      <c r="I685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175" t="s">
        <v>3206</v>
      </c>
      <c r="G686" s="148" t="str">
        <f t="shared" si="20"/>
        <v>Guesung CHO - South Korea</v>
      </c>
      <c r="H686" t="str">
        <f t="shared" si="21"/>
        <v>KOR9</v>
      </c>
      <c r="I686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175" t="s">
        <v>3206</v>
      </c>
      <c r="G687" s="148" t="str">
        <f t="shared" si="20"/>
        <v>Jaesung LEE - South Korea</v>
      </c>
      <c r="H687" t="str">
        <f t="shared" si="21"/>
        <v>KOR10</v>
      </c>
      <c r="I687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175" t="s">
        <v>3206</v>
      </c>
      <c r="G688" s="148" t="str">
        <f t="shared" si="20"/>
        <v>Heechan HWANG - South Korea</v>
      </c>
      <c r="H688" t="str">
        <f t="shared" si="21"/>
        <v>KOR11</v>
      </c>
      <c r="I688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175" t="s">
        <v>3206</v>
      </c>
      <c r="G689" s="148" t="str">
        <f t="shared" si="20"/>
        <v>Bumkeun SONG - South Korea</v>
      </c>
      <c r="H689" t="str">
        <f t="shared" si="21"/>
        <v>KOR12</v>
      </c>
      <c r="I6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175" t="s">
        <v>3206</v>
      </c>
      <c r="G690" s="148" t="str">
        <f t="shared" si="20"/>
        <v>Taeseok LEE - South Korea</v>
      </c>
      <c r="H690" t="str">
        <f t="shared" si="21"/>
        <v>KOR13</v>
      </c>
      <c r="I690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175" t="s">
        <v>3206</v>
      </c>
      <c r="G691" s="148" t="str">
        <f t="shared" si="20"/>
        <v>Wije CHO - South Korea</v>
      </c>
      <c r="H691" t="str">
        <f t="shared" si="21"/>
        <v>KOR14</v>
      </c>
      <c r="I691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175" t="s">
        <v>3206</v>
      </c>
      <c r="G692" s="148" t="str">
        <f t="shared" si="20"/>
        <v>Moonhwan KIM - South Korea</v>
      </c>
      <c r="H692" t="str">
        <f t="shared" si="21"/>
        <v>KOR15</v>
      </c>
      <c r="I692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175" t="s">
        <v>3206</v>
      </c>
      <c r="G693" s="148" t="str">
        <f t="shared" si="20"/>
        <v>Jinseob PARK - South Korea</v>
      </c>
      <c r="H693" t="str">
        <f t="shared" si="21"/>
        <v>KOR16</v>
      </c>
      <c r="I693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175" t="s">
        <v>3206</v>
      </c>
      <c r="G694" s="148" t="str">
        <f t="shared" si="20"/>
        <v>Junho BAE - South Korea</v>
      </c>
      <c r="H694" t="str">
        <f t="shared" si="21"/>
        <v>KOR17</v>
      </c>
      <c r="I694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175" t="s">
        <v>3206</v>
      </c>
      <c r="G695" s="148" t="str">
        <f t="shared" si="20"/>
        <v>Hyeongyu OH - South Korea</v>
      </c>
      <c r="H695" t="str">
        <f t="shared" si="21"/>
        <v>KOR18</v>
      </c>
      <c r="I695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175" t="s">
        <v>3206</v>
      </c>
      <c r="G696" s="148" t="str">
        <f t="shared" si="20"/>
        <v>Kangin LEE - South Korea</v>
      </c>
      <c r="H696" t="str">
        <f t="shared" si="21"/>
        <v>KOR19</v>
      </c>
      <c r="I696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175" t="s">
        <v>3206</v>
      </c>
      <c r="G697" s="148" t="str">
        <f t="shared" si="20"/>
        <v>Hyunjun YANG - South Korea</v>
      </c>
      <c r="H697" t="str">
        <f t="shared" si="21"/>
        <v>KOR20</v>
      </c>
      <c r="I697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175" t="s">
        <v>3206</v>
      </c>
      <c r="G698" s="148" t="str">
        <f t="shared" si="20"/>
        <v>Hyeonwoo JO - South Korea</v>
      </c>
      <c r="H698" t="str">
        <f t="shared" si="21"/>
        <v>KOR21</v>
      </c>
      <c r="I698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175" t="s">
        <v>3206</v>
      </c>
      <c r="G699" s="148" t="str">
        <f t="shared" si="20"/>
        <v>Youngwoo SEOL - South Korea</v>
      </c>
      <c r="H699" t="str">
        <f t="shared" si="21"/>
        <v>KOR22</v>
      </c>
      <c r="I69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175" t="s">
        <v>3206</v>
      </c>
      <c r="G700" s="148" t="str">
        <f t="shared" si="20"/>
        <v>Jens CASTROP - South Korea</v>
      </c>
      <c r="H700" t="str">
        <f t="shared" si="21"/>
        <v>KOR23</v>
      </c>
      <c r="I700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175" t="s">
        <v>3206</v>
      </c>
      <c r="G701" s="148" t="str">
        <f t="shared" si="20"/>
        <v>Jingyu KIM - South Korea</v>
      </c>
      <c r="H701" t="str">
        <f t="shared" si="21"/>
        <v>KOR24</v>
      </c>
      <c r="I701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175" t="s">
        <v>3206</v>
      </c>
      <c r="G702" s="148" t="str">
        <f t="shared" si="20"/>
        <v>Jisung EOM - South Korea</v>
      </c>
      <c r="H702" t="str">
        <f t="shared" si="21"/>
        <v>KOR25</v>
      </c>
      <c r="I702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175" t="s">
        <v>3206</v>
      </c>
      <c r="G703" s="148" t="str">
        <f t="shared" si="20"/>
        <v>Donggyeong LEE - South Korea</v>
      </c>
      <c r="H703" t="str">
        <f t="shared" si="21"/>
        <v>KOR26</v>
      </c>
      <c r="I703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176" t="s">
        <v>3233</v>
      </c>
      <c r="G704" s="148" t="str">
        <f t="shared" si="20"/>
        <v>Raul RANGEL - Mexico</v>
      </c>
      <c r="H704" t="str">
        <f t="shared" si="21"/>
        <v>MEX1</v>
      </c>
      <c r="I704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176" t="s">
        <v>3233</v>
      </c>
      <c r="G705" s="148" t="str">
        <f t="shared" si="20"/>
        <v>Jorge SANCHEZ - Mexico</v>
      </c>
      <c r="H705" t="str">
        <f t="shared" si="21"/>
        <v>MEX2</v>
      </c>
      <c r="I705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176" t="s">
        <v>3233</v>
      </c>
      <c r="G706" s="148" t="str">
        <f t="shared" si="20"/>
        <v>Cesar MONTES - Mexico</v>
      </c>
      <c r="H706" t="str">
        <f t="shared" si="21"/>
        <v>MEX3</v>
      </c>
      <c r="I706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176" t="s">
        <v>3233</v>
      </c>
      <c r="G707" s="148" t="str">
        <f t="shared" ref="G707:G770" si="22">_xlfn.CONCAT(C707, " ",D707, " - ",F707)</f>
        <v>Edson ALVAREZ - Mexico</v>
      </c>
      <c r="H707" t="str">
        <f t="shared" ref="H707:H770" si="23">_xlfn.CONCAT(E707,A707)</f>
        <v>MEX4</v>
      </c>
      <c r="I707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176" t="s">
        <v>3233</v>
      </c>
      <c r="G708" s="148" t="str">
        <f t="shared" si="22"/>
        <v>Johan VASQUEZ - Mexico</v>
      </c>
      <c r="H708" t="str">
        <f t="shared" si="23"/>
        <v>MEX5</v>
      </c>
      <c r="I708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176" t="s">
        <v>3233</v>
      </c>
      <c r="G709" s="148" t="str">
        <f t="shared" si="22"/>
        <v>Erik LIRA - Mexico</v>
      </c>
      <c r="H709" t="str">
        <f t="shared" si="23"/>
        <v>MEX6</v>
      </c>
      <c r="I709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176" t="s">
        <v>3233</v>
      </c>
      <c r="G710" s="148" t="str">
        <f t="shared" si="22"/>
        <v>Luis ROMO - Mexico</v>
      </c>
      <c r="H710" t="str">
        <f t="shared" si="23"/>
        <v>MEX7</v>
      </c>
      <c r="I710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176" t="s">
        <v>3233</v>
      </c>
      <c r="G711" s="148" t="str">
        <f t="shared" si="22"/>
        <v>Alvaro FIDALGO - Mexico</v>
      </c>
      <c r="H711" t="str">
        <f t="shared" si="23"/>
        <v>MEX8</v>
      </c>
      <c r="I71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176" t="s">
        <v>3233</v>
      </c>
      <c r="G712" s="148" t="str">
        <f t="shared" si="22"/>
        <v>Raul JIMENEZ - Mexico</v>
      </c>
      <c r="H712" t="str">
        <f t="shared" si="23"/>
        <v>MEX9</v>
      </c>
      <c r="I712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176" t="s">
        <v>3233</v>
      </c>
      <c r="G713" s="148" t="str">
        <f t="shared" si="22"/>
        <v>Alexis VEGA - Mexico</v>
      </c>
      <c r="H713" t="str">
        <f t="shared" si="23"/>
        <v>MEX10</v>
      </c>
      <c r="I713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176" t="s">
        <v>3233</v>
      </c>
      <c r="G714" s="148" t="str">
        <f t="shared" si="22"/>
        <v>Santiago GIMENEZ - Mexico</v>
      </c>
      <c r="H714" t="str">
        <f t="shared" si="23"/>
        <v>MEX11</v>
      </c>
      <c r="I714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176" t="s">
        <v>3233</v>
      </c>
      <c r="G715" s="148" t="str">
        <f t="shared" si="22"/>
        <v>Carlos ACEVEDO - Mexico</v>
      </c>
      <c r="H715" t="str">
        <f t="shared" si="23"/>
        <v>MEX12</v>
      </c>
      <c r="I715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176" t="s">
        <v>3233</v>
      </c>
      <c r="G716" s="148" t="str">
        <f t="shared" si="22"/>
        <v>Guillermo OCHOA - Mexico</v>
      </c>
      <c r="H716" t="str">
        <f t="shared" si="23"/>
        <v>MEX13</v>
      </c>
      <c r="I716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176" t="s">
        <v>3233</v>
      </c>
      <c r="G717" s="148" t="str">
        <f t="shared" si="22"/>
        <v>Armando GONZALEZ - Mexico</v>
      </c>
      <c r="H717" t="str">
        <f t="shared" si="23"/>
        <v>MEX14</v>
      </c>
      <c r="I717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176" t="s">
        <v>3233</v>
      </c>
      <c r="G718" s="148" t="str">
        <f t="shared" si="22"/>
        <v>Israel REYES - Mexico</v>
      </c>
      <c r="H718" t="str">
        <f t="shared" si="23"/>
        <v>MEX15</v>
      </c>
      <c r="I718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176" t="s">
        <v>3233</v>
      </c>
      <c r="G719" s="148" t="str">
        <f t="shared" si="22"/>
        <v>Julian QUINONES - Mexico</v>
      </c>
      <c r="H719" t="str">
        <f t="shared" si="23"/>
        <v>MEX16</v>
      </c>
      <c r="I719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176" t="s">
        <v>3233</v>
      </c>
      <c r="G720" s="148" t="str">
        <f t="shared" si="22"/>
        <v>Orbelin PINEDA - Mexico</v>
      </c>
      <c r="H720" t="str">
        <f t="shared" si="23"/>
        <v>MEX17</v>
      </c>
      <c r="I720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176" t="s">
        <v>3233</v>
      </c>
      <c r="G721" s="148" t="str">
        <f t="shared" si="22"/>
        <v>Obed VARGAS - Mexico</v>
      </c>
      <c r="H721" t="str">
        <f t="shared" si="23"/>
        <v>MEX18</v>
      </c>
      <c r="I72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176" t="s">
        <v>3233</v>
      </c>
      <c r="G722" s="148" t="str">
        <f t="shared" si="22"/>
        <v>Gilberto MORA - Mexico</v>
      </c>
      <c r="H722" t="str">
        <f t="shared" si="23"/>
        <v>MEX19</v>
      </c>
      <c r="I722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176" t="s">
        <v>3233</v>
      </c>
      <c r="G723" s="148" t="str">
        <f t="shared" si="22"/>
        <v>Mateo CHAVEZ - Mexico</v>
      </c>
      <c r="H723" t="str">
        <f t="shared" si="23"/>
        <v>MEX20</v>
      </c>
      <c r="I723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176" t="s">
        <v>3233</v>
      </c>
      <c r="G724" s="148" t="str">
        <f t="shared" si="22"/>
        <v>Cesar HUERTA - Mexico</v>
      </c>
      <c r="H724" t="str">
        <f t="shared" si="23"/>
        <v>MEX21</v>
      </c>
      <c r="I724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176" t="s">
        <v>3233</v>
      </c>
      <c r="G725" s="148" t="str">
        <f t="shared" si="22"/>
        <v>Guillermo MARTINEZ - Mexico</v>
      </c>
      <c r="H725" t="str">
        <f t="shared" si="23"/>
        <v>MEX22</v>
      </c>
      <c r="I725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176" t="s">
        <v>3233</v>
      </c>
      <c r="G726" s="148" t="str">
        <f t="shared" si="22"/>
        <v>Jesus GALLARDO - Mexico</v>
      </c>
      <c r="H726" t="str">
        <f t="shared" si="23"/>
        <v>MEX23</v>
      </c>
      <c r="I726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176" t="s">
        <v>3233</v>
      </c>
      <c r="G727" s="148" t="str">
        <f t="shared" si="22"/>
        <v>Luis CHAVEZ - Mexico</v>
      </c>
      <c r="H727" t="str">
        <f t="shared" si="23"/>
        <v>MEX24</v>
      </c>
      <c r="I727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176" t="s">
        <v>3233</v>
      </c>
      <c r="G728" s="148" t="str">
        <f t="shared" si="22"/>
        <v>Roberto ALVARADO - Mexico</v>
      </c>
      <c r="H728" t="str">
        <f t="shared" si="23"/>
        <v>MEX25</v>
      </c>
      <c r="I728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176" t="s">
        <v>3233</v>
      </c>
      <c r="G729" s="148" t="str">
        <f t="shared" si="22"/>
        <v>Brian GUTIERREZ - Mexico</v>
      </c>
      <c r="H729" t="str">
        <f t="shared" si="23"/>
        <v>MEX26</v>
      </c>
      <c r="I729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177" t="s">
        <v>3260</v>
      </c>
      <c r="G730" s="148" t="str">
        <f t="shared" si="22"/>
        <v>Yassine BOUNOU - Morocco</v>
      </c>
      <c r="H730" t="str">
        <f t="shared" si="23"/>
        <v>MAR1</v>
      </c>
      <c r="I730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177" t="s">
        <v>3260</v>
      </c>
      <c r="G731" s="148" t="str">
        <f t="shared" si="22"/>
        <v>Achraf HAKIMI - Morocco</v>
      </c>
      <c r="H731" t="str">
        <f t="shared" si="23"/>
        <v>MAR2</v>
      </c>
      <c r="I731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177" t="s">
        <v>3260</v>
      </c>
      <c r="G732" s="148" t="str">
        <f t="shared" si="22"/>
        <v>Noussair MAZRAOUI - Morocco</v>
      </c>
      <c r="H732" t="str">
        <f t="shared" si="23"/>
        <v>MAR3</v>
      </c>
      <c r="I732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177" t="s">
        <v>3260</v>
      </c>
      <c r="G733" s="148" t="str">
        <f t="shared" si="22"/>
        <v>Sofyan AMRABAT - Morocco</v>
      </c>
      <c r="H733" t="str">
        <f t="shared" si="23"/>
        <v>MAR4</v>
      </c>
      <c r="I73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177" t="s">
        <v>3260</v>
      </c>
      <c r="G734" s="148" t="str">
        <f t="shared" si="22"/>
        <v>Marwane SAADANE - Morocco</v>
      </c>
      <c r="H734" t="str">
        <f t="shared" si="23"/>
        <v>MAR5</v>
      </c>
      <c r="I734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177" t="s">
        <v>3260</v>
      </c>
      <c r="G735" s="148" t="str">
        <f t="shared" si="22"/>
        <v>Ayyoub BOUADDI - Morocco</v>
      </c>
      <c r="H735" t="str">
        <f t="shared" si="23"/>
        <v>MAR6</v>
      </c>
      <c r="I735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177" t="s">
        <v>3260</v>
      </c>
      <c r="G736" s="148" t="str">
        <f t="shared" si="22"/>
        <v>Chemsdine TALBI - Morocco</v>
      </c>
      <c r="H736" t="str">
        <f t="shared" si="23"/>
        <v>MAR7</v>
      </c>
      <c r="I736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177" t="s">
        <v>3260</v>
      </c>
      <c r="G737" s="148" t="str">
        <f t="shared" si="22"/>
        <v>Azzedine OUNAHI - Morocco</v>
      </c>
      <c r="H737" t="str">
        <f t="shared" si="23"/>
        <v>MAR8</v>
      </c>
      <c r="I737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177" t="s">
        <v>3260</v>
      </c>
      <c r="G738" s="148" t="str">
        <f t="shared" si="22"/>
        <v>Souane RAHIMI - Morocco</v>
      </c>
      <c r="H738" t="str">
        <f t="shared" si="23"/>
        <v>MAR9</v>
      </c>
      <c r="I738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177" t="s">
        <v>3260</v>
      </c>
      <c r="G739" s="148" t="str">
        <f t="shared" si="22"/>
        <v>Brahim DIAZ - Morocco</v>
      </c>
      <c r="H739" t="str">
        <f t="shared" si="23"/>
        <v>MAR10</v>
      </c>
      <c r="I739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177" t="s">
        <v>3260</v>
      </c>
      <c r="G740" s="148" t="str">
        <f t="shared" si="22"/>
        <v>Ismael SAIBARI - Morocco</v>
      </c>
      <c r="H740" t="str">
        <f t="shared" si="23"/>
        <v>MAR11</v>
      </c>
      <c r="I740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177" t="s">
        <v>3260</v>
      </c>
      <c r="G741" s="148" t="str">
        <f t="shared" si="22"/>
        <v>Munir EL KAJOUI - Morocco</v>
      </c>
      <c r="H741" t="str">
        <f t="shared" si="23"/>
        <v>MAR12</v>
      </c>
      <c r="I741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177" t="s">
        <v>3260</v>
      </c>
      <c r="G742" s="148" t="str">
        <f t="shared" si="22"/>
        <v>Zakaria EL OUAHDI - Morocco</v>
      </c>
      <c r="H742" t="str">
        <f t="shared" si="23"/>
        <v>MAR13</v>
      </c>
      <c r="I742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177" t="s">
        <v>3260</v>
      </c>
      <c r="G743" s="148" t="str">
        <f t="shared" si="22"/>
        <v>Issa DIOP - Morocco</v>
      </c>
      <c r="H743" t="str">
        <f t="shared" si="23"/>
        <v>MAR14</v>
      </c>
      <c r="I74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177" t="s">
        <v>3260</v>
      </c>
      <c r="G744" s="148" t="str">
        <f t="shared" si="22"/>
        <v>Samir EL MOURABET - Morocco</v>
      </c>
      <c r="H744" t="str">
        <f t="shared" si="23"/>
        <v>MAR15</v>
      </c>
      <c r="I744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177" t="s">
        <v>3260</v>
      </c>
      <c r="G745" s="148" t="str">
        <f t="shared" si="22"/>
        <v>Gessime YASSINE - Morocco</v>
      </c>
      <c r="H745" t="str">
        <f t="shared" si="23"/>
        <v>MAR16</v>
      </c>
      <c r="I745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177" t="s">
        <v>3260</v>
      </c>
      <c r="G746" s="148" t="str">
        <f t="shared" si="22"/>
        <v>Amine SBAI - Morocco</v>
      </c>
      <c r="H746" t="str">
        <f t="shared" si="23"/>
        <v>MAR17</v>
      </c>
      <c r="I746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177" t="s">
        <v>3260</v>
      </c>
      <c r="G747" s="148" t="str">
        <f t="shared" si="22"/>
        <v>Chadi RIAD - Morocco</v>
      </c>
      <c r="H747" t="str">
        <f t="shared" si="23"/>
        <v>MAR18</v>
      </c>
      <c r="I747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177" t="s">
        <v>3260</v>
      </c>
      <c r="G748" s="148" t="str">
        <f t="shared" si="22"/>
        <v>Youssef BELAMMARI - Morocco</v>
      </c>
      <c r="H748" t="str">
        <f t="shared" si="23"/>
        <v>MAR19</v>
      </c>
      <c r="I748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177" t="s">
        <v>3260</v>
      </c>
      <c r="G749" s="148" t="str">
        <f t="shared" si="22"/>
        <v>Ayoub EL KAABI - Morocco</v>
      </c>
      <c r="H749" t="str">
        <f t="shared" si="23"/>
        <v>MAR20</v>
      </c>
      <c r="I749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177" t="s">
        <v>3260</v>
      </c>
      <c r="G750" s="148" t="str">
        <f t="shared" si="22"/>
        <v>Ayoub AMAIMOUNI - Morocco</v>
      </c>
      <c r="H750" t="str">
        <f t="shared" si="23"/>
        <v>MAR21</v>
      </c>
      <c r="I750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177" t="s">
        <v>3260</v>
      </c>
      <c r="G751" s="148" t="str">
        <f t="shared" si="22"/>
        <v>Ahmed Reda TAGNAOUTI - Morocco</v>
      </c>
      <c r="H751" t="str">
        <f t="shared" si="23"/>
        <v>MAR22</v>
      </c>
      <c r="I751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177" t="s">
        <v>3260</v>
      </c>
      <c r="G752" s="148" t="str">
        <f t="shared" si="22"/>
        <v>Bilal EL KHANNOUSS - Morocco</v>
      </c>
      <c r="H752" t="str">
        <f t="shared" si="23"/>
        <v>MAR23</v>
      </c>
      <c r="I752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177" t="s">
        <v>3260</v>
      </c>
      <c r="G753" s="148" t="str">
        <f t="shared" si="22"/>
        <v>Neil EL AYNAOUI - Morocco</v>
      </c>
      <c r="H753" t="str">
        <f t="shared" si="23"/>
        <v>MAR24</v>
      </c>
      <c r="I75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177" t="s">
        <v>3260</v>
      </c>
      <c r="G754" s="148" t="str">
        <f t="shared" si="22"/>
        <v>Redouane HALHAL - Morocco</v>
      </c>
      <c r="H754" t="str">
        <f t="shared" si="23"/>
        <v>MAR25</v>
      </c>
      <c r="I754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177" t="s">
        <v>3260</v>
      </c>
      <c r="G755" s="148" t="str">
        <f t="shared" si="22"/>
        <v>Anass SALAH EDDINE - Morocco</v>
      </c>
      <c r="H755" t="str">
        <f t="shared" si="23"/>
        <v>MAR26</v>
      </c>
      <c r="I755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178" t="s">
        <v>3285</v>
      </c>
      <c r="G756" s="148" t="str">
        <f t="shared" si="22"/>
        <v>Bart VERBRUGGEN - Netherlands</v>
      </c>
      <c r="H756" t="str">
        <f t="shared" si="23"/>
        <v>NLD1</v>
      </c>
      <c r="I756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150" t="s">
        <v>3285</v>
      </c>
      <c r="G757" s="148" t="str">
        <f t="shared" si="22"/>
        <v>Lutsharel GEERTRUIDA - Netherlands</v>
      </c>
      <c r="H757" t="str">
        <f t="shared" si="23"/>
        <v>NLD2</v>
      </c>
      <c r="I757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178" t="s">
        <v>3285</v>
      </c>
      <c r="G758" s="148" t="str">
        <f t="shared" si="22"/>
        <v>Marten DE ROON - Netherlands</v>
      </c>
      <c r="H758" t="str">
        <f t="shared" si="23"/>
        <v>NLD3</v>
      </c>
      <c r="I758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178" t="s">
        <v>3285</v>
      </c>
      <c r="G759" s="148" t="str">
        <f t="shared" si="22"/>
        <v>Virgil VAN DIJK - Netherlands</v>
      </c>
      <c r="H759" t="str">
        <f t="shared" si="23"/>
        <v>NLD4</v>
      </c>
      <c r="I759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178" t="s">
        <v>3285</v>
      </c>
      <c r="G760" s="148" t="str">
        <f t="shared" si="22"/>
        <v>Nathan AKE - Netherlands</v>
      </c>
      <c r="H760" t="str">
        <f t="shared" si="23"/>
        <v>NLD5</v>
      </c>
      <c r="I760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178" t="s">
        <v>3285</v>
      </c>
      <c r="G761" s="148" t="str">
        <f t="shared" si="22"/>
        <v>Jan Paul VAN HECKE - Netherlands</v>
      </c>
      <c r="H761" t="str">
        <f t="shared" si="23"/>
        <v>NLD6</v>
      </c>
      <c r="I761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178" t="s">
        <v>3285</v>
      </c>
      <c r="G762" s="148" t="str">
        <f t="shared" si="22"/>
        <v>Justin KLUIVERT - Netherlands</v>
      </c>
      <c r="H762" t="str">
        <f t="shared" si="23"/>
        <v>NLD7</v>
      </c>
      <c r="I762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178" t="s">
        <v>3285</v>
      </c>
      <c r="G763" s="148" t="str">
        <f t="shared" si="22"/>
        <v>Ryan GRAVENBERCH - Netherlands</v>
      </c>
      <c r="H763" t="str">
        <f t="shared" si="23"/>
        <v>NLD8</v>
      </c>
      <c r="I763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178" t="s">
        <v>3285</v>
      </c>
      <c r="G764" s="148" t="str">
        <f t="shared" si="22"/>
        <v>Wout WEGHORST - Netherlands</v>
      </c>
      <c r="H764" t="str">
        <f t="shared" si="23"/>
        <v>NLD9</v>
      </c>
      <c r="I764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178" t="s">
        <v>3285</v>
      </c>
      <c r="G765" s="148" t="str">
        <f t="shared" si="22"/>
        <v>Memphis DEPAY - Netherlands</v>
      </c>
      <c r="H765" t="str">
        <f t="shared" si="23"/>
        <v>NLD10</v>
      </c>
      <c r="I76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178" t="s">
        <v>3285</v>
      </c>
      <c r="G766" s="148" t="str">
        <f t="shared" si="22"/>
        <v>Cody GAKPO - Netherlands</v>
      </c>
      <c r="H766" t="str">
        <f t="shared" si="23"/>
        <v>NLD11</v>
      </c>
      <c r="I766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178" t="s">
        <v>3285</v>
      </c>
      <c r="G767" s="148" t="str">
        <f t="shared" si="22"/>
        <v>Mats WIEFFER - Netherlands</v>
      </c>
      <c r="H767" t="str">
        <f t="shared" si="23"/>
        <v>NLD12</v>
      </c>
      <c r="I767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178" t="s">
        <v>3285</v>
      </c>
      <c r="G768" s="148" t="str">
        <f t="shared" si="22"/>
        <v>Robin ROEFS - Netherlands</v>
      </c>
      <c r="H768" t="str">
        <f t="shared" si="23"/>
        <v>NLD13</v>
      </c>
      <c r="I768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178" t="s">
        <v>3285</v>
      </c>
      <c r="G769" s="148" t="str">
        <f t="shared" si="22"/>
        <v>Tijjani REIJNDERS - Netherlands</v>
      </c>
      <c r="H769" t="str">
        <f t="shared" si="23"/>
        <v>NLD14</v>
      </c>
      <c r="I769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178" t="s">
        <v>3285</v>
      </c>
      <c r="G770" s="148" t="str">
        <f t="shared" si="22"/>
        <v>Micky VAN DE VEN - Netherlands</v>
      </c>
      <c r="H770" t="str">
        <f t="shared" si="23"/>
        <v>NLD15</v>
      </c>
      <c r="I770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178" t="s">
        <v>3285</v>
      </c>
      <c r="G771" s="148" t="str">
        <f t="shared" ref="G771:G834" si="24">_xlfn.CONCAT(C771, " ",D771, " - ",F771)</f>
        <v>Guus TIL - Netherlands</v>
      </c>
      <c r="H771" t="str">
        <f t="shared" ref="H771:H834" si="25">_xlfn.CONCAT(E771,A771)</f>
        <v>NLD16</v>
      </c>
      <c r="I771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178" t="s">
        <v>3285</v>
      </c>
      <c r="G772" s="148" t="str">
        <f t="shared" si="24"/>
        <v>Noa LANG - Netherlands</v>
      </c>
      <c r="H772" t="str">
        <f t="shared" si="25"/>
        <v>NLD17</v>
      </c>
      <c r="I772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178" t="s">
        <v>3285</v>
      </c>
      <c r="G773" s="148" t="str">
        <f t="shared" si="24"/>
        <v>Donyell MALEN - Netherlands</v>
      </c>
      <c r="H773" t="str">
        <f t="shared" si="25"/>
        <v>NLD18</v>
      </c>
      <c r="I773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178" t="s">
        <v>3285</v>
      </c>
      <c r="G774" s="148" t="str">
        <f t="shared" si="24"/>
        <v>Brian BROBBEY - Netherlands</v>
      </c>
      <c r="H774" t="str">
        <f t="shared" si="25"/>
        <v>NLD19</v>
      </c>
      <c r="I774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178" t="s">
        <v>3285</v>
      </c>
      <c r="G775" s="148" t="str">
        <f t="shared" si="24"/>
        <v>Teun KOOPMEINERS - Netherlands</v>
      </c>
      <c r="H775" t="str">
        <f t="shared" si="25"/>
        <v>NLD20</v>
      </c>
      <c r="I77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178" t="s">
        <v>3285</v>
      </c>
      <c r="G776" s="148" t="str">
        <f t="shared" si="24"/>
        <v>Frenkie DE JONG - Netherlands</v>
      </c>
      <c r="H776" t="str">
        <f t="shared" si="25"/>
        <v>NLD21</v>
      </c>
      <c r="I776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178" t="s">
        <v>3285</v>
      </c>
      <c r="G777" s="148" t="str">
        <f t="shared" si="24"/>
        <v>Denzel DUMFRIES - Netherlands</v>
      </c>
      <c r="H777" t="str">
        <f t="shared" si="25"/>
        <v>NLD22</v>
      </c>
      <c r="I777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178" t="s">
        <v>3285</v>
      </c>
      <c r="G778" s="148" t="str">
        <f t="shared" si="24"/>
        <v>Mark FLEKKEN - Netherlands</v>
      </c>
      <c r="H778" t="str">
        <f t="shared" si="25"/>
        <v>NLD23</v>
      </c>
      <c r="I778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178" t="s">
        <v>3285</v>
      </c>
      <c r="G779" s="148" t="str">
        <f t="shared" si="24"/>
        <v>Crysencio SUMMERVILLE - Netherlands</v>
      </c>
      <c r="H779" t="str">
        <f t="shared" si="25"/>
        <v>NLD24</v>
      </c>
      <c r="I779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178" t="s">
        <v>3285</v>
      </c>
      <c r="G780" s="148" t="str">
        <f t="shared" si="24"/>
        <v>Jorrel HATO - Netherlands</v>
      </c>
      <c r="H780" t="str">
        <f t="shared" si="25"/>
        <v>NLD25</v>
      </c>
      <c r="I780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178" t="s">
        <v>3285</v>
      </c>
      <c r="G781" s="148" t="str">
        <f t="shared" si="24"/>
        <v>Quinten TIMBER - Netherlands</v>
      </c>
      <c r="H781" t="str">
        <f t="shared" si="25"/>
        <v>NLD26</v>
      </c>
      <c r="I781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179" t="s">
        <v>3312</v>
      </c>
      <c r="G782" s="148" t="str">
        <f t="shared" si="24"/>
        <v>Max CROCOMBE - New Zealand</v>
      </c>
      <c r="H782" t="str">
        <f t="shared" si="25"/>
        <v>NZL1</v>
      </c>
      <c r="I782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179" t="s">
        <v>3312</v>
      </c>
      <c r="G783" s="148" t="str">
        <f t="shared" si="24"/>
        <v>Tim PAYNE - New Zealand</v>
      </c>
      <c r="H783" t="str">
        <f t="shared" si="25"/>
        <v>NZL2</v>
      </c>
      <c r="I783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179" t="s">
        <v>3312</v>
      </c>
      <c r="G784" s="148" t="str">
        <f t="shared" si="24"/>
        <v>Francis DE VRIES - New Zealand</v>
      </c>
      <c r="H784" t="str">
        <f t="shared" si="25"/>
        <v>NZL3</v>
      </c>
      <c r="I784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179" t="s">
        <v>3312</v>
      </c>
      <c r="G785" s="148" t="str">
        <f t="shared" si="24"/>
        <v>Tyler BINDON - New Zealand</v>
      </c>
      <c r="H785" t="str">
        <f t="shared" si="25"/>
        <v>NZL4</v>
      </c>
      <c r="I785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179" t="s">
        <v>3312</v>
      </c>
      <c r="G786" s="148" t="str">
        <f t="shared" si="24"/>
        <v>Michael BOXALL - New Zealand</v>
      </c>
      <c r="H786" t="str">
        <f t="shared" si="25"/>
        <v>NZL5</v>
      </c>
      <c r="I786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179" t="s">
        <v>3312</v>
      </c>
      <c r="G787" s="148" t="str">
        <f t="shared" si="24"/>
        <v>Joe BELL - New Zealand</v>
      </c>
      <c r="H787" t="str">
        <f t="shared" si="25"/>
        <v>NZL6</v>
      </c>
      <c r="I78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179" t="s">
        <v>3312</v>
      </c>
      <c r="G788" s="148" t="str">
        <f t="shared" si="24"/>
        <v>Logan ROGERSON - New Zealand</v>
      </c>
      <c r="H788" t="str">
        <f t="shared" si="25"/>
        <v>NZL7</v>
      </c>
      <c r="I788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179" t="s">
        <v>3312</v>
      </c>
      <c r="G789" s="148" t="str">
        <f t="shared" si="24"/>
        <v>Marko STAMENIC - New Zealand</v>
      </c>
      <c r="H789" t="str">
        <f t="shared" si="25"/>
        <v>NZL8</v>
      </c>
      <c r="I789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179" t="s">
        <v>3312</v>
      </c>
      <c r="G790" s="148" t="str">
        <f t="shared" si="24"/>
        <v>Chris WOOD - New Zealand</v>
      </c>
      <c r="H790" t="str">
        <f t="shared" si="25"/>
        <v>NZL9</v>
      </c>
      <c r="I790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179" t="s">
        <v>3312</v>
      </c>
      <c r="G791" s="148" t="str">
        <f t="shared" si="24"/>
        <v>Sarpreet SINGH - New Zealand</v>
      </c>
      <c r="H791" t="str">
        <f t="shared" si="25"/>
        <v>NZL10</v>
      </c>
      <c r="I791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179" t="s">
        <v>3312</v>
      </c>
      <c r="G792" s="148" t="str">
        <f t="shared" si="24"/>
        <v>Elijah JUST - New Zealand</v>
      </c>
      <c r="H792" t="str">
        <f t="shared" si="25"/>
        <v>NZL11</v>
      </c>
      <c r="I792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179" t="s">
        <v>3312</v>
      </c>
      <c r="G793" s="148" t="str">
        <f t="shared" si="24"/>
        <v>Alex PAULSEN - New Zealand</v>
      </c>
      <c r="H793" t="str">
        <f t="shared" si="25"/>
        <v>NZL12</v>
      </c>
      <c r="I793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179" t="s">
        <v>3312</v>
      </c>
      <c r="G794" s="148" t="str">
        <f t="shared" si="24"/>
        <v>Liberato CACACE - New Zealand</v>
      </c>
      <c r="H794" t="str">
        <f t="shared" si="25"/>
        <v>NZL13</v>
      </c>
      <c r="I794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179" t="s">
        <v>3312</v>
      </c>
      <c r="G795" s="148" t="str">
        <f t="shared" si="24"/>
        <v>Alex RUFER - New Zealand</v>
      </c>
      <c r="H795" t="str">
        <f t="shared" si="25"/>
        <v>NZL14</v>
      </c>
      <c r="I795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179" t="s">
        <v>3312</v>
      </c>
      <c r="G796" s="148" t="str">
        <f t="shared" si="24"/>
        <v>Nando PIJNAKER - New Zealand</v>
      </c>
      <c r="H796" t="str">
        <f t="shared" si="25"/>
        <v>NZL15</v>
      </c>
      <c r="I796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179" t="s">
        <v>3312</v>
      </c>
      <c r="G797" s="148" t="str">
        <f t="shared" si="24"/>
        <v>Finn SURMAN - New Zealand</v>
      </c>
      <c r="H797" t="str">
        <f t="shared" si="25"/>
        <v>NZL16</v>
      </c>
      <c r="I7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179" t="s">
        <v>3312</v>
      </c>
      <c r="G798" s="148" t="str">
        <f t="shared" si="24"/>
        <v>Kosta BARBAROUSES - New Zealand</v>
      </c>
      <c r="H798" t="str">
        <f t="shared" si="25"/>
        <v>NZL17</v>
      </c>
      <c r="I798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179" t="s">
        <v>3312</v>
      </c>
      <c r="G799" s="148" t="str">
        <f t="shared" si="24"/>
        <v>Ben WAINE - New Zealand</v>
      </c>
      <c r="H799" t="str">
        <f t="shared" si="25"/>
        <v>NZL18</v>
      </c>
      <c r="I799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179" t="s">
        <v>3312</v>
      </c>
      <c r="G800" s="148" t="str">
        <f t="shared" si="24"/>
        <v>Ben OLD - New Zealand</v>
      </c>
      <c r="H800" t="str">
        <f t="shared" si="25"/>
        <v>NZL19</v>
      </c>
      <c r="I800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179" t="s">
        <v>3312</v>
      </c>
      <c r="G801" s="148" t="str">
        <f t="shared" si="24"/>
        <v>Callum McCOWATT - New Zealand</v>
      </c>
      <c r="H801" t="str">
        <f t="shared" si="25"/>
        <v>NZL20</v>
      </c>
      <c r="I801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179" t="s">
        <v>3312</v>
      </c>
      <c r="G802" s="148" t="str">
        <f t="shared" si="24"/>
        <v>Jesse RANDALL - New Zealand</v>
      </c>
      <c r="H802" t="str">
        <f t="shared" si="25"/>
        <v>NZL21</v>
      </c>
      <c r="I802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179" t="s">
        <v>3312</v>
      </c>
      <c r="G803" s="148" t="str">
        <f t="shared" si="24"/>
        <v>Michael WOUD - New Zealand</v>
      </c>
      <c r="H803" t="str">
        <f t="shared" si="25"/>
        <v>NZL22</v>
      </c>
      <c r="I803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179" t="s">
        <v>3312</v>
      </c>
      <c r="G804" s="148" t="str">
        <f t="shared" si="24"/>
        <v>Ryan THOMAS - New Zealand</v>
      </c>
      <c r="H804" t="str">
        <f t="shared" si="25"/>
        <v>NZL23</v>
      </c>
      <c r="I804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179" t="s">
        <v>3312</v>
      </c>
      <c r="G805" s="148" t="str">
        <f t="shared" si="24"/>
        <v>Callan ELLIOT - New Zealand</v>
      </c>
      <c r="H805" t="str">
        <f t="shared" si="25"/>
        <v>NZL24</v>
      </c>
      <c r="I805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179" t="s">
        <v>3312</v>
      </c>
      <c r="G806" s="148" t="str">
        <f t="shared" si="24"/>
        <v>Lachlan BAYLISS - New Zealand</v>
      </c>
      <c r="H806" t="str">
        <f t="shared" si="25"/>
        <v>NZL25</v>
      </c>
      <c r="I806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179" t="s">
        <v>3312</v>
      </c>
      <c r="G807" s="148" t="str">
        <f t="shared" si="24"/>
        <v>Tommy SMITH - New Zealand</v>
      </c>
      <c r="H807" t="str">
        <f t="shared" si="25"/>
        <v>NZL26</v>
      </c>
      <c r="I80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180" t="s">
        <v>3338</v>
      </c>
      <c r="G808" s="148" t="str">
        <f t="shared" si="24"/>
        <v>Orjan NYLAND - Norway</v>
      </c>
      <c r="H808" t="str">
        <f t="shared" si="25"/>
        <v>NOR1</v>
      </c>
      <c r="I808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180" t="s">
        <v>3338</v>
      </c>
      <c r="G809" s="148" t="str">
        <f t="shared" si="24"/>
        <v>Morten THORSBY - Norway</v>
      </c>
      <c r="H809" t="str">
        <f t="shared" si="25"/>
        <v>NOR2</v>
      </c>
      <c r="I80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180" t="s">
        <v>3338</v>
      </c>
      <c r="G810" s="148" t="str">
        <f t="shared" si="24"/>
        <v>Kristoffer AJER - Norway</v>
      </c>
      <c r="H810" t="str">
        <f t="shared" si="25"/>
        <v>NOR3</v>
      </c>
      <c r="I810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180" t="s">
        <v>3338</v>
      </c>
      <c r="G811" s="148" t="str">
        <f t="shared" si="24"/>
        <v>Leo OSTIGARD - Norway</v>
      </c>
      <c r="H811" t="str">
        <f t="shared" si="25"/>
        <v>NOR4</v>
      </c>
      <c r="I811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180" t="s">
        <v>3338</v>
      </c>
      <c r="G812" s="148" t="str">
        <f t="shared" si="24"/>
        <v>David MOLLER WOLFE - Norway</v>
      </c>
      <c r="H812" t="str">
        <f t="shared" si="25"/>
        <v>NOR5</v>
      </c>
      <c r="I812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180" t="s">
        <v>3338</v>
      </c>
      <c r="G813" s="148" t="str">
        <f t="shared" si="24"/>
        <v>Patrick BERG - Norway</v>
      </c>
      <c r="H813" t="str">
        <f t="shared" si="25"/>
        <v>NOR6</v>
      </c>
      <c r="I813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180" t="s">
        <v>3338</v>
      </c>
      <c r="G814" s="148" t="str">
        <f t="shared" si="24"/>
        <v>Alexander SORLOTH - Norway</v>
      </c>
      <c r="H814" t="str">
        <f t="shared" si="25"/>
        <v>NOR7</v>
      </c>
      <c r="I814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180" t="s">
        <v>3338</v>
      </c>
      <c r="G815" s="148" t="str">
        <f t="shared" si="24"/>
        <v>Sander BERGE - Norway</v>
      </c>
      <c r="H815" t="str">
        <f t="shared" si="25"/>
        <v>NOR8</v>
      </c>
      <c r="I815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180" t="s">
        <v>3338</v>
      </c>
      <c r="G816" s="148" t="str">
        <f t="shared" si="24"/>
        <v>Erling HAALAND - Norway</v>
      </c>
      <c r="H816" t="str">
        <f t="shared" si="25"/>
        <v>NOR9</v>
      </c>
      <c r="I816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180" t="s">
        <v>3338</v>
      </c>
      <c r="G817" s="148" t="str">
        <f t="shared" si="24"/>
        <v>Martin ODEGAARD - Norway</v>
      </c>
      <c r="H817" t="str">
        <f t="shared" si="25"/>
        <v>NOR10</v>
      </c>
      <c r="I817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180" t="s">
        <v>3338</v>
      </c>
      <c r="G818" s="148" t="str">
        <f t="shared" si="24"/>
        <v>Jorgen STRAND LARSEN - Norway</v>
      </c>
      <c r="H818" t="str">
        <f t="shared" si="25"/>
        <v>NOR11</v>
      </c>
      <c r="I818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180" t="s">
        <v>3338</v>
      </c>
      <c r="G819" s="148" t="str">
        <f t="shared" si="24"/>
        <v>Sander TANGVIK - Norway</v>
      </c>
      <c r="H819" t="str">
        <f t="shared" si="25"/>
        <v>NOR12</v>
      </c>
      <c r="I81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180" t="s">
        <v>3338</v>
      </c>
      <c r="G820" s="148" t="str">
        <f t="shared" si="24"/>
        <v>Egil SELVIK - Norway</v>
      </c>
      <c r="H820" t="str">
        <f t="shared" si="25"/>
        <v>NOR13</v>
      </c>
      <c r="I820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180" t="s">
        <v>3338</v>
      </c>
      <c r="G821" s="148" t="str">
        <f t="shared" si="24"/>
        <v>Fredrik AURSNES - Norway</v>
      </c>
      <c r="H821" t="str">
        <f t="shared" si="25"/>
        <v>NOR14</v>
      </c>
      <c r="I821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180" t="s">
        <v>3338</v>
      </c>
      <c r="G822" s="148" t="str">
        <f t="shared" si="24"/>
        <v>Fredrik Andre BJORKAN - Norway</v>
      </c>
      <c r="H822" t="str">
        <f t="shared" si="25"/>
        <v>NOR15</v>
      </c>
      <c r="I822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180" t="s">
        <v>3338</v>
      </c>
      <c r="G823" s="148" t="str">
        <f t="shared" si="24"/>
        <v>Marcus Holmgren PEDERSEN - Norway</v>
      </c>
      <c r="H823" t="str">
        <f t="shared" si="25"/>
        <v>NOR16</v>
      </c>
      <c r="I823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180" t="s">
        <v>3338</v>
      </c>
      <c r="G824" s="148" t="str">
        <f t="shared" si="24"/>
        <v>Torbjorn HEGGEM - Norway</v>
      </c>
      <c r="H824" t="str">
        <f t="shared" si="25"/>
        <v>NOR17</v>
      </c>
      <c r="I824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180" t="s">
        <v>3338</v>
      </c>
      <c r="G825" s="148" t="str">
        <f t="shared" si="24"/>
        <v>Kristian THORSTVEDT - Norway</v>
      </c>
      <c r="H825" t="str">
        <f t="shared" si="25"/>
        <v>NOR18</v>
      </c>
      <c r="I825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180" t="s">
        <v>3338</v>
      </c>
      <c r="G826" s="148" t="str">
        <f t="shared" si="24"/>
        <v>Thelo AASGAARD - Norway</v>
      </c>
      <c r="H826" t="str">
        <f t="shared" si="25"/>
        <v>NOR19</v>
      </c>
      <c r="I826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180" t="s">
        <v>3338</v>
      </c>
      <c r="G827" s="148" t="str">
        <f t="shared" si="24"/>
        <v>Antonio NUSA - Norway</v>
      </c>
      <c r="H827" t="str">
        <f t="shared" si="25"/>
        <v>NOR20</v>
      </c>
      <c r="I827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180" t="s">
        <v>3338</v>
      </c>
      <c r="G828" s="148" t="str">
        <f t="shared" si="24"/>
        <v>Andreas SCHJELDERUP - Norway</v>
      </c>
      <c r="H828" t="str">
        <f t="shared" si="25"/>
        <v>NOR21</v>
      </c>
      <c r="I828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180" t="s">
        <v>3338</v>
      </c>
      <c r="G829" s="148" t="str">
        <f t="shared" si="24"/>
        <v>Oscar BOBB - Norway</v>
      </c>
      <c r="H829" t="str">
        <f t="shared" si="25"/>
        <v>NOR22</v>
      </c>
      <c r="I82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180" t="s">
        <v>3338</v>
      </c>
      <c r="G830" s="148" t="str">
        <f t="shared" si="24"/>
        <v>Jens Petter HAUGE - Norway</v>
      </c>
      <c r="H830" t="str">
        <f t="shared" si="25"/>
        <v>NOR23</v>
      </c>
      <c r="I830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180" t="s">
        <v>3338</v>
      </c>
      <c r="G831" s="148" t="str">
        <f t="shared" si="24"/>
        <v>Sondre LANGAS - Norway</v>
      </c>
      <c r="H831" t="str">
        <f t="shared" si="25"/>
        <v>NOR24</v>
      </c>
      <c r="I831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180" t="s">
        <v>3338</v>
      </c>
      <c r="G832" s="148" t="str">
        <f t="shared" si="24"/>
        <v>Henrik FALCHENER - Norway</v>
      </c>
      <c r="H832" t="str">
        <f t="shared" si="25"/>
        <v>NOR25</v>
      </c>
      <c r="I832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180" t="s">
        <v>3338</v>
      </c>
      <c r="G833" s="148" t="str">
        <f t="shared" si="24"/>
        <v>Julian RYERSON - Norway</v>
      </c>
      <c r="H833" t="str">
        <f t="shared" si="25"/>
        <v>NOR26</v>
      </c>
      <c r="I833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81" t="s">
        <v>3365</v>
      </c>
      <c r="G834" s="148" t="str">
        <f t="shared" si="24"/>
        <v>Luis MEJIA - Panama</v>
      </c>
      <c r="H834" t="str">
        <f t="shared" si="25"/>
        <v>PAN1</v>
      </c>
      <c r="I834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81" t="s">
        <v>3365</v>
      </c>
      <c r="G835" s="148" t="str">
        <f t="shared" ref="G835:G898" si="26">_xlfn.CONCAT(C835, " ",D835, " - ",F835)</f>
        <v>Cesar BLACKMAN - Panama</v>
      </c>
      <c r="H835" t="str">
        <f t="shared" ref="H835:H898" si="27">_xlfn.CONCAT(E835,A835)</f>
        <v>PAN2</v>
      </c>
      <c r="I835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81" t="s">
        <v>3365</v>
      </c>
      <c r="G836" s="148" t="str">
        <f t="shared" si="26"/>
        <v>Jose CORDOBA - Panama</v>
      </c>
      <c r="H836" t="str">
        <f t="shared" si="27"/>
        <v>PAN3</v>
      </c>
      <c r="I836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81" t="s">
        <v>3365</v>
      </c>
      <c r="G837" s="148" t="str">
        <f t="shared" si="26"/>
        <v>Fidel ESCOBAR - Panama</v>
      </c>
      <c r="H837" t="str">
        <f t="shared" si="27"/>
        <v>PAN4</v>
      </c>
      <c r="I837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81" t="s">
        <v>3365</v>
      </c>
      <c r="G838" s="148" t="str">
        <f t="shared" si="26"/>
        <v>Edgardo FARINA - Panama</v>
      </c>
      <c r="H838" t="str">
        <f t="shared" si="27"/>
        <v>PAN5</v>
      </c>
      <c r="I838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81" t="s">
        <v>3365</v>
      </c>
      <c r="G839" s="148" t="str">
        <f t="shared" si="26"/>
        <v>Cristian MARTINEZ - Panama</v>
      </c>
      <c r="H839" t="str">
        <f t="shared" si="27"/>
        <v>PAN6</v>
      </c>
      <c r="I839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81" t="s">
        <v>3365</v>
      </c>
      <c r="G840" s="148" t="str">
        <f t="shared" si="26"/>
        <v>Jose Luis RODRIGUEZ - Panama</v>
      </c>
      <c r="H840" t="str">
        <f t="shared" si="27"/>
        <v>PAN7</v>
      </c>
      <c r="I840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81" t="s">
        <v>3365</v>
      </c>
      <c r="G841" s="148" t="str">
        <f t="shared" si="26"/>
        <v>Adalberto CARRASQUILLA - Panama</v>
      </c>
      <c r="H841" t="str">
        <f t="shared" si="27"/>
        <v>PAN8</v>
      </c>
      <c r="I84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81" t="s">
        <v>3365</v>
      </c>
      <c r="G842" s="148" t="str">
        <f t="shared" si="26"/>
        <v>Tomas RODRIGUEZ - Panama</v>
      </c>
      <c r="H842" t="str">
        <f t="shared" si="27"/>
        <v>PAN9</v>
      </c>
      <c r="I842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81" t="s">
        <v>3365</v>
      </c>
      <c r="G843" s="148" t="str">
        <f t="shared" si="26"/>
        <v>Ismael DIAZ - Panama</v>
      </c>
      <c r="H843" t="str">
        <f t="shared" si="27"/>
        <v>PAN10</v>
      </c>
      <c r="I843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81" t="s">
        <v>3365</v>
      </c>
      <c r="G844" s="148" t="str">
        <f t="shared" si="26"/>
        <v>Edgar Yoel BARCENAS - Panama</v>
      </c>
      <c r="H844" t="str">
        <f t="shared" si="27"/>
        <v>PAN11</v>
      </c>
      <c r="I844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81" t="s">
        <v>3365</v>
      </c>
      <c r="G845" s="148" t="str">
        <f t="shared" si="26"/>
        <v>Cesar SAMUDIO - Panama</v>
      </c>
      <c r="H845" t="str">
        <f t="shared" si="27"/>
        <v>PAN12</v>
      </c>
      <c r="I845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81" t="s">
        <v>3365</v>
      </c>
      <c r="G846" s="148" t="str">
        <f t="shared" si="26"/>
        <v>Jiovany RAMOS - Panama</v>
      </c>
      <c r="H846" t="str">
        <f t="shared" si="27"/>
        <v>PAN13</v>
      </c>
      <c r="I846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81" t="s">
        <v>3365</v>
      </c>
      <c r="G847" s="148" t="str">
        <f t="shared" si="26"/>
        <v>Carlos HARVEY - Panama</v>
      </c>
      <c r="H847" t="str">
        <f t="shared" si="27"/>
        <v>PAN14</v>
      </c>
      <c r="I847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81" t="s">
        <v>3365</v>
      </c>
      <c r="G848" s="148" t="str">
        <f t="shared" si="26"/>
        <v>Eric DAVIS - Panama</v>
      </c>
      <c r="H848" t="str">
        <f t="shared" si="27"/>
        <v>PAN15</v>
      </c>
      <c r="I848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81" t="s">
        <v>3365</v>
      </c>
      <c r="G849" s="148" t="str">
        <f t="shared" si="26"/>
        <v>Andres ANDRADE - Panama</v>
      </c>
      <c r="H849" t="str">
        <f t="shared" si="27"/>
        <v>PAN16</v>
      </c>
      <c r="I849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81" t="s">
        <v>3365</v>
      </c>
      <c r="G850" s="148" t="str">
        <f t="shared" si="26"/>
        <v>Jose FAJARDO - Panama</v>
      </c>
      <c r="H850" t="str">
        <f t="shared" si="27"/>
        <v>PAN17</v>
      </c>
      <c r="I850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81" t="s">
        <v>3365</v>
      </c>
      <c r="G851" s="148" t="str">
        <f t="shared" si="26"/>
        <v>Cecilio WATERMAN - Panama</v>
      </c>
      <c r="H851" t="str">
        <f t="shared" si="27"/>
        <v>PAN18</v>
      </c>
      <c r="I85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81" t="s">
        <v>3365</v>
      </c>
      <c r="G852" s="148" t="str">
        <f t="shared" si="26"/>
        <v>Alberto QUINTERO - Panama</v>
      </c>
      <c r="H852" t="str">
        <f t="shared" si="27"/>
        <v>PAN19</v>
      </c>
      <c r="I852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81" t="s">
        <v>3365</v>
      </c>
      <c r="G853" s="148" t="str">
        <f t="shared" si="26"/>
        <v>Anibal GODOY - Panama</v>
      </c>
      <c r="H853" t="str">
        <f t="shared" si="27"/>
        <v>PAN20</v>
      </c>
      <c r="I853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81" t="s">
        <v>3365</v>
      </c>
      <c r="G854" s="148" t="str">
        <f t="shared" si="26"/>
        <v>Cesar YANIS - Panama</v>
      </c>
      <c r="H854" t="str">
        <f t="shared" si="27"/>
        <v>PAN21</v>
      </c>
      <c r="I854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81" t="s">
        <v>3365</v>
      </c>
      <c r="G855" s="148" t="str">
        <f t="shared" si="26"/>
        <v>Orlando MOSQUERA - Panama</v>
      </c>
      <c r="H855" t="str">
        <f t="shared" si="27"/>
        <v>PAN22</v>
      </c>
      <c r="I855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81" t="s">
        <v>3365</v>
      </c>
      <c r="G856" s="148" t="str">
        <f t="shared" si="26"/>
        <v>Amir MURILLO - Panama</v>
      </c>
      <c r="H856" t="str">
        <f t="shared" si="27"/>
        <v>PAN23</v>
      </c>
      <c r="I856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81" t="s">
        <v>3365</v>
      </c>
      <c r="G857" s="148" t="str">
        <f t="shared" si="26"/>
        <v>Azarias LONDONO - Panama</v>
      </c>
      <c r="H857" t="str">
        <f t="shared" si="27"/>
        <v>PAN24</v>
      </c>
      <c r="I857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81" t="s">
        <v>3365</v>
      </c>
      <c r="G858" s="148" t="str">
        <f t="shared" si="26"/>
        <v>Roderick MILLER - Panama</v>
      </c>
      <c r="H858" t="str">
        <f t="shared" si="27"/>
        <v>PAN25</v>
      </c>
      <c r="I858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81" t="s">
        <v>3365</v>
      </c>
      <c r="G859" s="148" t="str">
        <f t="shared" si="26"/>
        <v>Jorge GUTIERREZ - Panama</v>
      </c>
      <c r="H859" t="str">
        <f t="shared" si="27"/>
        <v>PAN26</v>
      </c>
      <c r="I859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82" t="s">
        <v>3392</v>
      </c>
      <c r="G860" s="148" t="str">
        <f t="shared" si="26"/>
        <v>Gatito FERNANDEZ - Paraguay</v>
      </c>
      <c r="H860" t="str">
        <f t="shared" si="27"/>
        <v>PRY1</v>
      </c>
      <c r="I860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82" t="s">
        <v>3392</v>
      </c>
      <c r="G861" s="148" t="str">
        <f t="shared" si="26"/>
        <v>Gustavo VELAZQUEZ - Paraguay</v>
      </c>
      <c r="H861" t="str">
        <f t="shared" si="27"/>
        <v>PRY2</v>
      </c>
      <c r="I861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82" t="s">
        <v>3392</v>
      </c>
      <c r="G862" s="148" t="str">
        <f t="shared" si="26"/>
        <v>Omar ALDERETE - Paraguay</v>
      </c>
      <c r="H862" t="str">
        <f t="shared" si="27"/>
        <v>PRY3</v>
      </c>
      <c r="I862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82" t="s">
        <v>3392</v>
      </c>
      <c r="G863" s="148" t="str">
        <f t="shared" si="26"/>
        <v>Juan Jose CACERES - Paraguay</v>
      </c>
      <c r="H863" t="str">
        <f t="shared" si="27"/>
        <v>PRY4</v>
      </c>
      <c r="I86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82" t="s">
        <v>3392</v>
      </c>
      <c r="G864" s="148" t="str">
        <f t="shared" si="26"/>
        <v>Fabian BALBUENA - Paraguay</v>
      </c>
      <c r="H864" t="str">
        <f t="shared" si="27"/>
        <v>PRY5</v>
      </c>
      <c r="I864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82" t="s">
        <v>3392</v>
      </c>
      <c r="G865" s="148" t="str">
        <f t="shared" si="26"/>
        <v>Junior ALONSO - Paraguay</v>
      </c>
      <c r="H865" t="str">
        <f t="shared" si="27"/>
        <v>PRY6</v>
      </c>
      <c r="I865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82" t="s">
        <v>3392</v>
      </c>
      <c r="G866" s="148" t="str">
        <f t="shared" si="26"/>
        <v>Ramon SOSA - Paraguay</v>
      </c>
      <c r="H866" t="str">
        <f t="shared" si="27"/>
        <v>PRY7</v>
      </c>
      <c r="I866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82" t="s">
        <v>3392</v>
      </c>
      <c r="G867" s="148" t="str">
        <f t="shared" si="26"/>
        <v>Diego GOMEZ - Paraguay</v>
      </c>
      <c r="H867" t="str">
        <f t="shared" si="27"/>
        <v>PRY8</v>
      </c>
      <c r="I867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82" t="s">
        <v>3392</v>
      </c>
      <c r="G868" s="148" t="str">
        <f t="shared" si="26"/>
        <v>Antonio SANABRIA - Paraguay</v>
      </c>
      <c r="H868" t="str">
        <f t="shared" si="27"/>
        <v>PRY9</v>
      </c>
      <c r="I868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82" t="s">
        <v>3392</v>
      </c>
      <c r="G869" s="148" t="str">
        <f t="shared" si="26"/>
        <v>Miguel ALMIRON - Paraguay</v>
      </c>
      <c r="H869" t="str">
        <f t="shared" si="27"/>
        <v>PRY10</v>
      </c>
      <c r="I869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82" t="s">
        <v>3392</v>
      </c>
      <c r="G870" s="148" t="str">
        <f t="shared" si="26"/>
        <v>Mauricio MAURICIO - Paraguay</v>
      </c>
      <c r="H870" t="str">
        <f t="shared" si="27"/>
        <v>PRY11</v>
      </c>
      <c r="I870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82" t="s">
        <v>3392</v>
      </c>
      <c r="G871" s="148" t="str">
        <f t="shared" si="26"/>
        <v>Orlando GILL - Paraguay</v>
      </c>
      <c r="H871" t="str">
        <f t="shared" si="27"/>
        <v>PRY12</v>
      </c>
      <c r="I871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82" t="s">
        <v>3392</v>
      </c>
      <c r="G872" s="148" t="str">
        <f t="shared" si="26"/>
        <v>Jose CANALE - Paraguay</v>
      </c>
      <c r="H872" t="str">
        <f t="shared" si="27"/>
        <v>PRY13</v>
      </c>
      <c r="I872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82" t="s">
        <v>3392</v>
      </c>
      <c r="G873" s="148" t="str">
        <f t="shared" si="26"/>
        <v>Andres CUBAS - Paraguay</v>
      </c>
      <c r="H873" t="str">
        <f t="shared" si="27"/>
        <v>PRY14</v>
      </c>
      <c r="I87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82" t="s">
        <v>3392</v>
      </c>
      <c r="G874" s="148" t="str">
        <f t="shared" si="26"/>
        <v>Gustavo GOMEZ - Paraguay</v>
      </c>
      <c r="H874" t="str">
        <f t="shared" si="27"/>
        <v>PRY15</v>
      </c>
      <c r="I874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82" t="s">
        <v>3392</v>
      </c>
      <c r="G875" s="148" t="str">
        <f t="shared" si="26"/>
        <v>Damian BOBADILLA - Paraguay</v>
      </c>
      <c r="H875" t="str">
        <f t="shared" si="27"/>
        <v>PRY16</v>
      </c>
      <c r="I875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82" t="s">
        <v>3392</v>
      </c>
      <c r="G876" s="148" t="str">
        <f t="shared" si="26"/>
        <v>Alejandro ROMERO GAMARRA - Paraguay</v>
      </c>
      <c r="H876" t="str">
        <f t="shared" si="27"/>
        <v>PRY17</v>
      </c>
      <c r="I876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82" t="s">
        <v>3392</v>
      </c>
      <c r="G877" s="148" t="str">
        <f t="shared" si="26"/>
        <v>Alex ARCE - Paraguay</v>
      </c>
      <c r="H877" t="str">
        <f t="shared" si="27"/>
        <v>PRY18</v>
      </c>
      <c r="I877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82" t="s">
        <v>3392</v>
      </c>
      <c r="G878" s="148" t="str">
        <f t="shared" si="26"/>
        <v>Julio ENCISO - Paraguay</v>
      </c>
      <c r="H878" t="str">
        <f t="shared" si="27"/>
        <v>PRY19</v>
      </c>
      <c r="I878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82" t="s">
        <v>3392</v>
      </c>
      <c r="G879" s="148" t="str">
        <f t="shared" si="26"/>
        <v>Braian OJEDA - Paraguay</v>
      </c>
      <c r="H879" t="str">
        <f t="shared" si="27"/>
        <v>PRY20</v>
      </c>
      <c r="I879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82" t="s">
        <v>3392</v>
      </c>
      <c r="G880" s="148" t="str">
        <f t="shared" si="26"/>
        <v>Gabriel AVALOS - Paraguay</v>
      </c>
      <c r="H880" t="str">
        <f t="shared" si="27"/>
        <v>PRY21</v>
      </c>
      <c r="I880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82" t="s">
        <v>3392</v>
      </c>
      <c r="G881" s="148" t="str">
        <f t="shared" si="26"/>
        <v>Gaston OLVEIRA - Paraguay</v>
      </c>
      <c r="H881" t="str">
        <f t="shared" si="27"/>
        <v>PRY22</v>
      </c>
      <c r="I881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82" t="s">
        <v>3392</v>
      </c>
      <c r="G882" s="148" t="str">
        <f t="shared" si="26"/>
        <v>Matias GALARZA - Paraguay</v>
      </c>
      <c r="H882" t="str">
        <f t="shared" si="27"/>
        <v>PRY23</v>
      </c>
      <c r="I882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82" t="s">
        <v>3392</v>
      </c>
      <c r="G883" s="148" t="str">
        <f t="shared" si="26"/>
        <v>Gustavo CABALLERO - Paraguay</v>
      </c>
      <c r="H883" t="str">
        <f t="shared" si="27"/>
        <v>PRY24</v>
      </c>
      <c r="I88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82" t="s">
        <v>3392</v>
      </c>
      <c r="G884" s="148" t="str">
        <f t="shared" si="26"/>
        <v>Isidro PITTA - Paraguay</v>
      </c>
      <c r="H884" t="str">
        <f t="shared" si="27"/>
        <v>PRY25</v>
      </c>
      <c r="I884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82" t="s">
        <v>3392</v>
      </c>
      <c r="G885" s="148" t="str">
        <f t="shared" si="26"/>
        <v>Alexandro MAIDANA - Paraguay</v>
      </c>
      <c r="H885" t="str">
        <f t="shared" si="27"/>
        <v>PRY26</v>
      </c>
      <c r="I885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83" t="s">
        <v>3419</v>
      </c>
      <c r="G886" s="148" t="str">
        <f t="shared" si="26"/>
        <v>Diogo COSTA - Portugal</v>
      </c>
      <c r="H886" t="str">
        <f t="shared" si="27"/>
        <v>PRT1</v>
      </c>
      <c r="I886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83" t="s">
        <v>3419</v>
      </c>
      <c r="G887" s="148" t="str">
        <f t="shared" si="26"/>
        <v>Nelson SEMEDO - Portugal</v>
      </c>
      <c r="H887" t="str">
        <f t="shared" si="27"/>
        <v>PRT2</v>
      </c>
      <c r="I887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83" t="s">
        <v>3419</v>
      </c>
      <c r="G888" s="148" t="str">
        <f t="shared" si="26"/>
        <v>Ruben DIAS - Portugal</v>
      </c>
      <c r="H888" t="str">
        <f t="shared" si="27"/>
        <v>PRT3</v>
      </c>
      <c r="I888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83" t="s">
        <v>3419</v>
      </c>
      <c r="G889" s="148" t="str">
        <f t="shared" si="26"/>
        <v>Tomas ARAUJO - Portugal</v>
      </c>
      <c r="H889" t="str">
        <f t="shared" si="27"/>
        <v>PRT4</v>
      </c>
      <c r="I889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83" t="s">
        <v>3419</v>
      </c>
      <c r="G890" s="148" t="str">
        <f t="shared" si="26"/>
        <v>Diogo DALOT - Portugal</v>
      </c>
      <c r="H890" t="str">
        <f t="shared" si="27"/>
        <v>PRT5</v>
      </c>
      <c r="I890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83" t="s">
        <v>3419</v>
      </c>
      <c r="G891" s="148" t="str">
        <f t="shared" si="26"/>
        <v>Matheus NUNES - Portugal</v>
      </c>
      <c r="H891" t="str">
        <f t="shared" si="27"/>
        <v>PRT6</v>
      </c>
      <c r="I891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83" t="s">
        <v>3419</v>
      </c>
      <c r="G892" s="148" t="str">
        <f t="shared" si="26"/>
        <v>Cristiano RONALDO - Portugal</v>
      </c>
      <c r="H892" t="str">
        <f t="shared" si="27"/>
        <v>PRT7</v>
      </c>
      <c r="I892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83" t="s">
        <v>3419</v>
      </c>
      <c r="G893" s="148" t="str">
        <f t="shared" si="26"/>
        <v>Bruno FERNANDES - Portugal</v>
      </c>
      <c r="H893" t="str">
        <f t="shared" si="27"/>
        <v>PRT8</v>
      </c>
      <c r="I893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83" t="s">
        <v>3419</v>
      </c>
      <c r="G894" s="148" t="str">
        <f t="shared" si="26"/>
        <v>Goncalo RAMOS - Portugal</v>
      </c>
      <c r="H894" t="str">
        <f t="shared" si="27"/>
        <v>PRT9</v>
      </c>
      <c r="I894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83" t="s">
        <v>3419</v>
      </c>
      <c r="G895" s="148" t="str">
        <f t="shared" si="26"/>
        <v>Bernardo SILVA - Portugal</v>
      </c>
      <c r="H895" t="str">
        <f t="shared" si="27"/>
        <v>PRT10</v>
      </c>
      <c r="I89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83" t="s">
        <v>3419</v>
      </c>
      <c r="G896" s="148" t="str">
        <f t="shared" si="26"/>
        <v>Joao FELIX - Portugal</v>
      </c>
      <c r="H896" t="str">
        <f t="shared" si="27"/>
        <v>PRT11</v>
      </c>
      <c r="I896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83" t="s">
        <v>3419</v>
      </c>
      <c r="G897" s="148" t="str">
        <f t="shared" si="26"/>
        <v>Jose SA - Portugal</v>
      </c>
      <c r="H897" t="str">
        <f t="shared" si="27"/>
        <v>PRT12</v>
      </c>
      <c r="I897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83" t="s">
        <v>3419</v>
      </c>
      <c r="G898" s="148" t="str">
        <f t="shared" si="26"/>
        <v>Renato VEIGA - Portugal</v>
      </c>
      <c r="H898" t="str">
        <f t="shared" si="27"/>
        <v>PRT13</v>
      </c>
      <c r="I898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83" t="s">
        <v>3419</v>
      </c>
      <c r="G899" s="148" t="str">
        <f t="shared" ref="G899:G962" si="28">_xlfn.CONCAT(C899, " ",D899, " - ",F899)</f>
        <v>Goncalo INACIO - Portugal</v>
      </c>
      <c r="H899" t="str">
        <f t="shared" ref="H899:H962" si="29">_xlfn.CONCAT(E899,A899)</f>
        <v>PRT14</v>
      </c>
      <c r="I899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83" t="s">
        <v>3419</v>
      </c>
      <c r="G900" s="148" t="str">
        <f t="shared" si="28"/>
        <v>Joao NEVES - Portugal</v>
      </c>
      <c r="H900" t="str">
        <f t="shared" si="29"/>
        <v>PRT15</v>
      </c>
      <c r="I900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83" t="s">
        <v>3419</v>
      </c>
      <c r="G901" s="148" t="str">
        <f t="shared" si="28"/>
        <v>Francisco TRINCAO - Portugal</v>
      </c>
      <c r="H901" t="str">
        <f t="shared" si="29"/>
        <v>PRT16</v>
      </c>
      <c r="I901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83" t="s">
        <v>3419</v>
      </c>
      <c r="G902" s="148" t="str">
        <f t="shared" si="28"/>
        <v>Rafael LEAO - Portugal</v>
      </c>
      <c r="H902" t="str">
        <f t="shared" si="29"/>
        <v>PRT17</v>
      </c>
      <c r="I902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83" t="s">
        <v>3419</v>
      </c>
      <c r="G903" s="148" t="str">
        <f t="shared" si="28"/>
        <v>Pedro NETO - Portugal</v>
      </c>
      <c r="H903" t="str">
        <f t="shared" si="29"/>
        <v>PRT18</v>
      </c>
      <c r="I903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83" t="s">
        <v>3419</v>
      </c>
      <c r="G904" s="148" t="str">
        <f t="shared" si="28"/>
        <v>Goncalo GUEDES - Portugal</v>
      </c>
      <c r="H904" t="str">
        <f t="shared" si="29"/>
        <v>PRT19</v>
      </c>
      <c r="I904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83" t="s">
        <v>3419</v>
      </c>
      <c r="G905" s="148" t="str">
        <f t="shared" si="28"/>
        <v>Joao CANCELO - Portugal</v>
      </c>
      <c r="H905" t="str">
        <f t="shared" si="29"/>
        <v>PRT20</v>
      </c>
      <c r="I9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83" t="s">
        <v>3419</v>
      </c>
      <c r="G906" s="148" t="str">
        <f t="shared" si="28"/>
        <v>Ruben NEVES - Portugal</v>
      </c>
      <c r="H906" t="str">
        <f t="shared" si="29"/>
        <v>PRT21</v>
      </c>
      <c r="I906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83" t="s">
        <v>3419</v>
      </c>
      <c r="G907" s="148" t="str">
        <f t="shared" si="28"/>
        <v>Rui SILVA - Portugal</v>
      </c>
      <c r="H907" t="str">
        <f t="shared" si="29"/>
        <v>PRT22</v>
      </c>
      <c r="I907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83" t="s">
        <v>3419</v>
      </c>
      <c r="G908" s="148" t="str">
        <f t="shared" si="28"/>
        <v>Vitinha VITINHA - Portugal</v>
      </c>
      <c r="H908" t="str">
        <f t="shared" si="29"/>
        <v>PRT23</v>
      </c>
      <c r="I908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83" t="s">
        <v>3419</v>
      </c>
      <c r="G909" s="148" t="str">
        <f t="shared" si="28"/>
        <v>Samu COSTA - Portugal</v>
      </c>
      <c r="H909" t="str">
        <f t="shared" si="29"/>
        <v>PRT24</v>
      </c>
      <c r="I909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83" t="s">
        <v>3419</v>
      </c>
      <c r="G910" s="148" t="str">
        <f t="shared" si="28"/>
        <v>Nuno MENDES - Portugal</v>
      </c>
      <c r="H910" t="str">
        <f t="shared" si="29"/>
        <v>PRT25</v>
      </c>
      <c r="I910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83" t="s">
        <v>3419</v>
      </c>
      <c r="G911" s="148" t="str">
        <f t="shared" si="28"/>
        <v>Francisco CONCEICAO - Portugal</v>
      </c>
      <c r="H911" t="str">
        <f t="shared" si="29"/>
        <v>PRT26</v>
      </c>
      <c r="I911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162" t="s">
        <v>3446</v>
      </c>
      <c r="G912" s="148" t="str">
        <f t="shared" si="28"/>
        <v>Mahmoud ABUNADA - Qatar</v>
      </c>
      <c r="H912" t="str">
        <f t="shared" si="29"/>
        <v>QAT1</v>
      </c>
      <c r="I912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162" t="s">
        <v>3446</v>
      </c>
      <c r="G913" s="148" t="str">
        <f t="shared" si="28"/>
        <v>Pedro MIGUEL - Qatar</v>
      </c>
      <c r="H913" t="str">
        <f t="shared" si="29"/>
        <v>QAT2</v>
      </c>
      <c r="I91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162" t="s">
        <v>3446</v>
      </c>
      <c r="G914" s="148" t="str">
        <f t="shared" si="28"/>
        <v>Lucas MENDES - Qatar</v>
      </c>
      <c r="H914" t="str">
        <f t="shared" si="29"/>
        <v>QAT3</v>
      </c>
      <c r="I914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162" t="s">
        <v>3446</v>
      </c>
      <c r="G915" s="148" t="str">
        <f t="shared" si="28"/>
        <v>Issa Laye GUEYE - Qatar</v>
      </c>
      <c r="H915" t="str">
        <f t="shared" si="29"/>
        <v>QAT4</v>
      </c>
      <c r="I915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162" t="s">
        <v>3446</v>
      </c>
      <c r="G916" s="148" t="str">
        <f t="shared" si="28"/>
        <v>Jassem GABER - Qatar</v>
      </c>
      <c r="H916" t="str">
        <f t="shared" si="29"/>
        <v>QAT5</v>
      </c>
      <c r="I916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162" t="s">
        <v>3446</v>
      </c>
      <c r="G917" s="148" t="str">
        <f t="shared" si="28"/>
        <v>Abdulaziz HATEM - Qatar</v>
      </c>
      <c r="H917" t="str">
        <f t="shared" si="29"/>
        <v>QAT6</v>
      </c>
      <c r="I917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162" t="s">
        <v>3446</v>
      </c>
      <c r="G918" s="148" t="str">
        <f t="shared" si="28"/>
        <v>Ahmed ALAAELDIN - Qatar</v>
      </c>
      <c r="H918" t="str">
        <f t="shared" si="29"/>
        <v>QAT7</v>
      </c>
      <c r="I918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162" t="s">
        <v>3446</v>
      </c>
      <c r="G919" s="148" t="str">
        <f t="shared" si="28"/>
        <v>Edmilson Junior EDMILSON JUNIOR - Qatar</v>
      </c>
      <c r="H919" t="str">
        <f t="shared" si="29"/>
        <v>QAT8</v>
      </c>
      <c r="I919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162" t="s">
        <v>3446</v>
      </c>
      <c r="G920" s="148" t="str">
        <f t="shared" si="28"/>
        <v>Mohammed MUNTARI - Qatar</v>
      </c>
      <c r="H920" t="str">
        <f t="shared" si="29"/>
        <v>QAT9</v>
      </c>
      <c r="I920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162" t="s">
        <v>3446</v>
      </c>
      <c r="G921" s="148" t="str">
        <f t="shared" si="28"/>
        <v>Hassan ALHAYDOS - Qatar</v>
      </c>
      <c r="H921" t="str">
        <f t="shared" si="29"/>
        <v>QAT10</v>
      </c>
      <c r="I921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162" t="s">
        <v>3446</v>
      </c>
      <c r="G922" s="148" t="str">
        <f t="shared" si="28"/>
        <v>Akram AFIF - Qatar</v>
      </c>
      <c r="H922" t="str">
        <f t="shared" si="29"/>
        <v>QAT11</v>
      </c>
      <c r="I922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162" t="s">
        <v>3446</v>
      </c>
      <c r="G923" s="148" t="str">
        <f t="shared" si="28"/>
        <v>Karim BOUDIAF - Qatar</v>
      </c>
      <c r="H923" t="str">
        <f t="shared" si="29"/>
        <v>QAT12</v>
      </c>
      <c r="I92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162" t="s">
        <v>3446</v>
      </c>
      <c r="G924" s="148" t="str">
        <f t="shared" si="28"/>
        <v>Ayoub ALOUI - Qatar</v>
      </c>
      <c r="H924" t="str">
        <f t="shared" si="29"/>
        <v>QAT13</v>
      </c>
      <c r="I924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162" t="s">
        <v>3446</v>
      </c>
      <c r="G925" s="148" t="str">
        <f t="shared" si="28"/>
        <v>Homam AHMED - Qatar</v>
      </c>
      <c r="H925" t="str">
        <f t="shared" si="29"/>
        <v>QAT14</v>
      </c>
      <c r="I925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162" t="s">
        <v>3446</v>
      </c>
      <c r="G926" s="148" t="str">
        <f t="shared" si="28"/>
        <v>Yusuf ABDURISAG - Qatar</v>
      </c>
      <c r="H926" t="str">
        <f t="shared" si="29"/>
        <v>QAT15</v>
      </c>
      <c r="I926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162" t="s">
        <v>3446</v>
      </c>
      <c r="G927" s="148" t="str">
        <f t="shared" si="28"/>
        <v>Boualem KHOUKHI - Qatar</v>
      </c>
      <c r="H927" t="str">
        <f t="shared" si="29"/>
        <v>QAT16</v>
      </c>
      <c r="I927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162" t="s">
        <v>3446</v>
      </c>
      <c r="G928" s="148" t="str">
        <f t="shared" si="28"/>
        <v>Ahmed ALGANEHI - Qatar</v>
      </c>
      <c r="H928" t="str">
        <f t="shared" si="29"/>
        <v>QAT17</v>
      </c>
      <c r="I928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162" t="s">
        <v>3446</v>
      </c>
      <c r="G929" s="148" t="str">
        <f t="shared" si="28"/>
        <v>Sultan ALBRAKE - Qatar</v>
      </c>
      <c r="H929" t="str">
        <f t="shared" si="29"/>
        <v>QAT18</v>
      </c>
      <c r="I929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162" t="s">
        <v>3446</v>
      </c>
      <c r="G930" s="148" t="str">
        <f t="shared" si="28"/>
        <v>Almoez ALI - Qatar</v>
      </c>
      <c r="H930" t="str">
        <f t="shared" si="29"/>
        <v>QAT19</v>
      </c>
      <c r="I930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162" t="s">
        <v>3446</v>
      </c>
      <c r="G931" s="148" t="str">
        <f t="shared" si="28"/>
        <v>Ahmed FATHY - Qatar</v>
      </c>
      <c r="H931" t="str">
        <f t="shared" si="29"/>
        <v>QAT20</v>
      </c>
      <c r="I931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162" t="s">
        <v>3446</v>
      </c>
      <c r="G932" s="148" t="str">
        <f t="shared" si="28"/>
        <v>Salah ZAKARIA - Qatar</v>
      </c>
      <c r="H932" t="str">
        <f t="shared" si="29"/>
        <v>QAT21</v>
      </c>
      <c r="I932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162" t="s">
        <v>3446</v>
      </c>
      <c r="G933" s="148" t="str">
        <f t="shared" si="28"/>
        <v>Meshaal BARSHAM - Qatar</v>
      </c>
      <c r="H933" t="str">
        <f t="shared" si="29"/>
        <v>QAT22</v>
      </c>
      <c r="I93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162" t="s">
        <v>3446</v>
      </c>
      <c r="G934" s="148" t="str">
        <f t="shared" si="28"/>
        <v>Assim MADIBO - Qatar</v>
      </c>
      <c r="H934" t="str">
        <f t="shared" si="29"/>
        <v>QAT23</v>
      </c>
      <c r="I934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162" t="s">
        <v>3446</v>
      </c>
      <c r="G935" s="148" t="str">
        <f t="shared" si="28"/>
        <v>Tahsin JAMSHID - Qatar</v>
      </c>
      <c r="H935" t="str">
        <f t="shared" si="29"/>
        <v>QAT24</v>
      </c>
      <c r="I935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162" t="s">
        <v>3446</v>
      </c>
      <c r="G936" s="148" t="str">
        <f t="shared" si="28"/>
        <v>Alhashmi ALHUSSEIN - Qatar</v>
      </c>
      <c r="H936" t="str">
        <f t="shared" si="29"/>
        <v>QAT25</v>
      </c>
      <c r="I936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162" t="s">
        <v>3446</v>
      </c>
      <c r="G937" s="148" t="str">
        <f t="shared" si="28"/>
        <v>Mohamed MANAI - Qatar</v>
      </c>
      <c r="H937" t="str">
        <f t="shared" si="29"/>
        <v>QAT26</v>
      </c>
      <c r="I937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84" t="s">
        <v>3473</v>
      </c>
      <c r="G938" s="148" t="str">
        <f t="shared" si="28"/>
        <v>Nawaf ALAQIDI - Saudi Arabia</v>
      </c>
      <c r="H938" t="str">
        <f t="shared" si="29"/>
        <v>SAU1</v>
      </c>
      <c r="I938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84" t="s">
        <v>3473</v>
      </c>
      <c r="G939" s="148" t="str">
        <f t="shared" si="28"/>
        <v>Ali MAJRASHI - Saudi Arabia</v>
      </c>
      <c r="H939" t="str">
        <f t="shared" si="29"/>
        <v>SAU2</v>
      </c>
      <c r="I939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84" t="s">
        <v>3473</v>
      </c>
      <c r="G940" s="148" t="str">
        <f t="shared" si="28"/>
        <v>Ali LAJAMI - Saudi Arabia</v>
      </c>
      <c r="H940" t="str">
        <f t="shared" si="29"/>
        <v>SAU3</v>
      </c>
      <c r="I940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84" t="s">
        <v>3473</v>
      </c>
      <c r="G941" s="148" t="str">
        <f t="shared" si="28"/>
        <v>Abdulelah ALAMRI - Saudi Arabia</v>
      </c>
      <c r="H941" t="str">
        <f t="shared" si="29"/>
        <v>SAU4</v>
      </c>
      <c r="I941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84" t="s">
        <v>3473</v>
      </c>
      <c r="G942" s="148" t="str">
        <f t="shared" si="28"/>
        <v>Hassan ALTAMBAKTI - Saudi Arabia</v>
      </c>
      <c r="H942" t="str">
        <f t="shared" si="29"/>
        <v>SAU5</v>
      </c>
      <c r="I942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84" t="s">
        <v>3473</v>
      </c>
      <c r="G943" s="148" t="str">
        <f t="shared" si="28"/>
        <v>Nasser ALDAWSARI - Saudi Arabia</v>
      </c>
      <c r="H943" t="str">
        <f t="shared" si="29"/>
        <v>SAU6</v>
      </c>
      <c r="I943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84" t="s">
        <v>3473</v>
      </c>
      <c r="G944" s="148" t="str">
        <f t="shared" si="28"/>
        <v>Musab ALJUWAYR - Saudi Arabia</v>
      </c>
      <c r="H944" t="str">
        <f t="shared" si="29"/>
        <v>SAU7</v>
      </c>
      <c r="I944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84" t="s">
        <v>3473</v>
      </c>
      <c r="G945" s="148" t="str">
        <f t="shared" si="28"/>
        <v>Aiman YAHYA - Saudi Arabia</v>
      </c>
      <c r="H945" t="str">
        <f t="shared" si="29"/>
        <v>SAU8</v>
      </c>
      <c r="I945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84" t="s">
        <v>3473</v>
      </c>
      <c r="G946" s="148" t="str">
        <f t="shared" si="28"/>
        <v>Feras ALBRIKAN - Saudi Arabia</v>
      </c>
      <c r="H946" t="str">
        <f t="shared" si="29"/>
        <v>SAU9</v>
      </c>
      <c r="I946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84" t="s">
        <v>3473</v>
      </c>
      <c r="G947" s="148" t="str">
        <f t="shared" si="28"/>
        <v>Salem ALDAWSARI - Saudi Arabia</v>
      </c>
      <c r="H947" t="str">
        <f t="shared" si="29"/>
        <v>SAU10</v>
      </c>
      <c r="I94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84" t="s">
        <v>3473</v>
      </c>
      <c r="G948" s="148" t="str">
        <f t="shared" si="28"/>
        <v>Saleh ALSHEHRI - Saudi Arabia</v>
      </c>
      <c r="H948" t="str">
        <f t="shared" si="29"/>
        <v>SAU11</v>
      </c>
      <c r="I948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84" t="s">
        <v>3473</v>
      </c>
      <c r="G949" s="148" t="str">
        <f t="shared" si="28"/>
        <v>Saud ABDULHAMID - Saudi Arabia</v>
      </c>
      <c r="H949" t="str">
        <f t="shared" si="29"/>
        <v>SAU12</v>
      </c>
      <c r="I949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84" t="s">
        <v>3473</v>
      </c>
      <c r="G950" s="148" t="str">
        <f t="shared" si="28"/>
        <v>Nawaf BU WASHL - Saudi Arabia</v>
      </c>
      <c r="H950" t="str">
        <f t="shared" si="29"/>
        <v>SAU13</v>
      </c>
      <c r="I950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84" t="s">
        <v>3473</v>
      </c>
      <c r="G951" s="148" t="str">
        <f t="shared" si="28"/>
        <v>Hassan KADISH - Saudi Arabia</v>
      </c>
      <c r="H951" t="str">
        <f t="shared" si="29"/>
        <v>SAU14</v>
      </c>
      <c r="I951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84" t="s">
        <v>3473</v>
      </c>
      <c r="G952" s="148" t="str">
        <f t="shared" si="28"/>
        <v>Abdullah ALKHAIBARI - Saudi Arabia</v>
      </c>
      <c r="H952" t="str">
        <f t="shared" si="29"/>
        <v>SAU15</v>
      </c>
      <c r="I952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84" t="s">
        <v>3473</v>
      </c>
      <c r="G953" s="148" t="str">
        <f t="shared" si="28"/>
        <v>Ziyad ALJOHANI - Saudi Arabia</v>
      </c>
      <c r="H953" t="str">
        <f t="shared" si="29"/>
        <v>SAU16</v>
      </c>
      <c r="I953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84" t="s">
        <v>3473</v>
      </c>
      <c r="G954" s="148" t="str">
        <f t="shared" si="28"/>
        <v>Khalid ALGHANNAM - Saudi Arabia</v>
      </c>
      <c r="H954" t="str">
        <f t="shared" si="29"/>
        <v>SAU17</v>
      </c>
      <c r="I954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84" t="s">
        <v>3473</v>
      </c>
      <c r="G955" s="148" t="str">
        <f t="shared" si="28"/>
        <v>Ala ALHAJJI - Saudi Arabia</v>
      </c>
      <c r="H955" t="str">
        <f t="shared" si="29"/>
        <v>SAU18</v>
      </c>
      <c r="I955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84" t="s">
        <v>3473</v>
      </c>
      <c r="G956" s="148" t="str">
        <f t="shared" si="28"/>
        <v>Abdullah ALHAMDDAN - Saudi Arabia</v>
      </c>
      <c r="H956" t="str">
        <f t="shared" si="29"/>
        <v>SAU19</v>
      </c>
      <c r="I956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84" t="s">
        <v>3473</v>
      </c>
      <c r="G957" s="148" t="str">
        <f t="shared" si="28"/>
        <v>Sultan MANDASH - Saudi Arabia</v>
      </c>
      <c r="H957" t="str">
        <f t="shared" si="29"/>
        <v>SAU20</v>
      </c>
      <c r="I95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84" t="s">
        <v>3473</v>
      </c>
      <c r="G958" s="148" t="str">
        <f t="shared" si="28"/>
        <v>Mohammed ALOWAIS - Saudi Arabia</v>
      </c>
      <c r="H958" t="str">
        <f t="shared" si="29"/>
        <v>SAU21</v>
      </c>
      <c r="I958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84" t="s">
        <v>3473</v>
      </c>
      <c r="G959" s="148" t="str">
        <f t="shared" si="28"/>
        <v>Ahmed ALKASSAR - Saudi Arabia</v>
      </c>
      <c r="H959" t="str">
        <f t="shared" si="29"/>
        <v>SAU22</v>
      </c>
      <c r="I959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84" t="s">
        <v>3473</v>
      </c>
      <c r="G960" s="148" t="str">
        <f t="shared" si="28"/>
        <v>Mohamed KANNO - Saudi Arabia</v>
      </c>
      <c r="H960" t="str">
        <f t="shared" si="29"/>
        <v>SAU23</v>
      </c>
      <c r="I960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84" t="s">
        <v>3473</v>
      </c>
      <c r="G961" s="148" t="str">
        <f t="shared" si="28"/>
        <v>Moteb ALHARBI - Saudi Arabia</v>
      </c>
      <c r="H961" t="str">
        <f t="shared" si="29"/>
        <v>SAU24</v>
      </c>
      <c r="I961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84" t="s">
        <v>3473</v>
      </c>
      <c r="G962" s="148" t="str">
        <f t="shared" si="28"/>
        <v>Jehad THIKRI - Saudi Arabia</v>
      </c>
      <c r="H962" t="str">
        <f t="shared" si="29"/>
        <v>SAU25</v>
      </c>
      <c r="I962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84" t="s">
        <v>3473</v>
      </c>
      <c r="G963" s="148" t="str">
        <f t="shared" ref="G963:G1026" si="30">_xlfn.CONCAT(C963, " ",D963, " - ",F963)</f>
        <v>Mohammed ABU ALSHAMAT - Saudi Arabia</v>
      </c>
      <c r="H963" t="str">
        <f t="shared" ref="H963:H1026" si="31">_xlfn.CONCAT(E963,A963)</f>
        <v>SAU26</v>
      </c>
      <c r="I963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161" t="s">
        <v>3500</v>
      </c>
      <c r="G964" s="148" t="str">
        <f t="shared" si="30"/>
        <v>Angus GUNN - Scotland</v>
      </c>
      <c r="H964" t="str">
        <f t="shared" si="31"/>
        <v>SCO1</v>
      </c>
      <c r="I964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161" t="s">
        <v>3500</v>
      </c>
      <c r="G965" s="148" t="str">
        <f t="shared" si="30"/>
        <v>Aaron HICKEY - Scotland</v>
      </c>
      <c r="H965" t="str">
        <f t="shared" si="31"/>
        <v>SCO2</v>
      </c>
      <c r="I965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161" t="s">
        <v>3500</v>
      </c>
      <c r="G966" s="148" t="str">
        <f t="shared" si="30"/>
        <v>Andy ROBERTSON - Scotland</v>
      </c>
      <c r="H966" t="str">
        <f t="shared" si="31"/>
        <v>SCO3</v>
      </c>
      <c r="I966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161" t="s">
        <v>3500</v>
      </c>
      <c r="G967" s="148" t="str">
        <f t="shared" si="30"/>
        <v>Scott McTOMINAY - Scotland</v>
      </c>
      <c r="H967" t="str">
        <f t="shared" si="31"/>
        <v>SCO4</v>
      </c>
      <c r="I967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161" t="s">
        <v>3500</v>
      </c>
      <c r="G968" s="148" t="str">
        <f t="shared" si="30"/>
        <v>Grant HANLEY - Scotland</v>
      </c>
      <c r="H968" t="str">
        <f t="shared" si="31"/>
        <v>SCO5</v>
      </c>
      <c r="I968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161" t="s">
        <v>3500</v>
      </c>
      <c r="G969" s="148" t="str">
        <f t="shared" si="30"/>
        <v>Kieran TIERNEY - Scotland</v>
      </c>
      <c r="H969" t="str">
        <f t="shared" si="31"/>
        <v>SCO6</v>
      </c>
      <c r="I969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161" t="s">
        <v>3500</v>
      </c>
      <c r="G970" s="148" t="str">
        <f t="shared" si="30"/>
        <v>John McGINN - Scotland</v>
      </c>
      <c r="H970" t="str">
        <f t="shared" si="31"/>
        <v>SCO7</v>
      </c>
      <c r="I970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161" t="s">
        <v>3500</v>
      </c>
      <c r="G971" s="148" t="str">
        <f t="shared" si="30"/>
        <v>Tyler FLETCHER - Scotland</v>
      </c>
      <c r="H971" t="str">
        <f t="shared" si="31"/>
        <v>SCO8</v>
      </c>
      <c r="I97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161" t="s">
        <v>3500</v>
      </c>
      <c r="G972" s="148" t="str">
        <f t="shared" si="30"/>
        <v>Lyndon DYKES - Scotland</v>
      </c>
      <c r="H972" t="str">
        <f t="shared" si="31"/>
        <v>SCO9</v>
      </c>
      <c r="I972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161" t="s">
        <v>3500</v>
      </c>
      <c r="G973" s="148" t="str">
        <f t="shared" si="30"/>
        <v>Che ADAMS - Scotland</v>
      </c>
      <c r="H973" t="str">
        <f t="shared" si="31"/>
        <v>SCO10</v>
      </c>
      <c r="I973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161" t="s">
        <v>3500</v>
      </c>
      <c r="G974" s="148" t="str">
        <f t="shared" si="30"/>
        <v>Ryan CHRISTIE - Scotland</v>
      </c>
      <c r="H974" t="str">
        <f t="shared" si="31"/>
        <v>SCO11</v>
      </c>
      <c r="I974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161" t="s">
        <v>3500</v>
      </c>
      <c r="G975" s="148" t="str">
        <f t="shared" si="30"/>
        <v>Liam KELLY - Scotland</v>
      </c>
      <c r="H975" t="str">
        <f t="shared" si="31"/>
        <v>SCO12</v>
      </c>
      <c r="I975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161" t="s">
        <v>3500</v>
      </c>
      <c r="G976" s="148" t="str">
        <f t="shared" si="30"/>
        <v>Jack HENDRY - Scotland</v>
      </c>
      <c r="H976" t="str">
        <f t="shared" si="31"/>
        <v>SCO13</v>
      </c>
      <c r="I976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161" t="s">
        <v>3500</v>
      </c>
      <c r="G977" s="148" t="str">
        <f t="shared" si="30"/>
        <v>Ross STEWART - Scotland</v>
      </c>
      <c r="H977" t="str">
        <f t="shared" si="31"/>
        <v>SCO14</v>
      </c>
      <c r="I977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161" t="s">
        <v>3500</v>
      </c>
      <c r="G978" s="148" t="str">
        <f t="shared" si="30"/>
        <v>John SOUTTAR - Scotland</v>
      </c>
      <c r="H978" t="str">
        <f t="shared" si="31"/>
        <v>SCO15</v>
      </c>
      <c r="I978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161" t="s">
        <v>3500</v>
      </c>
      <c r="G979" s="148" t="str">
        <f t="shared" si="30"/>
        <v>Dominic HYAM - Scotland</v>
      </c>
      <c r="H979" t="str">
        <f t="shared" si="31"/>
        <v>SCO16</v>
      </c>
      <c r="I979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161" t="s">
        <v>3500</v>
      </c>
      <c r="G980" s="148" t="str">
        <f t="shared" si="30"/>
        <v>Ben GANNON-DOAK - Scotland</v>
      </c>
      <c r="H980" t="str">
        <f t="shared" si="31"/>
        <v>SCO17</v>
      </c>
      <c r="I980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161" t="s">
        <v>3500</v>
      </c>
      <c r="G981" s="148" t="str">
        <f t="shared" si="30"/>
        <v>George HIRST - Scotland</v>
      </c>
      <c r="H981" t="str">
        <f t="shared" si="31"/>
        <v>SCO18</v>
      </c>
      <c r="I98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161" t="s">
        <v>3500</v>
      </c>
      <c r="G982" s="148" t="str">
        <f t="shared" si="30"/>
        <v>Lewis FERGUSON - Scotland</v>
      </c>
      <c r="H982" t="str">
        <f t="shared" si="31"/>
        <v>SCO19</v>
      </c>
      <c r="I982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161" t="s">
        <v>3500</v>
      </c>
      <c r="G983" s="148" t="str">
        <f t="shared" si="30"/>
        <v>Lawrence SHANKLAND - Scotland</v>
      </c>
      <c r="H983" t="str">
        <f t="shared" si="31"/>
        <v>SCO20</v>
      </c>
      <c r="I983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161" t="s">
        <v>3500</v>
      </c>
      <c r="G984" s="148" t="str">
        <f t="shared" si="30"/>
        <v>Craig GORDON - Scotland</v>
      </c>
      <c r="H984" t="str">
        <f t="shared" si="31"/>
        <v>SCO21</v>
      </c>
      <c r="I984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161" t="s">
        <v>3500</v>
      </c>
      <c r="G985" s="148" t="str">
        <f t="shared" si="30"/>
        <v>Nathan PATTERSON - Scotland</v>
      </c>
      <c r="H985" t="str">
        <f t="shared" si="31"/>
        <v>SCO22</v>
      </c>
      <c r="I985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161" t="s">
        <v>3500</v>
      </c>
      <c r="G986" s="148" t="str">
        <f t="shared" si="30"/>
        <v>Kenny McLEAN - Scotland</v>
      </c>
      <c r="H986" t="str">
        <f t="shared" si="31"/>
        <v>SCO23</v>
      </c>
      <c r="I986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161" t="s">
        <v>3500</v>
      </c>
      <c r="G987" s="148" t="str">
        <f t="shared" si="30"/>
        <v>Anthony RALSTON - Scotland</v>
      </c>
      <c r="H987" t="str">
        <f t="shared" si="31"/>
        <v>SCO24</v>
      </c>
      <c r="I987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161" t="s">
        <v>3500</v>
      </c>
      <c r="G988" s="148" t="str">
        <f t="shared" si="30"/>
        <v>Findlay CURTIS - Scotland</v>
      </c>
      <c r="H988" t="str">
        <f t="shared" si="31"/>
        <v>SCO25</v>
      </c>
      <c r="I988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161" t="s">
        <v>3500</v>
      </c>
      <c r="G989" s="148" t="str">
        <f t="shared" si="30"/>
        <v>Scott McKENNA - Scotland</v>
      </c>
      <c r="H989" t="str">
        <f t="shared" si="31"/>
        <v>SCO26</v>
      </c>
      <c r="I989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85" t="s">
        <v>3527</v>
      </c>
      <c r="G990" s="148" t="str">
        <f t="shared" si="30"/>
        <v>Yehvann DIOUF - Senegal</v>
      </c>
      <c r="H990" t="str">
        <f t="shared" si="31"/>
        <v>SEN1</v>
      </c>
      <c r="I990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85" t="s">
        <v>3527</v>
      </c>
      <c r="G991" s="148" t="str">
        <f t="shared" si="30"/>
        <v>Mamadou SARR - Senegal</v>
      </c>
      <c r="H991" t="str">
        <f t="shared" si="31"/>
        <v>SEN2</v>
      </c>
      <c r="I991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85" t="s">
        <v>3527</v>
      </c>
      <c r="G992" s="148" t="str">
        <f t="shared" si="30"/>
        <v>Kalidou KOULIBALY - Senegal</v>
      </c>
      <c r="H992" t="str">
        <f t="shared" si="31"/>
        <v>SEN3</v>
      </c>
      <c r="I992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85" t="s">
        <v>3527</v>
      </c>
      <c r="G993" s="148" t="str">
        <f t="shared" si="30"/>
        <v>Abdoulaye SECK - Senegal</v>
      </c>
      <c r="H993" t="str">
        <f t="shared" si="31"/>
        <v>SEN4</v>
      </c>
      <c r="I993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85" t="s">
        <v>3527</v>
      </c>
      <c r="G994" s="148" t="str">
        <f t="shared" si="30"/>
        <v>Idrissa GUEYE - Senegal</v>
      </c>
      <c r="H994" t="str">
        <f t="shared" si="31"/>
        <v>SEN5</v>
      </c>
      <c r="I994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85" t="s">
        <v>3527</v>
      </c>
      <c r="G995" s="148" t="str">
        <f t="shared" si="30"/>
        <v>Pathe CISS - Senegal</v>
      </c>
      <c r="H995" t="str">
        <f t="shared" si="31"/>
        <v>SEN6</v>
      </c>
      <c r="I995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85" t="s">
        <v>3527</v>
      </c>
      <c r="G996" s="148" t="str">
        <f t="shared" si="30"/>
        <v>Assane DIAO - Senegal</v>
      </c>
      <c r="H996" t="str">
        <f t="shared" si="31"/>
        <v>SEN7</v>
      </c>
      <c r="I996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85" t="s">
        <v>3527</v>
      </c>
      <c r="G997" s="148" t="str">
        <f t="shared" si="30"/>
        <v>Lamine CAMARA - Senegal</v>
      </c>
      <c r="H997" t="str">
        <f t="shared" si="31"/>
        <v>SEN8</v>
      </c>
      <c r="I997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85" t="s">
        <v>3527</v>
      </c>
      <c r="G998" s="148" t="str">
        <f t="shared" si="30"/>
        <v>Bamba DIENG - Senegal</v>
      </c>
      <c r="H998" t="str">
        <f t="shared" si="31"/>
        <v>SEN9</v>
      </c>
      <c r="I998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85" t="s">
        <v>3527</v>
      </c>
      <c r="G999" s="148" t="str">
        <f t="shared" si="30"/>
        <v>Sadio MANE - Senegal</v>
      </c>
      <c r="H999" t="str">
        <f t="shared" si="31"/>
        <v>SEN10</v>
      </c>
      <c r="I99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85" t="s">
        <v>3527</v>
      </c>
      <c r="G1000" s="148" t="str">
        <f t="shared" si="30"/>
        <v>Nicolas JACKSON - Senegal</v>
      </c>
      <c r="H1000" t="str">
        <f t="shared" si="31"/>
        <v>SEN11</v>
      </c>
      <c r="I1000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85" t="s">
        <v>3527</v>
      </c>
      <c r="G1001" s="148" t="str">
        <f t="shared" si="30"/>
        <v>Pape Cherif NDIAYE - Senegal</v>
      </c>
      <c r="H1001" t="str">
        <f t="shared" si="31"/>
        <v>SEN12</v>
      </c>
      <c r="I1001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85" t="s">
        <v>3527</v>
      </c>
      <c r="G1002" s="148" t="str">
        <f t="shared" si="30"/>
        <v>Iliman NDIAYE - Senegal</v>
      </c>
      <c r="H1002" t="str">
        <f t="shared" si="31"/>
        <v>SEN13</v>
      </c>
      <c r="I1002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85" t="s">
        <v>3527</v>
      </c>
      <c r="G1003" s="148" t="str">
        <f t="shared" si="30"/>
        <v>Ismail JAKOBS - Senegal</v>
      </c>
      <c r="H1003" t="str">
        <f t="shared" si="31"/>
        <v>SEN14</v>
      </c>
      <c r="I1003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85" t="s">
        <v>3527</v>
      </c>
      <c r="G1004" s="148" t="str">
        <f t="shared" si="30"/>
        <v>Krepin DIATTA - Senegal</v>
      </c>
      <c r="H1004" t="str">
        <f t="shared" si="31"/>
        <v>SEN15</v>
      </c>
      <c r="I1004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85" t="s">
        <v>3527</v>
      </c>
      <c r="G1005" s="148" t="str">
        <f t="shared" si="30"/>
        <v>Edouard MENDY - Senegal</v>
      </c>
      <c r="H1005" t="str">
        <f t="shared" si="31"/>
        <v>SEN16</v>
      </c>
      <c r="I1005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85" t="s">
        <v>3527</v>
      </c>
      <c r="G1006" s="148" t="str">
        <f t="shared" si="30"/>
        <v>Pape Matar SARR - Senegal</v>
      </c>
      <c r="H1006" t="str">
        <f t="shared" si="31"/>
        <v>SEN17</v>
      </c>
      <c r="I1006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85" t="s">
        <v>3527</v>
      </c>
      <c r="G1007" s="148" t="str">
        <f t="shared" si="30"/>
        <v>Ismaila SARR - Senegal</v>
      </c>
      <c r="H1007" t="str">
        <f t="shared" si="31"/>
        <v>SEN18</v>
      </c>
      <c r="I1007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85" t="s">
        <v>3527</v>
      </c>
      <c r="G1008" s="148" t="str">
        <f t="shared" si="30"/>
        <v>Moussa NIAKHATE - Senegal</v>
      </c>
      <c r="H1008" t="str">
        <f t="shared" si="31"/>
        <v>SEN19</v>
      </c>
      <c r="I1008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85" t="s">
        <v>3527</v>
      </c>
      <c r="G1009" s="148" t="str">
        <f t="shared" si="30"/>
        <v>Ibrahim MBAYE - Senegal</v>
      </c>
      <c r="H1009" t="str">
        <f t="shared" si="31"/>
        <v>SEN20</v>
      </c>
      <c r="I10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85" t="s">
        <v>3527</v>
      </c>
      <c r="G1010" s="148" t="str">
        <f t="shared" si="30"/>
        <v>Habib DIARRA - Senegal</v>
      </c>
      <c r="H1010" t="str">
        <f t="shared" si="31"/>
        <v>SEN21</v>
      </c>
      <c r="I1010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85" t="s">
        <v>3527</v>
      </c>
      <c r="G1011" s="148" t="str">
        <f t="shared" si="30"/>
        <v>Bara Sapoko NDIAYE - Senegal</v>
      </c>
      <c r="H1011" t="str">
        <f t="shared" si="31"/>
        <v>SEN22</v>
      </c>
      <c r="I1011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85" t="s">
        <v>3527</v>
      </c>
      <c r="G1012" s="148" t="str">
        <f t="shared" si="30"/>
        <v>Mory DIAW - Senegal</v>
      </c>
      <c r="H1012" t="str">
        <f t="shared" si="31"/>
        <v>SEN23</v>
      </c>
      <c r="I1012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85" t="s">
        <v>3527</v>
      </c>
      <c r="G1013" s="148" t="str">
        <f t="shared" si="30"/>
        <v>Antoine MENDY - Senegal</v>
      </c>
      <c r="H1013" t="str">
        <f t="shared" si="31"/>
        <v>SEN24</v>
      </c>
      <c r="I1013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85" t="s">
        <v>3527</v>
      </c>
      <c r="G1014" s="148" t="str">
        <f t="shared" si="30"/>
        <v>El Hadji Malick DIOUF - Senegal</v>
      </c>
      <c r="H1014" t="str">
        <f t="shared" si="31"/>
        <v>SEN25</v>
      </c>
      <c r="I1014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85" t="s">
        <v>3527</v>
      </c>
      <c r="G1015" s="148" t="str">
        <f t="shared" si="30"/>
        <v>Pape GUEYE - Senegal</v>
      </c>
      <c r="H1015" t="str">
        <f t="shared" si="31"/>
        <v>SEN26</v>
      </c>
      <c r="I1015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86" t="s">
        <v>3554</v>
      </c>
      <c r="G1016" s="148" t="str">
        <f t="shared" si="30"/>
        <v>Ronwen WILLIAMS - South Africa</v>
      </c>
      <c r="H1016" t="str">
        <f t="shared" si="31"/>
        <v>ZAF1</v>
      </c>
      <c r="I1016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86" t="s">
        <v>3554</v>
      </c>
      <c r="G1017" s="148" t="str">
        <f t="shared" si="30"/>
        <v>Thabang MATULUDI - South Africa</v>
      </c>
      <c r="H1017" t="str">
        <f t="shared" si="31"/>
        <v>ZAF2</v>
      </c>
      <c r="I1017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86" t="s">
        <v>3554</v>
      </c>
      <c r="G1018" s="148" t="str">
        <f t="shared" si="30"/>
        <v>Khulumani NDAMANE - South Africa</v>
      </c>
      <c r="H1018" t="str">
        <f t="shared" si="31"/>
        <v>ZAF3</v>
      </c>
      <c r="I1018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86" t="s">
        <v>3554</v>
      </c>
      <c r="G1019" s="148" t="str">
        <f t="shared" si="30"/>
        <v>Teboho MOKOENA - South Africa</v>
      </c>
      <c r="H1019" t="str">
        <f t="shared" si="31"/>
        <v>ZAF4</v>
      </c>
      <c r="I1019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86" t="s">
        <v>3554</v>
      </c>
      <c r="G1020" s="148" t="str">
        <f t="shared" si="30"/>
        <v>Thalente MBATHA - South Africa</v>
      </c>
      <c r="H1020" t="str">
        <f t="shared" si="31"/>
        <v>ZAF5</v>
      </c>
      <c r="I1020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86" t="s">
        <v>3554</v>
      </c>
      <c r="G1021" s="148" t="str">
        <f t="shared" si="30"/>
        <v>Aubrey MODIBA - South Africa</v>
      </c>
      <c r="H1021" t="str">
        <f t="shared" si="31"/>
        <v>ZAF6</v>
      </c>
      <c r="I102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86" t="s">
        <v>3554</v>
      </c>
      <c r="G1022" s="148" t="str">
        <f t="shared" si="30"/>
        <v>Oswin APPOLLIS - South Africa</v>
      </c>
      <c r="H1022" t="str">
        <f t="shared" si="31"/>
        <v>ZAF7</v>
      </c>
      <c r="I1022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86" t="s">
        <v>3554</v>
      </c>
      <c r="G1023" s="148" t="str">
        <f t="shared" si="30"/>
        <v>Tshepang MOREMI - South Africa</v>
      </c>
      <c r="H1023" t="str">
        <f t="shared" si="31"/>
        <v>ZAF8</v>
      </c>
      <c r="I1023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86" t="s">
        <v>3554</v>
      </c>
      <c r="G1024" s="148" t="str">
        <f t="shared" si="30"/>
        <v>Lyle FOSTER - South Africa</v>
      </c>
      <c r="H1024" t="str">
        <f t="shared" si="31"/>
        <v>ZAF9</v>
      </c>
      <c r="I1024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86" t="s">
        <v>3554</v>
      </c>
      <c r="G1025" s="148" t="str">
        <f t="shared" si="30"/>
        <v>Relebohile MOFOKENG - South Africa</v>
      </c>
      <c r="H1025" t="str">
        <f t="shared" si="31"/>
        <v>ZAF10</v>
      </c>
      <c r="I1025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86" t="s">
        <v>3554</v>
      </c>
      <c r="G1026" s="148" t="str">
        <f t="shared" si="30"/>
        <v>Themba ZWANE - South Africa</v>
      </c>
      <c r="H1026" t="str">
        <f t="shared" si="31"/>
        <v>ZAF11</v>
      </c>
      <c r="I1026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86" t="s">
        <v>3554</v>
      </c>
      <c r="G1027" s="148" t="str">
        <f t="shared" ref="G1027:G1090" si="32">_xlfn.CONCAT(C1027, " ",D1027, " - ",F1027)</f>
        <v>Thapelo MASEKO - South Africa</v>
      </c>
      <c r="H1027" t="str">
        <f t="shared" ref="H1027:H1090" si="33">_xlfn.CONCAT(E1027,A1027)</f>
        <v>ZAF12</v>
      </c>
      <c r="I1027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86" t="s">
        <v>3554</v>
      </c>
      <c r="G1028" s="148" t="str">
        <f t="shared" si="32"/>
        <v>Sphephelo SITHOLE - South Africa</v>
      </c>
      <c r="H1028" t="str">
        <f t="shared" si="33"/>
        <v>ZAF13</v>
      </c>
      <c r="I1028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86" t="s">
        <v>3554</v>
      </c>
      <c r="G1029" s="148" t="str">
        <f t="shared" si="32"/>
        <v>Mbekezeli MBOKAZI - South Africa</v>
      </c>
      <c r="H1029" t="str">
        <f t="shared" si="33"/>
        <v>ZAF14</v>
      </c>
      <c r="I1029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86" t="s">
        <v>3554</v>
      </c>
      <c r="G1030" s="148" t="str">
        <f t="shared" si="32"/>
        <v>Iqraam RAYNERS - South Africa</v>
      </c>
      <c r="H1030" t="str">
        <f t="shared" si="33"/>
        <v>ZAF15</v>
      </c>
      <c r="I1030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86" t="s">
        <v>3554</v>
      </c>
      <c r="G1031" s="148" t="str">
        <f t="shared" si="32"/>
        <v>Sipho CHAINE - South Africa</v>
      </c>
      <c r="H1031" t="str">
        <f t="shared" si="33"/>
        <v>ZAF16</v>
      </c>
      <c r="I103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86" t="s">
        <v>3554</v>
      </c>
      <c r="G1032" s="148" t="str">
        <f t="shared" si="32"/>
        <v>Evidence MAKGOPA - South Africa</v>
      </c>
      <c r="H1032" t="str">
        <f t="shared" si="33"/>
        <v>ZAF17</v>
      </c>
      <c r="I1032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86" t="s">
        <v>3554</v>
      </c>
      <c r="G1033" s="148" t="str">
        <f t="shared" si="32"/>
        <v>Samukelo KABINI - South Africa</v>
      </c>
      <c r="H1033" t="str">
        <f t="shared" si="33"/>
        <v>ZAF18</v>
      </c>
      <c r="I1033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86" t="s">
        <v>3554</v>
      </c>
      <c r="G1034" s="148" t="str">
        <f t="shared" si="32"/>
        <v>Nkosinathi SIBISI - South Africa</v>
      </c>
      <c r="H1034" t="str">
        <f t="shared" si="33"/>
        <v>ZAF19</v>
      </c>
      <c r="I1034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86" t="s">
        <v>3554</v>
      </c>
      <c r="G1035" s="148" t="str">
        <f t="shared" si="32"/>
        <v>Khuliso MUDAU - South Africa</v>
      </c>
      <c r="H1035" t="str">
        <f t="shared" si="33"/>
        <v>ZAF20</v>
      </c>
      <c r="I1035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86" t="s">
        <v>3554</v>
      </c>
      <c r="G1036" s="148" t="str">
        <f t="shared" si="32"/>
        <v>Ime OKON - South Africa</v>
      </c>
      <c r="H1036" t="str">
        <f t="shared" si="33"/>
        <v>ZAF21</v>
      </c>
      <c r="I1036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86" t="s">
        <v>3554</v>
      </c>
      <c r="G1037" s="148" t="str">
        <f t="shared" si="32"/>
        <v>Ricardo GOSS - South Africa</v>
      </c>
      <c r="H1037" t="str">
        <f t="shared" si="33"/>
        <v>ZAF22</v>
      </c>
      <c r="I1037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86" t="s">
        <v>3554</v>
      </c>
      <c r="G1038" s="148" t="str">
        <f t="shared" si="32"/>
        <v>Jayden ADAMS - South Africa</v>
      </c>
      <c r="H1038" t="str">
        <f t="shared" si="33"/>
        <v>ZAF23</v>
      </c>
      <c r="I1038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86" t="s">
        <v>3554</v>
      </c>
      <c r="G1039" s="148" t="str">
        <f t="shared" si="32"/>
        <v>Olwethu MAKHANYA - South Africa</v>
      </c>
      <c r="H1039" t="str">
        <f t="shared" si="33"/>
        <v>ZAF24</v>
      </c>
      <c r="I1039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86" t="s">
        <v>3554</v>
      </c>
      <c r="G1040" s="148" t="str">
        <f t="shared" si="32"/>
        <v>Kamogelo SEBELEBELE - South Africa</v>
      </c>
      <c r="H1040" t="str">
        <f t="shared" si="33"/>
        <v>ZAF25</v>
      </c>
      <c r="I1040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86" t="s">
        <v>3554</v>
      </c>
      <c r="G1041" s="148" t="str">
        <f t="shared" si="32"/>
        <v>Bradley CROSS - South Africa</v>
      </c>
      <c r="H1041" t="str">
        <f t="shared" si="33"/>
        <v>ZAF26</v>
      </c>
      <c r="I104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87" t="s">
        <v>3581</v>
      </c>
      <c r="G1042" s="148" t="str">
        <f t="shared" si="32"/>
        <v>David RAYA - Spain</v>
      </c>
      <c r="H1042" t="str">
        <f t="shared" si="33"/>
        <v>ESP1</v>
      </c>
      <c r="I1042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87" t="s">
        <v>3581</v>
      </c>
      <c r="G1043" s="148" t="str">
        <f t="shared" si="32"/>
        <v>Marc PUBILL - Spain</v>
      </c>
      <c r="H1043" t="str">
        <f t="shared" si="33"/>
        <v>ESP2</v>
      </c>
      <c r="I104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87" t="s">
        <v>3581</v>
      </c>
      <c r="G1044" s="148" t="str">
        <f t="shared" si="32"/>
        <v>Alex GRIMALDO - Spain</v>
      </c>
      <c r="H1044" t="str">
        <f t="shared" si="33"/>
        <v>ESP3</v>
      </c>
      <c r="I1044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87" t="s">
        <v>3581</v>
      </c>
      <c r="G1045" s="148" t="str">
        <f t="shared" si="32"/>
        <v>Eric GARCIA - Spain</v>
      </c>
      <c r="H1045" t="str">
        <f t="shared" si="33"/>
        <v>ESP4</v>
      </c>
      <c r="I1045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87" t="s">
        <v>3581</v>
      </c>
      <c r="G1046" s="148" t="str">
        <f t="shared" si="32"/>
        <v>Marcos LLORENTE - Spain</v>
      </c>
      <c r="H1046" t="str">
        <f t="shared" si="33"/>
        <v>ESP5</v>
      </c>
      <c r="I1046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87" t="s">
        <v>3581</v>
      </c>
      <c r="G1047" s="148" t="str">
        <f t="shared" si="32"/>
        <v>Mikel MERINO - Spain</v>
      </c>
      <c r="H1047" t="str">
        <f t="shared" si="33"/>
        <v>ESP6</v>
      </c>
      <c r="I1047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87" t="s">
        <v>3581</v>
      </c>
      <c r="G1048" s="148" t="str">
        <f t="shared" si="32"/>
        <v>Ferran TORRES - Spain</v>
      </c>
      <c r="H1048" t="str">
        <f t="shared" si="33"/>
        <v>ESP7</v>
      </c>
      <c r="I1048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87" t="s">
        <v>3581</v>
      </c>
      <c r="G1049" s="148" t="str">
        <f t="shared" si="32"/>
        <v>Fabian RUIZ - Spain</v>
      </c>
      <c r="H1049" t="str">
        <f t="shared" si="33"/>
        <v>ESP8</v>
      </c>
      <c r="I1049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87" t="s">
        <v>3581</v>
      </c>
      <c r="G1050" s="148" t="str">
        <f t="shared" si="32"/>
        <v>Gavi GAVI - Spain</v>
      </c>
      <c r="H1050" t="str">
        <f t="shared" si="33"/>
        <v>ESP9</v>
      </c>
      <c r="I1050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87" t="s">
        <v>3581</v>
      </c>
      <c r="G1051" s="148" t="str">
        <f t="shared" si="32"/>
        <v>Dani OLMO - Spain</v>
      </c>
      <c r="H1051" t="str">
        <f t="shared" si="33"/>
        <v>ESP10</v>
      </c>
      <c r="I1051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87" t="s">
        <v>3581</v>
      </c>
      <c r="G1052" s="148" t="str">
        <f t="shared" si="32"/>
        <v>Yeremy PINO - Spain</v>
      </c>
      <c r="H1052" t="str">
        <f t="shared" si="33"/>
        <v>ESP11</v>
      </c>
      <c r="I1052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87" t="s">
        <v>3581</v>
      </c>
      <c r="G1053" s="148" t="str">
        <f t="shared" si="32"/>
        <v>Pedro PORRO - Spain</v>
      </c>
      <c r="H1053" t="str">
        <f t="shared" si="33"/>
        <v>ESP12</v>
      </c>
      <c r="I105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87" t="s">
        <v>3581</v>
      </c>
      <c r="G1054" s="148" t="str">
        <f t="shared" si="32"/>
        <v>Joan GARCIA - Spain</v>
      </c>
      <c r="H1054" t="str">
        <f t="shared" si="33"/>
        <v>ESP13</v>
      </c>
      <c r="I1054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87" t="s">
        <v>3581</v>
      </c>
      <c r="G1055" s="148" t="str">
        <f t="shared" si="32"/>
        <v>Aymeric LAPORTE - Spain</v>
      </c>
      <c r="H1055" t="str">
        <f t="shared" si="33"/>
        <v>ESP14</v>
      </c>
      <c r="I1055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87" t="s">
        <v>3581</v>
      </c>
      <c r="G1056" s="148" t="str">
        <f t="shared" si="32"/>
        <v>Alex BAENA - Spain</v>
      </c>
      <c r="H1056" t="str">
        <f t="shared" si="33"/>
        <v>ESP15</v>
      </c>
      <c r="I1056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87" t="s">
        <v>3581</v>
      </c>
      <c r="G1057" s="148" t="str">
        <f t="shared" si="32"/>
        <v>Rodri RODRI - Spain</v>
      </c>
      <c r="H1057" t="str">
        <f t="shared" si="33"/>
        <v>ESP16</v>
      </c>
      <c r="I1057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87" t="s">
        <v>3581</v>
      </c>
      <c r="G1058" s="148" t="str">
        <f t="shared" si="32"/>
        <v>Nico WILLIAMS - Spain</v>
      </c>
      <c r="H1058" t="str">
        <f t="shared" si="33"/>
        <v>ESP17</v>
      </c>
      <c r="I1058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87" t="s">
        <v>3581</v>
      </c>
      <c r="G1059" s="148" t="str">
        <f t="shared" si="32"/>
        <v>Martin ZUBIMENDI - Spain</v>
      </c>
      <c r="H1059" t="str">
        <f t="shared" si="33"/>
        <v>ESP18</v>
      </c>
      <c r="I1059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87" t="s">
        <v>3581</v>
      </c>
      <c r="G1060" s="148" t="str">
        <f t="shared" si="32"/>
        <v>Lamine YAMAL - Spain</v>
      </c>
      <c r="H1060" t="str">
        <f t="shared" si="33"/>
        <v>ESP19</v>
      </c>
      <c r="I1060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87" t="s">
        <v>3581</v>
      </c>
      <c r="G1061" s="148" t="str">
        <f t="shared" si="32"/>
        <v>Pedri PEDRI - Spain</v>
      </c>
      <c r="H1061" t="str">
        <f t="shared" si="33"/>
        <v>ESP20</v>
      </c>
      <c r="I1061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87" t="s">
        <v>3581</v>
      </c>
      <c r="G1062" s="148" t="str">
        <f t="shared" si="32"/>
        <v>Mikel OYARZABAL - Spain</v>
      </c>
      <c r="H1062" t="str">
        <f t="shared" si="33"/>
        <v>ESP21</v>
      </c>
      <c r="I1062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87" t="s">
        <v>3581</v>
      </c>
      <c r="G1063" s="148" t="str">
        <f t="shared" si="32"/>
        <v>Pau CUBARSI - Spain</v>
      </c>
      <c r="H1063" t="str">
        <f t="shared" si="33"/>
        <v>ESP22</v>
      </c>
      <c r="I106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87" t="s">
        <v>3581</v>
      </c>
      <c r="G1064" s="148" t="str">
        <f t="shared" si="32"/>
        <v>Unai SIMON - Spain</v>
      </c>
      <c r="H1064" t="str">
        <f t="shared" si="33"/>
        <v>ESP23</v>
      </c>
      <c r="I1064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87" t="s">
        <v>3581</v>
      </c>
      <c r="G1065" s="148" t="str">
        <f t="shared" si="32"/>
        <v>Marc CUCURELLA - Spain</v>
      </c>
      <c r="H1065" t="str">
        <f t="shared" si="33"/>
        <v>ESP24</v>
      </c>
      <c r="I1065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87" t="s">
        <v>3581</v>
      </c>
      <c r="G1066" s="148" t="str">
        <f t="shared" si="32"/>
        <v>Victor MUNOZ - Spain</v>
      </c>
      <c r="H1066" t="str">
        <f t="shared" si="33"/>
        <v>ESP25</v>
      </c>
      <c r="I1066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87" t="s">
        <v>3581</v>
      </c>
      <c r="G1067" s="148" t="str">
        <f t="shared" si="32"/>
        <v>Borja IGLESIAS - Spain</v>
      </c>
      <c r="H1067" t="str">
        <f t="shared" si="33"/>
        <v>ESP26</v>
      </c>
      <c r="I1067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88" t="s">
        <v>3608</v>
      </c>
      <c r="G1068" s="148" t="str">
        <f t="shared" si="32"/>
        <v>Jacob WIDELL ZETTERSTROM - Sweden</v>
      </c>
      <c r="H1068" t="str">
        <f t="shared" si="33"/>
        <v>SWE1</v>
      </c>
      <c r="I1068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88" t="s">
        <v>3608</v>
      </c>
      <c r="G1069" s="148" t="str">
        <f t="shared" si="32"/>
        <v>Gustaf LAGERBIELKE - Sweden</v>
      </c>
      <c r="H1069" t="str">
        <f t="shared" si="33"/>
        <v>SWE2</v>
      </c>
      <c r="I1069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88" t="s">
        <v>3608</v>
      </c>
      <c r="G1070" s="148" t="str">
        <f t="shared" si="32"/>
        <v>Victor LINDELOF - Sweden</v>
      </c>
      <c r="H1070" t="str">
        <f t="shared" si="33"/>
        <v>SWE3</v>
      </c>
      <c r="I1070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88" t="s">
        <v>3608</v>
      </c>
      <c r="G1071" s="148" t="str">
        <f t="shared" si="32"/>
        <v>Isak HIEN - Sweden</v>
      </c>
      <c r="H1071" t="str">
        <f t="shared" si="33"/>
        <v>SWE4</v>
      </c>
      <c r="I1071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88" t="s">
        <v>3608</v>
      </c>
      <c r="G1072" s="148" t="str">
        <f t="shared" si="32"/>
        <v>Gabriel GUDMUNDSSON - Sweden</v>
      </c>
      <c r="H1072" t="str">
        <f t="shared" si="33"/>
        <v>SWE5</v>
      </c>
      <c r="I1072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88" t="s">
        <v>3608</v>
      </c>
      <c r="G1073" s="148" t="str">
        <f t="shared" si="32"/>
        <v>Herman JOHANSSON - Sweden</v>
      </c>
      <c r="H1073" t="str">
        <f t="shared" si="33"/>
        <v>SWE6</v>
      </c>
      <c r="I1073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88" t="s">
        <v>3608</v>
      </c>
      <c r="G1074" s="148" t="str">
        <f t="shared" si="32"/>
        <v>Lucas BERGVALL - Sweden</v>
      </c>
      <c r="H1074" t="str">
        <f t="shared" si="33"/>
        <v>SWE7</v>
      </c>
      <c r="I1074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88" t="s">
        <v>3608</v>
      </c>
      <c r="G1075" s="148" t="str">
        <f t="shared" si="32"/>
        <v>Daniel SVENSSON - Sweden</v>
      </c>
      <c r="H1075" t="str">
        <f t="shared" si="33"/>
        <v>SWE8</v>
      </c>
      <c r="I107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88" t="s">
        <v>3608</v>
      </c>
      <c r="G1076" s="148" t="str">
        <f t="shared" si="32"/>
        <v>Alexander ISAK - Sweden</v>
      </c>
      <c r="H1076" t="str">
        <f t="shared" si="33"/>
        <v>SWE9</v>
      </c>
      <c r="I1076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88" t="s">
        <v>3608</v>
      </c>
      <c r="G1077" s="148" t="str">
        <f t="shared" si="32"/>
        <v>Benjamin NYGREN - Sweden</v>
      </c>
      <c r="H1077" t="str">
        <f t="shared" si="33"/>
        <v>SWE10</v>
      </c>
      <c r="I1077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88" t="s">
        <v>3608</v>
      </c>
      <c r="G1078" s="148" t="str">
        <f t="shared" si="32"/>
        <v>Anthony ELANGA - Sweden</v>
      </c>
      <c r="H1078" t="str">
        <f t="shared" si="33"/>
        <v>SWE11</v>
      </c>
      <c r="I1078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88" t="s">
        <v>3608</v>
      </c>
      <c r="G1079" s="148" t="str">
        <f t="shared" si="32"/>
        <v>Viktor JOHANSSON - Sweden</v>
      </c>
      <c r="H1079" t="str">
        <f t="shared" si="33"/>
        <v>SWE12</v>
      </c>
      <c r="I1079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88" t="s">
        <v>3608</v>
      </c>
      <c r="G1080" s="148" t="str">
        <f t="shared" si="32"/>
        <v>Ken SEMA - Sweden</v>
      </c>
      <c r="H1080" t="str">
        <f t="shared" si="33"/>
        <v>SWE13</v>
      </c>
      <c r="I1080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88" t="s">
        <v>3608</v>
      </c>
      <c r="G1081" s="148" t="str">
        <f t="shared" si="32"/>
        <v>Hjalmar EKDAL - Sweden</v>
      </c>
      <c r="H1081" t="str">
        <f t="shared" si="33"/>
        <v>SWE14</v>
      </c>
      <c r="I1081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88" t="s">
        <v>3608</v>
      </c>
      <c r="G1082" s="148" t="str">
        <f t="shared" si="32"/>
        <v>Carl STARFELT - Sweden</v>
      </c>
      <c r="H1082" t="str">
        <f t="shared" si="33"/>
        <v>SWE15</v>
      </c>
      <c r="I1082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88" t="s">
        <v>3608</v>
      </c>
      <c r="G1083" s="148" t="str">
        <f t="shared" si="32"/>
        <v>Jesper KARLSTROM - Sweden</v>
      </c>
      <c r="H1083" t="str">
        <f t="shared" si="33"/>
        <v>SWE16</v>
      </c>
      <c r="I1083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88" t="s">
        <v>3608</v>
      </c>
      <c r="G1084" s="148" t="str">
        <f t="shared" si="32"/>
        <v>Viktor GYOKERES - Sweden</v>
      </c>
      <c r="H1084" t="str">
        <f t="shared" si="33"/>
        <v>SWE17</v>
      </c>
      <c r="I1084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88" t="s">
        <v>3608</v>
      </c>
      <c r="G1085" s="148" t="str">
        <f t="shared" si="32"/>
        <v>Yasin AYARI - Sweden</v>
      </c>
      <c r="H1085" t="str">
        <f t="shared" si="33"/>
        <v>SWE18</v>
      </c>
      <c r="I108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88" t="s">
        <v>3608</v>
      </c>
      <c r="G1086" s="148" t="str">
        <f t="shared" si="32"/>
        <v>Mattias SVANBERG - Sweden</v>
      </c>
      <c r="H1086" t="str">
        <f t="shared" si="33"/>
        <v>SWE19</v>
      </c>
      <c r="I1086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88" t="s">
        <v>3608</v>
      </c>
      <c r="G1087" s="148" t="str">
        <f t="shared" si="32"/>
        <v>Eric SMITH - Sweden</v>
      </c>
      <c r="H1087" t="str">
        <f t="shared" si="33"/>
        <v>SWE20</v>
      </c>
      <c r="I1087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88" t="s">
        <v>3608</v>
      </c>
      <c r="G1088" s="148" t="str">
        <f t="shared" si="32"/>
        <v>Alexander BERNHARDSSON - Sweden</v>
      </c>
      <c r="H1088" t="str">
        <f t="shared" si="33"/>
        <v>SWE21</v>
      </c>
      <c r="I1088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88" t="s">
        <v>3608</v>
      </c>
      <c r="G1089" s="148" t="str">
        <f t="shared" si="32"/>
        <v>Besfort ZENELI - Sweden</v>
      </c>
      <c r="H1089" t="str">
        <f t="shared" si="33"/>
        <v>SWE22</v>
      </c>
      <c r="I1089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88" t="s">
        <v>3608</v>
      </c>
      <c r="G1090" s="148" t="str">
        <f t="shared" si="32"/>
        <v>Kristoffer NORDFELDT - Sweden</v>
      </c>
      <c r="H1090" t="str">
        <f t="shared" si="33"/>
        <v>SWE23</v>
      </c>
      <c r="I1090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88" t="s">
        <v>3608</v>
      </c>
      <c r="G1091" s="148" t="str">
        <f t="shared" ref="G1091:G1154" si="34">_xlfn.CONCAT(C1091, " ",D1091, " - ",F1091)</f>
        <v>Elliot STROUD - Sweden</v>
      </c>
      <c r="H1091" t="str">
        <f t="shared" ref="H1091:H1154" si="35">_xlfn.CONCAT(E1091,A1091)</f>
        <v>SWE24</v>
      </c>
      <c r="I1091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88" t="s">
        <v>3608</v>
      </c>
      <c r="G1092" s="148" t="str">
        <f t="shared" si="34"/>
        <v>Gustaf NILSSON - Sweden</v>
      </c>
      <c r="H1092" t="str">
        <f t="shared" si="35"/>
        <v>SWE25</v>
      </c>
      <c r="I1092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88" t="s">
        <v>3608</v>
      </c>
      <c r="G1093" s="148" t="str">
        <f t="shared" si="34"/>
        <v>Taha ALI - Sweden</v>
      </c>
      <c r="H1093" t="str">
        <f t="shared" si="35"/>
        <v>SWE26</v>
      </c>
      <c r="I1093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89" t="s">
        <v>3635</v>
      </c>
      <c r="G1094" s="148" t="str">
        <f t="shared" si="34"/>
        <v>Gregor KOBEL - Switzerland</v>
      </c>
      <c r="H1094" t="str">
        <f t="shared" si="35"/>
        <v>CHE1</v>
      </c>
      <c r="I1094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89" t="s">
        <v>3635</v>
      </c>
      <c r="G1095" s="148" t="str">
        <f t="shared" si="34"/>
        <v>Miro MUHEIM - Switzerland</v>
      </c>
      <c r="H1095" t="str">
        <f t="shared" si="35"/>
        <v>CHE2</v>
      </c>
      <c r="I1095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89" t="s">
        <v>3635</v>
      </c>
      <c r="G1096" s="148" t="str">
        <f t="shared" si="34"/>
        <v>Silvan WIDMER - Switzerland</v>
      </c>
      <c r="H1096" t="str">
        <f t="shared" si="35"/>
        <v>CHE3</v>
      </c>
      <c r="I1096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89" t="s">
        <v>3635</v>
      </c>
      <c r="G1097" s="148" t="str">
        <f t="shared" si="34"/>
        <v>Nico ELVEDI - Switzerland</v>
      </c>
      <c r="H1097" t="str">
        <f t="shared" si="35"/>
        <v>CHE4</v>
      </c>
      <c r="I109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89" t="s">
        <v>3635</v>
      </c>
      <c r="G1098" s="148" t="str">
        <f t="shared" si="34"/>
        <v>Manuel AKANJI - Switzerland</v>
      </c>
      <c r="H1098" t="str">
        <f t="shared" si="35"/>
        <v>CHE5</v>
      </c>
      <c r="I1098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89" t="s">
        <v>3635</v>
      </c>
      <c r="G1099" s="148" t="str">
        <f t="shared" si="34"/>
        <v>Denis ZAKARIA - Switzerland</v>
      </c>
      <c r="H1099" t="str">
        <f t="shared" si="35"/>
        <v>CHE6</v>
      </c>
      <c r="I1099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89" t="s">
        <v>3635</v>
      </c>
      <c r="G1100" s="148" t="str">
        <f t="shared" si="34"/>
        <v>Breel EMBOLO - Switzerland</v>
      </c>
      <c r="H1100" t="str">
        <f t="shared" si="35"/>
        <v>CHE7</v>
      </c>
      <c r="I1100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89" t="s">
        <v>3635</v>
      </c>
      <c r="G1101" s="148" t="str">
        <f t="shared" si="34"/>
        <v>Remo FREULER - Switzerland</v>
      </c>
      <c r="H1101" t="str">
        <f t="shared" si="35"/>
        <v>CHE8</v>
      </c>
      <c r="I1101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89" t="s">
        <v>3635</v>
      </c>
      <c r="G1102" s="148" t="str">
        <f t="shared" si="34"/>
        <v>Johan MANZAMBI - Switzerland</v>
      </c>
      <c r="H1102" t="str">
        <f t="shared" si="35"/>
        <v>CHE9</v>
      </c>
      <c r="I1102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89" t="s">
        <v>3635</v>
      </c>
      <c r="G1103" s="148" t="str">
        <f t="shared" si="34"/>
        <v>Granit XHAKA - Switzerland</v>
      </c>
      <c r="H1103" t="str">
        <f t="shared" si="35"/>
        <v>CHE10</v>
      </c>
      <c r="I1103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89" t="s">
        <v>3635</v>
      </c>
      <c r="G1104" s="148" t="str">
        <f t="shared" si="34"/>
        <v>Dan NDOYE - Switzerland</v>
      </c>
      <c r="H1104" t="str">
        <f t="shared" si="35"/>
        <v>CHE11</v>
      </c>
      <c r="I1104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89" t="s">
        <v>3635</v>
      </c>
      <c r="G1105" s="148" t="str">
        <f t="shared" si="34"/>
        <v>Yvon MVOGO - Switzerland</v>
      </c>
      <c r="H1105" t="str">
        <f t="shared" si="35"/>
        <v>CHE12</v>
      </c>
      <c r="I1105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89" t="s">
        <v>3635</v>
      </c>
      <c r="G1106" s="148" t="str">
        <f t="shared" si="34"/>
        <v>Ricardo RODRIGUEZ - Switzerland</v>
      </c>
      <c r="H1106" t="str">
        <f t="shared" si="35"/>
        <v>CHE13</v>
      </c>
      <c r="I1106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89" t="s">
        <v>3635</v>
      </c>
      <c r="G1107" s="148" t="str">
        <f t="shared" si="34"/>
        <v>Ardon JASHARI - Switzerland</v>
      </c>
      <c r="H1107" t="str">
        <f t="shared" si="35"/>
        <v>CHE14</v>
      </c>
      <c r="I110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89" t="s">
        <v>3635</v>
      </c>
      <c r="G1108" s="148" t="str">
        <f t="shared" si="34"/>
        <v>Djibril SOW - Switzerland</v>
      </c>
      <c r="H1108" t="str">
        <f t="shared" si="35"/>
        <v>CHE15</v>
      </c>
      <c r="I1108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89" t="s">
        <v>3635</v>
      </c>
      <c r="G1109" s="148" t="str">
        <f t="shared" si="34"/>
        <v>Christian FASSNACHT - Switzerland</v>
      </c>
      <c r="H1109" t="str">
        <f t="shared" si="35"/>
        <v>CHE16</v>
      </c>
      <c r="I1109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89" t="s">
        <v>3635</v>
      </c>
      <c r="G1110" s="148" t="str">
        <f t="shared" si="34"/>
        <v>Ruben VARGAS - Switzerland</v>
      </c>
      <c r="H1110" t="str">
        <f t="shared" si="35"/>
        <v>CHE17</v>
      </c>
      <c r="I1110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89" t="s">
        <v>3635</v>
      </c>
      <c r="G1111" s="148" t="str">
        <f t="shared" si="34"/>
        <v>Eray COEMERT - Switzerland</v>
      </c>
      <c r="H1111" t="str">
        <f t="shared" si="35"/>
        <v>CHE18</v>
      </c>
      <c r="I1111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89" t="s">
        <v>3635</v>
      </c>
      <c r="G1112" s="148" t="str">
        <f t="shared" si="34"/>
        <v>Noah OKAFOR - Switzerland</v>
      </c>
      <c r="H1112" t="str">
        <f t="shared" si="35"/>
        <v>CHE19</v>
      </c>
      <c r="I1112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89" t="s">
        <v>3635</v>
      </c>
      <c r="G1113" s="148" t="str">
        <f t="shared" si="34"/>
        <v>Michel AEBISCHER - Switzerland</v>
      </c>
      <c r="H1113" t="str">
        <f t="shared" si="35"/>
        <v>CHE20</v>
      </c>
      <c r="I1113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89" t="s">
        <v>3635</v>
      </c>
      <c r="G1114" s="148" t="str">
        <f t="shared" si="34"/>
        <v>Marvin KELLER - Switzerland</v>
      </c>
      <c r="H1114" t="str">
        <f t="shared" si="35"/>
        <v>CHE21</v>
      </c>
      <c r="I1114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89" t="s">
        <v>3635</v>
      </c>
      <c r="G1115" s="148" t="str">
        <f t="shared" si="34"/>
        <v>Fabian RIEDER - Switzerland</v>
      </c>
      <c r="H1115" t="str">
        <f t="shared" si="35"/>
        <v>CHE22</v>
      </c>
      <c r="I1115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89" t="s">
        <v>3635</v>
      </c>
      <c r="G1116" s="148" t="str">
        <f t="shared" si="34"/>
        <v>Zeki AMDOUNI - Switzerland</v>
      </c>
      <c r="H1116" t="str">
        <f t="shared" si="35"/>
        <v>CHE23</v>
      </c>
      <c r="I1116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89" t="s">
        <v>3635</v>
      </c>
      <c r="G1117" s="148" t="str">
        <f t="shared" si="34"/>
        <v>Aurele AMENDA - Switzerland</v>
      </c>
      <c r="H1117" t="str">
        <f t="shared" si="35"/>
        <v>CHE24</v>
      </c>
      <c r="I1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89" t="s">
        <v>3635</v>
      </c>
      <c r="G1118" s="148" t="str">
        <f t="shared" si="34"/>
        <v>Luca JAQUEZ - Switzerland</v>
      </c>
      <c r="H1118" t="str">
        <f t="shared" si="35"/>
        <v>CHE25</v>
      </c>
      <c r="I1118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89" t="s">
        <v>3635</v>
      </c>
      <c r="G1119" s="148" t="str">
        <f t="shared" si="34"/>
        <v>Cedric ITTEN - Switzerland</v>
      </c>
      <c r="H1119" t="str">
        <f t="shared" si="35"/>
        <v>CHE26</v>
      </c>
      <c r="I1119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90" t="s">
        <v>3662</v>
      </c>
      <c r="G1120" s="148" t="str">
        <f t="shared" si="34"/>
        <v>Mouhib CHAMAKH - Tunisia</v>
      </c>
      <c r="H1120" t="str">
        <f t="shared" si="35"/>
        <v>TUN1</v>
      </c>
      <c r="I1120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90" t="s">
        <v>3662</v>
      </c>
      <c r="G1121" s="148" t="str">
        <f t="shared" si="34"/>
        <v>Ali ABDI - Tunisia</v>
      </c>
      <c r="H1121" t="str">
        <f t="shared" si="35"/>
        <v>TUN2</v>
      </c>
      <c r="I1121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90" t="s">
        <v>3662</v>
      </c>
      <c r="G1122" s="148" t="str">
        <f t="shared" si="34"/>
        <v>Montassar TALBI - Tunisia</v>
      </c>
      <c r="H1122" t="str">
        <f t="shared" si="35"/>
        <v>TUN3</v>
      </c>
      <c r="I1122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90" t="s">
        <v>3662</v>
      </c>
      <c r="G1123" s="148" t="str">
        <f t="shared" si="34"/>
        <v>Omar REKIK - Tunisia</v>
      </c>
      <c r="H1123" t="str">
        <f t="shared" si="35"/>
        <v>TUN4</v>
      </c>
      <c r="I1123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90" t="s">
        <v>3662</v>
      </c>
      <c r="G1124" s="148" t="str">
        <f t="shared" si="34"/>
        <v>Adam AROUS - Tunisia</v>
      </c>
      <c r="H1124" t="str">
        <f t="shared" si="35"/>
        <v>TUN5</v>
      </c>
      <c r="I1124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90" t="s">
        <v>3662</v>
      </c>
      <c r="G1125" s="148" t="str">
        <f t="shared" si="34"/>
        <v>Dylan BRONN - Tunisia</v>
      </c>
      <c r="H1125" t="str">
        <f t="shared" si="35"/>
        <v>TUN6</v>
      </c>
      <c r="I1125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90" t="s">
        <v>3662</v>
      </c>
      <c r="G1126" s="148" t="str">
        <f t="shared" si="34"/>
        <v>Elias ACHOURI - Tunisia</v>
      </c>
      <c r="H1126" t="str">
        <f t="shared" si="35"/>
        <v>TUN7</v>
      </c>
      <c r="I1126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90" t="s">
        <v>3662</v>
      </c>
      <c r="G1127" s="148" t="str">
        <f t="shared" si="34"/>
        <v>Elias SAAD - Tunisia</v>
      </c>
      <c r="H1127" t="str">
        <f t="shared" si="35"/>
        <v>TUN8</v>
      </c>
      <c r="I1127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90" t="s">
        <v>3662</v>
      </c>
      <c r="G1128" s="148" t="str">
        <f t="shared" si="34"/>
        <v>Hazem MASTOURI - Tunisia</v>
      </c>
      <c r="H1128" t="str">
        <f t="shared" si="35"/>
        <v>TUN9</v>
      </c>
      <c r="I1128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90" t="s">
        <v>3662</v>
      </c>
      <c r="G1129" s="148" t="str">
        <f t="shared" si="34"/>
        <v>Hannibal MEJBRI - Tunisia</v>
      </c>
      <c r="H1129" t="str">
        <f t="shared" si="35"/>
        <v>TUN10</v>
      </c>
      <c r="I112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90" t="s">
        <v>3662</v>
      </c>
      <c r="G1130" s="148" t="str">
        <f t="shared" si="34"/>
        <v>Ismael GHARBI - Tunisia</v>
      </c>
      <c r="H1130" t="str">
        <f t="shared" si="35"/>
        <v>TUN11</v>
      </c>
      <c r="I1130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90" t="s">
        <v>3662</v>
      </c>
      <c r="G1131" s="148" t="str">
        <f t="shared" si="34"/>
        <v>Mortadha BEN OUANES - Tunisia</v>
      </c>
      <c r="H1131" t="str">
        <f t="shared" si="35"/>
        <v>TUN12</v>
      </c>
      <c r="I1131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90" t="s">
        <v>3662</v>
      </c>
      <c r="G1132" s="148" t="str">
        <f t="shared" si="34"/>
        <v>Rani KHEDIRA - Tunisia</v>
      </c>
      <c r="H1132" t="str">
        <f t="shared" si="35"/>
        <v>TUN13</v>
      </c>
      <c r="I1132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90" t="s">
        <v>3662</v>
      </c>
      <c r="G1133" s="148" t="str">
        <f t="shared" si="34"/>
        <v>Khalil AYARI - Tunisia</v>
      </c>
      <c r="H1133" t="str">
        <f t="shared" si="35"/>
        <v>TUN14</v>
      </c>
      <c r="I1133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90" t="s">
        <v>3662</v>
      </c>
      <c r="G1134" s="148" t="str">
        <f t="shared" si="34"/>
        <v>Mohamed HADJ MAHMOUD - Tunisia</v>
      </c>
      <c r="H1134" t="str">
        <f t="shared" si="35"/>
        <v>TUN15</v>
      </c>
      <c r="I1134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90" t="s">
        <v>3662</v>
      </c>
      <c r="G1135" s="148" t="str">
        <f t="shared" si="34"/>
        <v>Aymen DAHMEN - Tunisia</v>
      </c>
      <c r="H1135" t="str">
        <f t="shared" si="35"/>
        <v>TUN16</v>
      </c>
      <c r="I1135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90" t="s">
        <v>3662</v>
      </c>
      <c r="G1136" s="148" t="str">
        <f t="shared" si="34"/>
        <v>Ellyes SKHIRI - Tunisia</v>
      </c>
      <c r="H1136" t="str">
        <f t="shared" si="35"/>
        <v>TUN17</v>
      </c>
      <c r="I1136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90" t="s">
        <v>3662</v>
      </c>
      <c r="G1137" s="148" t="str">
        <f t="shared" si="34"/>
        <v>Rayan ELLOUMI - Tunisia</v>
      </c>
      <c r="H1137" t="str">
        <f t="shared" si="35"/>
        <v>TUN18</v>
      </c>
      <c r="I1137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90" t="s">
        <v>3662</v>
      </c>
      <c r="G1138" s="148" t="str">
        <f t="shared" si="34"/>
        <v>Firas CHAOUAT - Tunisia</v>
      </c>
      <c r="H1138" t="str">
        <f t="shared" si="35"/>
        <v>TUN19</v>
      </c>
      <c r="I1138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90" t="s">
        <v>3662</v>
      </c>
      <c r="G1139" s="148" t="str">
        <f t="shared" si="34"/>
        <v>Yan VALERY - Tunisia</v>
      </c>
      <c r="H1139" t="str">
        <f t="shared" si="35"/>
        <v>TUN20</v>
      </c>
      <c r="I113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90" t="s">
        <v>3662</v>
      </c>
      <c r="G1140" s="148" t="str">
        <f t="shared" si="34"/>
        <v>Mohamed Amine BEN HMIDA - Tunisia</v>
      </c>
      <c r="H1140" t="str">
        <f t="shared" si="35"/>
        <v>TUN21</v>
      </c>
      <c r="I1140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90" t="s">
        <v>3662</v>
      </c>
      <c r="G1141" s="148" t="str">
        <f t="shared" si="34"/>
        <v>Sabri BEN HESSEN - Tunisia</v>
      </c>
      <c r="H1141" t="str">
        <f t="shared" si="35"/>
        <v>TUN22</v>
      </c>
      <c r="I1141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90" t="s">
        <v>3662</v>
      </c>
      <c r="G1142" s="148" t="str">
        <f t="shared" si="34"/>
        <v>Moutaz NEFFATI - Tunisia</v>
      </c>
      <c r="H1142" t="str">
        <f t="shared" si="35"/>
        <v>TUN23</v>
      </c>
      <c r="I1142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90" t="s">
        <v>3662</v>
      </c>
      <c r="G1143" s="148" t="str">
        <f t="shared" si="34"/>
        <v>Raed CHIKHAOUI - Tunisia</v>
      </c>
      <c r="H1143" t="str">
        <f t="shared" si="35"/>
        <v>TUN24</v>
      </c>
      <c r="I1143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90" t="s">
        <v>3662</v>
      </c>
      <c r="G1144" s="148" t="str">
        <f t="shared" si="34"/>
        <v>Anis SLIMANE - Tunisia</v>
      </c>
      <c r="H1144" t="str">
        <f t="shared" si="35"/>
        <v>TUN25</v>
      </c>
      <c r="I1144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90" t="s">
        <v>3662</v>
      </c>
      <c r="G1145" s="148" t="str">
        <f t="shared" si="34"/>
        <v>Sebastian TOUNEKTI - Tunisia</v>
      </c>
      <c r="H1145" t="str">
        <f t="shared" si="35"/>
        <v>TUN26</v>
      </c>
      <c r="I1145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91" t="s">
        <v>3689</v>
      </c>
      <c r="G1146" s="148" t="str">
        <f t="shared" si="34"/>
        <v>Mert GUNOK - Türkiye</v>
      </c>
      <c r="H1146" t="str">
        <f t="shared" si="35"/>
        <v>TUR1</v>
      </c>
      <c r="I1146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91" t="s">
        <v>3689</v>
      </c>
      <c r="G1147" s="148" t="str">
        <f t="shared" si="34"/>
        <v>Zeki CELIK - Türkiye</v>
      </c>
      <c r="H1147" t="str">
        <f t="shared" si="35"/>
        <v>TUR2</v>
      </c>
      <c r="I1147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91" t="s">
        <v>3689</v>
      </c>
      <c r="G1148" s="148" t="str">
        <f t="shared" si="34"/>
        <v>Merih DEMIRAL - Türkiye</v>
      </c>
      <c r="H1148" t="str">
        <f t="shared" si="35"/>
        <v>TUR3</v>
      </c>
      <c r="I1148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91" t="s">
        <v>3689</v>
      </c>
      <c r="G1149" s="148" t="str">
        <f t="shared" si="34"/>
        <v>Caglar SOYUNCU - Türkiye</v>
      </c>
      <c r="H1149" t="str">
        <f t="shared" si="35"/>
        <v>TUR4</v>
      </c>
      <c r="I1149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91" t="s">
        <v>3689</v>
      </c>
      <c r="G1150" s="148" t="str">
        <f t="shared" si="34"/>
        <v>Salih OZCAN - Türkiye</v>
      </c>
      <c r="H1150" t="str">
        <f t="shared" si="35"/>
        <v>TUR5</v>
      </c>
      <c r="I1150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91" t="s">
        <v>3689</v>
      </c>
      <c r="G1151" s="148" t="str">
        <f t="shared" si="34"/>
        <v>Orkun KOKCU - Türkiye</v>
      </c>
      <c r="H1151" t="str">
        <f t="shared" si="35"/>
        <v>TUR6</v>
      </c>
      <c r="I115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91" t="s">
        <v>3689</v>
      </c>
      <c r="G1152" s="148" t="str">
        <f t="shared" si="34"/>
        <v>Kerem AKTURKOGLU - Türkiye</v>
      </c>
      <c r="H1152" t="str">
        <f t="shared" si="35"/>
        <v>TUR7</v>
      </c>
      <c r="I1152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91" t="s">
        <v>3689</v>
      </c>
      <c r="G1153" s="148" t="str">
        <f t="shared" si="34"/>
        <v>Arda GULER - Türkiye</v>
      </c>
      <c r="H1153" t="str">
        <f t="shared" si="35"/>
        <v>TUR8</v>
      </c>
      <c r="I1153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91" t="s">
        <v>3689</v>
      </c>
      <c r="G1154" s="148" t="str">
        <f t="shared" si="34"/>
        <v>Deniz GUL - Türkiye</v>
      </c>
      <c r="H1154" t="str">
        <f t="shared" si="35"/>
        <v>TUR9</v>
      </c>
      <c r="I1154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91" t="s">
        <v>3689</v>
      </c>
      <c r="G1155" s="148" t="str">
        <f t="shared" ref="G1155:G1218" si="36">_xlfn.CONCAT(C1155, " ",D1155, " - ",F1155)</f>
        <v>Hakan CALHANOGLU - Türkiye</v>
      </c>
      <c r="H1155" t="str">
        <f t="shared" ref="H1155:H1218" si="37">_xlfn.CONCAT(E1155,A1155)</f>
        <v>TUR10</v>
      </c>
      <c r="I1155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91" t="s">
        <v>3689</v>
      </c>
      <c r="G1156" s="148" t="str">
        <f t="shared" si="36"/>
        <v>Kenan YILDIZ - Türkiye</v>
      </c>
      <c r="H1156" t="str">
        <f t="shared" si="37"/>
        <v>TUR11</v>
      </c>
      <c r="I1156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91" t="s">
        <v>3689</v>
      </c>
      <c r="G1157" s="148" t="str">
        <f t="shared" si="36"/>
        <v>Altay BAYINDIR - Türkiye</v>
      </c>
      <c r="H1157" t="str">
        <f t="shared" si="37"/>
        <v>TUR12</v>
      </c>
      <c r="I1157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91" t="s">
        <v>3689</v>
      </c>
      <c r="G1158" s="148" t="str">
        <f t="shared" si="36"/>
        <v>Eren ELMALI - Türkiye</v>
      </c>
      <c r="H1158" t="str">
        <f t="shared" si="37"/>
        <v>TUR13</v>
      </c>
      <c r="I1158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91" t="s">
        <v>3689</v>
      </c>
      <c r="G1159" s="148" t="str">
        <f t="shared" si="36"/>
        <v>Abdulkerim BARDAKCI - Türkiye</v>
      </c>
      <c r="H1159" t="str">
        <f t="shared" si="37"/>
        <v>TUR14</v>
      </c>
      <c r="I1159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91" t="s">
        <v>3689</v>
      </c>
      <c r="G1160" s="148" t="str">
        <f t="shared" si="36"/>
        <v>Ozan KABAK - Türkiye</v>
      </c>
      <c r="H1160" t="str">
        <f t="shared" si="37"/>
        <v>TUR15</v>
      </c>
      <c r="I1160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91" t="s">
        <v>3689</v>
      </c>
      <c r="G1161" s="148" t="str">
        <f t="shared" si="36"/>
        <v>Ismail YUKSEK - Türkiye</v>
      </c>
      <c r="H1161" t="str">
        <f t="shared" si="37"/>
        <v>TUR16</v>
      </c>
      <c r="I116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91" t="s">
        <v>3689</v>
      </c>
      <c r="G1162" s="148" t="str">
        <f t="shared" si="36"/>
        <v>Irfan Can KAHVECI - Türkiye</v>
      </c>
      <c r="H1162" t="str">
        <f t="shared" si="37"/>
        <v>TUR17</v>
      </c>
      <c r="I1162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91" t="s">
        <v>3689</v>
      </c>
      <c r="G1163" s="148" t="str">
        <f t="shared" si="36"/>
        <v>Mert MULDUR - Türkiye</v>
      </c>
      <c r="H1163" t="str">
        <f t="shared" si="37"/>
        <v>TUR18</v>
      </c>
      <c r="I1163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91" t="s">
        <v>3689</v>
      </c>
      <c r="G1164" s="148" t="str">
        <f t="shared" si="36"/>
        <v>Yunus AKGUN - Türkiye</v>
      </c>
      <c r="H1164" t="str">
        <f t="shared" si="37"/>
        <v>TUR19</v>
      </c>
      <c r="I1164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91" t="s">
        <v>3689</v>
      </c>
      <c r="G1165" s="148" t="str">
        <f t="shared" si="36"/>
        <v>Ferdi KADIOGLU - Türkiye</v>
      </c>
      <c r="H1165" t="str">
        <f t="shared" si="37"/>
        <v>TUR20</v>
      </c>
      <c r="I1165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91" t="s">
        <v>3689</v>
      </c>
      <c r="G1166" s="148" t="str">
        <f t="shared" si="36"/>
        <v>Baris Alper YILMAZ - Türkiye</v>
      </c>
      <c r="H1166" t="str">
        <f t="shared" si="37"/>
        <v>TUR21</v>
      </c>
      <c r="I1166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91" t="s">
        <v>3689</v>
      </c>
      <c r="G1167" s="148" t="str">
        <f t="shared" si="36"/>
        <v>Kaan AYHAN - Türkiye</v>
      </c>
      <c r="H1167" t="str">
        <f t="shared" si="37"/>
        <v>TUR22</v>
      </c>
      <c r="I1167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91" t="s">
        <v>3689</v>
      </c>
      <c r="G1168" s="148" t="str">
        <f t="shared" si="36"/>
        <v>Ugurcan CAKIR - Türkiye</v>
      </c>
      <c r="H1168" t="str">
        <f t="shared" si="37"/>
        <v>TUR23</v>
      </c>
      <c r="I1168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91" t="s">
        <v>3689</v>
      </c>
      <c r="G1169" s="148" t="str">
        <f t="shared" si="36"/>
        <v>Oguz AYDIN - Türkiye</v>
      </c>
      <c r="H1169" t="str">
        <f t="shared" si="37"/>
        <v>TUR24</v>
      </c>
      <c r="I1169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91" t="s">
        <v>3689</v>
      </c>
      <c r="G1170" s="148" t="str">
        <f t="shared" si="36"/>
        <v>Samet AKAYDIN - Türkiye</v>
      </c>
      <c r="H1170" t="str">
        <f t="shared" si="37"/>
        <v>TUR25</v>
      </c>
      <c r="I1170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91" t="s">
        <v>3689</v>
      </c>
      <c r="G1171" s="148" t="str">
        <f t="shared" si="36"/>
        <v>Can UZUN - Türkiye</v>
      </c>
      <c r="H1171" t="str">
        <f t="shared" si="37"/>
        <v>TUR26</v>
      </c>
      <c r="I117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92" t="s">
        <v>3716</v>
      </c>
      <c r="G1172" s="148" t="str">
        <f t="shared" si="36"/>
        <v>Sergio ROCHET - Uruguay</v>
      </c>
      <c r="H1172" t="str">
        <f t="shared" si="37"/>
        <v>URY1</v>
      </c>
      <c r="I1172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92" t="s">
        <v>3716</v>
      </c>
      <c r="G1173" s="148" t="str">
        <f t="shared" si="36"/>
        <v>Jose Maria GIMENEZ - Uruguay</v>
      </c>
      <c r="H1173" t="str">
        <f t="shared" si="37"/>
        <v>URY2</v>
      </c>
      <c r="I117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92" t="s">
        <v>3716</v>
      </c>
      <c r="G1174" s="148" t="str">
        <f t="shared" si="36"/>
        <v>Sebastian CACERES - Uruguay</v>
      </c>
      <c r="H1174" t="str">
        <f t="shared" si="37"/>
        <v>URY3</v>
      </c>
      <c r="I1174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92" t="s">
        <v>3716</v>
      </c>
      <c r="G1175" s="148" t="str">
        <f t="shared" si="36"/>
        <v>Ronald ARAUJO - Uruguay</v>
      </c>
      <c r="H1175" t="str">
        <f t="shared" si="37"/>
        <v>URY4</v>
      </c>
      <c r="I1175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92" t="s">
        <v>3716</v>
      </c>
      <c r="G1176" s="148" t="str">
        <f t="shared" si="36"/>
        <v>Manuel UGARTE - Uruguay</v>
      </c>
      <c r="H1176" t="str">
        <f t="shared" si="37"/>
        <v>URY5</v>
      </c>
      <c r="I1176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92" t="s">
        <v>3716</v>
      </c>
      <c r="G1177" s="148" t="str">
        <f t="shared" si="36"/>
        <v>Rodrigo BENTANCUR - Uruguay</v>
      </c>
      <c r="H1177" t="str">
        <f t="shared" si="37"/>
        <v>URY6</v>
      </c>
      <c r="I1177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92" t="s">
        <v>3716</v>
      </c>
      <c r="G1178" s="148" t="str">
        <f t="shared" si="36"/>
        <v>Nicolas DE LA CRUZ - Uruguay</v>
      </c>
      <c r="H1178" t="str">
        <f t="shared" si="37"/>
        <v>URY7</v>
      </c>
      <c r="I1178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92" t="s">
        <v>3716</v>
      </c>
      <c r="G1179" s="148" t="str">
        <f t="shared" si="36"/>
        <v>Federico VALVERDE - Uruguay</v>
      </c>
      <c r="H1179" t="str">
        <f t="shared" si="37"/>
        <v>URY8</v>
      </c>
      <c r="I1179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92" t="s">
        <v>3716</v>
      </c>
      <c r="G1180" s="148" t="str">
        <f t="shared" si="36"/>
        <v>Darwin NUNEZ - Uruguay</v>
      </c>
      <c r="H1180" t="str">
        <f t="shared" si="37"/>
        <v>URY9</v>
      </c>
      <c r="I1180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92" t="s">
        <v>3716</v>
      </c>
      <c r="G1181" s="148" t="str">
        <f t="shared" si="36"/>
        <v>Giorgian DE ARRASCAETA - Uruguay</v>
      </c>
      <c r="H1181" t="str">
        <f t="shared" si="37"/>
        <v>URY10</v>
      </c>
      <c r="I1181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92" t="s">
        <v>3716</v>
      </c>
      <c r="G1182" s="148" t="str">
        <f t="shared" si="36"/>
        <v>Facundo PELLISTRI - Uruguay</v>
      </c>
      <c r="H1182" t="str">
        <f t="shared" si="37"/>
        <v>URY11</v>
      </c>
      <c r="I1182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92" t="s">
        <v>3716</v>
      </c>
      <c r="G1183" s="148" t="str">
        <f t="shared" si="36"/>
        <v>Santiago MELE - Uruguay</v>
      </c>
      <c r="H1183" t="str">
        <f t="shared" si="37"/>
        <v>URY12</v>
      </c>
      <c r="I118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92" t="s">
        <v>3716</v>
      </c>
      <c r="G1184" s="148" t="str">
        <f t="shared" si="36"/>
        <v>Guillermo VARELA - Uruguay</v>
      </c>
      <c r="H1184" t="str">
        <f t="shared" si="37"/>
        <v>URY13</v>
      </c>
      <c r="I1184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92" t="s">
        <v>3716</v>
      </c>
      <c r="G1185" s="148" t="str">
        <f t="shared" si="36"/>
        <v>Agustin CANOBBIO - Uruguay</v>
      </c>
      <c r="H1185" t="str">
        <f t="shared" si="37"/>
        <v>URY14</v>
      </c>
      <c r="I1185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92" t="s">
        <v>3716</v>
      </c>
      <c r="G1186" s="148" t="str">
        <f t="shared" si="36"/>
        <v>Emiliano MARTINEZ - Uruguay</v>
      </c>
      <c r="H1186" t="str">
        <f t="shared" si="37"/>
        <v>URY15</v>
      </c>
      <c r="I1186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92" t="s">
        <v>3716</v>
      </c>
      <c r="G1187" s="148" t="str">
        <f t="shared" si="36"/>
        <v>Mathias OLIVERA - Uruguay</v>
      </c>
      <c r="H1187" t="str">
        <f t="shared" si="37"/>
        <v>URY16</v>
      </c>
      <c r="I1187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92" t="s">
        <v>3716</v>
      </c>
      <c r="G1188" s="148" t="str">
        <f t="shared" si="36"/>
        <v>Matias VINA - Uruguay</v>
      </c>
      <c r="H1188" t="str">
        <f t="shared" si="37"/>
        <v>URY17</v>
      </c>
      <c r="I1188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92" t="s">
        <v>3716</v>
      </c>
      <c r="G1189" s="148" t="str">
        <f t="shared" si="36"/>
        <v>Brian RODRIGUEZ - Uruguay</v>
      </c>
      <c r="H1189" t="str">
        <f t="shared" si="37"/>
        <v>URY18</v>
      </c>
      <c r="I1189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92" t="s">
        <v>3716</v>
      </c>
      <c r="G1190" s="148" t="str">
        <f t="shared" si="36"/>
        <v>Rodrigo AGUIRRE - Uruguay</v>
      </c>
      <c r="H1190" t="str">
        <f t="shared" si="37"/>
        <v>URY19</v>
      </c>
      <c r="I1190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92" t="s">
        <v>3716</v>
      </c>
      <c r="G1191" s="148" t="str">
        <f t="shared" si="36"/>
        <v>Maxi ARAUJO - Uruguay</v>
      </c>
      <c r="H1191" t="str">
        <f t="shared" si="37"/>
        <v>URY20</v>
      </c>
      <c r="I1191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92" t="s">
        <v>3716</v>
      </c>
      <c r="G1192" s="148" t="str">
        <f t="shared" si="36"/>
        <v>Federico VINAS - Uruguay</v>
      </c>
      <c r="H1192" t="str">
        <f t="shared" si="37"/>
        <v>URY21</v>
      </c>
      <c r="I1192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92" t="s">
        <v>3716</v>
      </c>
      <c r="G1193" s="148" t="str">
        <f t="shared" si="36"/>
        <v>Joaquin PIQUEREZ - Uruguay</v>
      </c>
      <c r="H1193" t="str">
        <f t="shared" si="37"/>
        <v>URY22</v>
      </c>
      <c r="I119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92" t="s">
        <v>3716</v>
      </c>
      <c r="G1194" s="148" t="str">
        <f t="shared" si="36"/>
        <v>Fernando MUSLERA - Uruguay</v>
      </c>
      <c r="H1194" t="str">
        <f t="shared" si="37"/>
        <v>URY23</v>
      </c>
      <c r="I1194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92" t="s">
        <v>3716</v>
      </c>
      <c r="G1195" s="148" t="str">
        <f t="shared" si="36"/>
        <v>Santiago BUENO - Uruguay</v>
      </c>
      <c r="H1195" t="str">
        <f t="shared" si="37"/>
        <v>URY24</v>
      </c>
      <c r="I1195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92" t="s">
        <v>3716</v>
      </c>
      <c r="G1196" s="148" t="str">
        <f t="shared" si="36"/>
        <v>Juan Manuel SANABRIA - Uruguay</v>
      </c>
      <c r="H1196" t="str">
        <f t="shared" si="37"/>
        <v>URY25</v>
      </c>
      <c r="I1196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92" t="s">
        <v>3716</v>
      </c>
      <c r="G1197" s="148" t="str">
        <f t="shared" si="36"/>
        <v>Rodrigo ZALAZAR - Uruguay</v>
      </c>
      <c r="H1197" t="str">
        <f t="shared" si="37"/>
        <v>URY26</v>
      </c>
      <c r="I1197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168" t="s">
        <v>2247</v>
      </c>
      <c r="G1198" s="148" t="str">
        <f t="shared" si="36"/>
        <v>Matt TURNER - USA</v>
      </c>
      <c r="H1198" t="str">
        <f t="shared" si="37"/>
        <v>USA1</v>
      </c>
      <c r="I1198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168" t="s">
        <v>2247</v>
      </c>
      <c r="G1199" s="148" t="str">
        <f t="shared" si="36"/>
        <v>Sergino DEST - USA</v>
      </c>
      <c r="H1199" t="str">
        <f t="shared" si="37"/>
        <v>USA2</v>
      </c>
      <c r="I1199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168" t="s">
        <v>2247</v>
      </c>
      <c r="G1200" s="148" t="str">
        <f t="shared" si="36"/>
        <v>Chris RICHARDS - USA</v>
      </c>
      <c r="H1200" t="str">
        <f t="shared" si="37"/>
        <v>USA3</v>
      </c>
      <c r="I1200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168" t="s">
        <v>2247</v>
      </c>
      <c r="G1201" s="148" t="str">
        <f t="shared" si="36"/>
        <v>Tyler ADAMS - USA</v>
      </c>
      <c r="H1201" t="str">
        <f t="shared" si="37"/>
        <v>USA4</v>
      </c>
      <c r="I1201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168" t="s">
        <v>2247</v>
      </c>
      <c r="G1202" s="148" t="str">
        <f t="shared" si="36"/>
        <v>Antonee ROBINSON - USA</v>
      </c>
      <c r="H1202" t="str">
        <f t="shared" si="37"/>
        <v>USA5</v>
      </c>
      <c r="I1202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168" t="s">
        <v>2247</v>
      </c>
      <c r="G1203" s="148" t="str">
        <f t="shared" si="36"/>
        <v>Auston TRUSTY - USA</v>
      </c>
      <c r="H1203" t="str">
        <f t="shared" si="37"/>
        <v>USA6</v>
      </c>
      <c r="I1203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168" t="s">
        <v>2247</v>
      </c>
      <c r="G1204" s="148" t="str">
        <f t="shared" si="36"/>
        <v>Giovanni REYNA - USA</v>
      </c>
      <c r="H1204" t="str">
        <f t="shared" si="37"/>
        <v>USA7</v>
      </c>
      <c r="I1204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168" t="s">
        <v>2247</v>
      </c>
      <c r="G1205" s="148" t="str">
        <f t="shared" si="36"/>
        <v>Weston McKENNIE - USA</v>
      </c>
      <c r="H1205" t="str">
        <f t="shared" si="37"/>
        <v>USA8</v>
      </c>
      <c r="I120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168" t="s">
        <v>2247</v>
      </c>
      <c r="G1206" s="148" t="str">
        <f t="shared" si="36"/>
        <v>Ricardo PEPI - USA</v>
      </c>
      <c r="H1206" t="str">
        <f t="shared" si="37"/>
        <v>USA9</v>
      </c>
      <c r="I1206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168" t="s">
        <v>2247</v>
      </c>
      <c r="G1207" s="148" t="str">
        <f t="shared" si="36"/>
        <v>Christian PULISIC - USA</v>
      </c>
      <c r="H1207" t="str">
        <f t="shared" si="37"/>
        <v>USA10</v>
      </c>
      <c r="I1207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168" t="s">
        <v>2247</v>
      </c>
      <c r="G1208" s="148" t="str">
        <f t="shared" si="36"/>
        <v>Brenden AARONSON - USA</v>
      </c>
      <c r="H1208" t="str">
        <f t="shared" si="37"/>
        <v>USA11</v>
      </c>
      <c r="I1208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168" t="s">
        <v>2247</v>
      </c>
      <c r="G1209" s="148" t="str">
        <f t="shared" si="36"/>
        <v>Miles ROBINSON - USA</v>
      </c>
      <c r="H1209" t="str">
        <f t="shared" si="37"/>
        <v>USA12</v>
      </c>
      <c r="I1209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168" t="s">
        <v>2247</v>
      </c>
      <c r="G1210" s="148" t="str">
        <f t="shared" si="36"/>
        <v>Tim REAM - USA</v>
      </c>
      <c r="H1210" t="str">
        <f t="shared" si="37"/>
        <v>USA13</v>
      </c>
      <c r="I1210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168" t="s">
        <v>2247</v>
      </c>
      <c r="G1211" s="148" t="str">
        <f t="shared" si="36"/>
        <v>Sebastian BERHALTER - USA</v>
      </c>
      <c r="H1211" t="str">
        <f t="shared" si="37"/>
        <v>USA14</v>
      </c>
      <c r="I1211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168" t="s">
        <v>2247</v>
      </c>
      <c r="G1212" s="148" t="str">
        <f t="shared" si="36"/>
        <v>Cristian ROLDAN - USA</v>
      </c>
      <c r="H1212" t="str">
        <f t="shared" si="37"/>
        <v>USA15</v>
      </c>
      <c r="I1212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168" t="s">
        <v>2247</v>
      </c>
      <c r="G1213" s="148" t="str">
        <f t="shared" si="36"/>
        <v>Alex FREEMAN - USA</v>
      </c>
      <c r="H1213" t="str">
        <f t="shared" si="37"/>
        <v>USA16</v>
      </c>
      <c r="I1213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168" t="s">
        <v>2247</v>
      </c>
      <c r="G1214" s="148" t="str">
        <f t="shared" si="36"/>
        <v>Malik TILLMAN - USA</v>
      </c>
      <c r="H1214" t="str">
        <f t="shared" si="37"/>
        <v>USA17</v>
      </c>
      <c r="I1214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168" t="s">
        <v>2247</v>
      </c>
      <c r="G1215" s="148" t="str">
        <f t="shared" si="36"/>
        <v>Max ARFSTEN - USA</v>
      </c>
      <c r="H1215" t="str">
        <f t="shared" si="37"/>
        <v>USA18</v>
      </c>
      <c r="I121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168" t="s">
        <v>2247</v>
      </c>
      <c r="G1216" s="148" t="str">
        <f t="shared" si="36"/>
        <v>Haji WRIGHT - USA</v>
      </c>
      <c r="H1216" t="str">
        <f t="shared" si="37"/>
        <v>USA19</v>
      </c>
      <c r="I1216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168" t="s">
        <v>2247</v>
      </c>
      <c r="G1217" s="148" t="str">
        <f t="shared" si="36"/>
        <v>Folarin BALOGUN - USA</v>
      </c>
      <c r="H1217" t="str">
        <f t="shared" si="37"/>
        <v>USA20</v>
      </c>
      <c r="I1217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168" t="s">
        <v>2247</v>
      </c>
      <c r="G1218" s="148" t="str">
        <f t="shared" si="36"/>
        <v>Timothy WEAH - USA</v>
      </c>
      <c r="H1218" t="str">
        <f t="shared" si="37"/>
        <v>USA21</v>
      </c>
      <c r="I1218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168" t="s">
        <v>2247</v>
      </c>
      <c r="G1219" s="148" t="str">
        <f t="shared" ref="G1219:G1249" si="38">_xlfn.CONCAT(C1219, " ",D1219, " - ",F1219)</f>
        <v>Mark McKENZIE - USA</v>
      </c>
      <c r="H1219" t="str">
        <f t="shared" ref="H1219:H1249" si="39">_xlfn.CONCAT(E1219,A1219)</f>
        <v>USA22</v>
      </c>
      <c r="I1219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168" t="s">
        <v>2247</v>
      </c>
      <c r="G1220" s="148" t="str">
        <f t="shared" si="38"/>
        <v>Joe SCALLY - USA</v>
      </c>
      <c r="H1220" t="str">
        <f t="shared" si="39"/>
        <v>USA23</v>
      </c>
      <c r="I1220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168" t="s">
        <v>2247</v>
      </c>
      <c r="G1221" s="148" t="str">
        <f t="shared" si="38"/>
        <v>Matt FREESE - USA</v>
      </c>
      <c r="H1221" t="str">
        <f t="shared" si="39"/>
        <v>USA24</v>
      </c>
      <c r="I1221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168" t="s">
        <v>2247</v>
      </c>
      <c r="G1222" s="148" t="str">
        <f t="shared" si="38"/>
        <v>Chris BRADY - USA</v>
      </c>
      <c r="H1222" t="str">
        <f t="shared" si="39"/>
        <v>USA25</v>
      </c>
      <c r="I1222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168" t="s">
        <v>2247</v>
      </c>
      <c r="G1223" s="148" t="str">
        <f t="shared" si="38"/>
        <v>Alex ZENDEJAS - USA</v>
      </c>
      <c r="H1223" t="str">
        <f t="shared" si="39"/>
        <v>USA26</v>
      </c>
      <c r="I1223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93" t="s">
        <v>3769</v>
      </c>
      <c r="G1224" s="148" t="str">
        <f t="shared" si="38"/>
        <v>Utkir YUSUPOV - Uzbekistan</v>
      </c>
      <c r="H1224" t="str">
        <f t="shared" si="39"/>
        <v>UZB1</v>
      </c>
      <c r="I1224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93" t="s">
        <v>3769</v>
      </c>
      <c r="G1225" s="148" t="str">
        <f t="shared" si="38"/>
        <v>Abdukodir KHUSANOV - Uzbekistan</v>
      </c>
      <c r="H1225" t="str">
        <f t="shared" si="39"/>
        <v>UZB2</v>
      </c>
      <c r="I12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93" t="s">
        <v>3769</v>
      </c>
      <c r="G1226" s="148" t="str">
        <f t="shared" si="38"/>
        <v>Khojiakbar ALIJONOV - Uzbekistan</v>
      </c>
      <c r="H1226" t="str">
        <f t="shared" si="39"/>
        <v>UZB3</v>
      </c>
      <c r="I1226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93" t="s">
        <v>3769</v>
      </c>
      <c r="G1227" s="148" t="str">
        <f t="shared" si="38"/>
        <v>Farrukh SAYFIEV - Uzbekistan</v>
      </c>
      <c r="H1227" t="str">
        <f t="shared" si="39"/>
        <v>UZB4</v>
      </c>
      <c r="I1227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93" t="s">
        <v>3769</v>
      </c>
      <c r="G1228" s="148" t="str">
        <f t="shared" si="38"/>
        <v>Rustam ASHURMATOV - Uzbekistan</v>
      </c>
      <c r="H1228" t="str">
        <f t="shared" si="39"/>
        <v>UZB5</v>
      </c>
      <c r="I1228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93" t="s">
        <v>3769</v>
      </c>
      <c r="G1229" s="148" t="str">
        <f t="shared" si="38"/>
        <v>Akmal MOZGOVOY - Uzbekistan</v>
      </c>
      <c r="H1229" t="str">
        <f t="shared" si="39"/>
        <v>UZB6</v>
      </c>
      <c r="I1229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93" t="s">
        <v>3769</v>
      </c>
      <c r="G1230" s="148" t="str">
        <f t="shared" si="38"/>
        <v>Otabek SHUKUROV - Uzbekistan</v>
      </c>
      <c r="H1230" t="str">
        <f t="shared" si="39"/>
        <v>UZB7</v>
      </c>
      <c r="I1230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93" t="s">
        <v>3769</v>
      </c>
      <c r="G1231" s="148" t="str">
        <f t="shared" si="38"/>
        <v>Jamshid ISKANDEROV - Uzbekistan</v>
      </c>
      <c r="H1231" t="str">
        <f t="shared" si="39"/>
        <v>UZB8</v>
      </c>
      <c r="I1231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93" t="s">
        <v>3769</v>
      </c>
      <c r="G1232" s="148" t="str">
        <f t="shared" si="38"/>
        <v>Odiljon XAMROBEKOV - Uzbekistan</v>
      </c>
      <c r="H1232" t="str">
        <f t="shared" si="39"/>
        <v>UZB9</v>
      </c>
      <c r="I1232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93" t="s">
        <v>3769</v>
      </c>
      <c r="G1233" s="148" t="str">
        <f t="shared" si="38"/>
        <v>Jaloliddin MASHARIPOV - Uzbekistan</v>
      </c>
      <c r="H1233" t="str">
        <f t="shared" si="39"/>
        <v>UZB10</v>
      </c>
      <c r="I1233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93" t="s">
        <v>3769</v>
      </c>
      <c r="G1234" s="148" t="str">
        <f t="shared" si="38"/>
        <v>Oston URUNOV - Uzbekistan</v>
      </c>
      <c r="H1234" t="str">
        <f t="shared" si="39"/>
        <v>UZB11</v>
      </c>
      <c r="I1234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93" t="s">
        <v>3769</v>
      </c>
      <c r="G1235" s="148" t="str">
        <f t="shared" si="38"/>
        <v>Abduvohid NEMATOV - Uzbekistan</v>
      </c>
      <c r="H1235" t="str">
        <f t="shared" si="39"/>
        <v>UZB12</v>
      </c>
      <c r="I123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93" t="s">
        <v>3769</v>
      </c>
      <c r="G1236" s="148" t="str">
        <f t="shared" si="38"/>
        <v>Sherzod NASRULLAEV - Uzbekistan</v>
      </c>
      <c r="H1236" t="str">
        <f t="shared" si="39"/>
        <v>UZB13</v>
      </c>
      <c r="I1236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93" t="s">
        <v>3769</v>
      </c>
      <c r="G1237" s="148" t="str">
        <f t="shared" si="38"/>
        <v>Eldor SHOMURODOV - Uzbekistan</v>
      </c>
      <c r="H1237" t="str">
        <f t="shared" si="39"/>
        <v>UZB14</v>
      </c>
      <c r="I1237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93" t="s">
        <v>3769</v>
      </c>
      <c r="G1238" s="148" t="str">
        <f t="shared" si="38"/>
        <v>Umar ESHMURODOV - Uzbekistan</v>
      </c>
      <c r="H1238" t="str">
        <f t="shared" si="39"/>
        <v>UZB15</v>
      </c>
      <c r="I1238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93" t="s">
        <v>3769</v>
      </c>
      <c r="G1239" s="148" t="str">
        <f t="shared" si="38"/>
        <v>Botirali ERGASHEV - Uzbekistan</v>
      </c>
      <c r="H1239" t="str">
        <f t="shared" si="39"/>
        <v>UZB16</v>
      </c>
      <c r="I1239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93" t="s">
        <v>3769</v>
      </c>
      <c r="G1240" s="148" t="str">
        <f t="shared" si="38"/>
        <v>Dostonbek KHAMDAMOV - Uzbekistan</v>
      </c>
      <c r="H1240" t="str">
        <f t="shared" si="39"/>
        <v>UZB17</v>
      </c>
      <c r="I1240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93" t="s">
        <v>3769</v>
      </c>
      <c r="G1241" s="148" t="str">
        <f t="shared" si="38"/>
        <v>Abdulla ABDULLAEV - Uzbekistan</v>
      </c>
      <c r="H1241" t="str">
        <f t="shared" si="39"/>
        <v>UZB18</v>
      </c>
      <c r="I1241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93" t="s">
        <v>3769</v>
      </c>
      <c r="G1242" s="148" t="str">
        <f t="shared" si="38"/>
        <v>Azizjon GANIEV - Uzbekistan</v>
      </c>
      <c r="H1242" t="str">
        <f t="shared" si="39"/>
        <v>UZB19</v>
      </c>
      <c r="I1242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93" t="s">
        <v>3769</v>
      </c>
      <c r="G1243" s="148" t="str">
        <f t="shared" si="38"/>
        <v>Azizbek AMONOV - Uzbekistan</v>
      </c>
      <c r="H1243" t="str">
        <f t="shared" si="39"/>
        <v>UZB20</v>
      </c>
      <c r="I1243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93" t="s">
        <v>3769</v>
      </c>
      <c r="G1244" s="148" t="str">
        <f t="shared" si="38"/>
        <v>Igor SERGEEV - Uzbekistan</v>
      </c>
      <c r="H1244" t="str">
        <f t="shared" si="39"/>
        <v>UZB21</v>
      </c>
      <c r="I1244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93" t="s">
        <v>3769</v>
      </c>
      <c r="G1245" s="148" t="str">
        <f t="shared" si="38"/>
        <v>Abbosbek FAYZULLAEV - Uzbekistan</v>
      </c>
      <c r="H1245" t="str">
        <f t="shared" si="39"/>
        <v>UZB22</v>
      </c>
      <c r="I124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93" t="s">
        <v>3769</v>
      </c>
      <c r="G1246" s="148" t="str">
        <f t="shared" si="38"/>
        <v>Sherzod ESANOV - Uzbekistan</v>
      </c>
      <c r="H1246" t="str">
        <f t="shared" si="39"/>
        <v>UZB23</v>
      </c>
      <c r="I1246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93" t="s">
        <v>3769</v>
      </c>
      <c r="G1247" s="148" t="str">
        <f t="shared" si="38"/>
        <v>Behruzjon KARIMOV - Uzbekistan</v>
      </c>
      <c r="H1247" t="str">
        <f t="shared" si="39"/>
        <v>UZB24</v>
      </c>
      <c r="I1247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93" t="s">
        <v>3769</v>
      </c>
      <c r="G1248" s="148" t="str">
        <f t="shared" si="38"/>
        <v>Avazbek ULMASALIYEV - Uzbekistan</v>
      </c>
      <c r="H1248" t="str">
        <f t="shared" si="39"/>
        <v>UZB25</v>
      </c>
      <c r="I1248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93" t="s">
        <v>3769</v>
      </c>
      <c r="G1249" s="148" t="str">
        <f t="shared" si="38"/>
        <v>Jakhongir UROZOV - Uzbekistan</v>
      </c>
      <c r="H1249" t="str">
        <f t="shared" si="39"/>
        <v>UZB26</v>
      </c>
      <c r="I1249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2026-06-17T06:26:24Z</dcterms:modified>
</cp:coreProperties>
</file>